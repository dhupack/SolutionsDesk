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noj\Manoj\Axestrack\Solutions\Adani Ennore Port\"/>
    </mc:Choice>
  </mc:AlternateContent>
  <xr:revisionPtr revIDLastSave="0" documentId="13_ncr:1_{4C9B261F-10C9-42D5-A7D8-DFEDA8D6E6A6}" xr6:coauthVersionLast="47" xr6:coauthVersionMax="47" xr10:uidLastSave="{00000000-0000-0000-0000-000000000000}"/>
  <bookViews>
    <workbookView xWindow="-110" yWindow="-110" windowWidth="19420" windowHeight="10300" xr2:uid="{977A479D-0906-4103-B384-6C2F96B3241C}"/>
  </bookViews>
  <sheets>
    <sheet name="Quotation" sheetId="7" r:id="rId1"/>
    <sheet name="Quotation " sheetId="5" state="hidden" r:id="rId2"/>
    <sheet name="Project Plan (2)" sheetId="6" state="hidden" r:id="rId3"/>
    <sheet name="6 months (P 0,1,2) + Hyper" sheetId="3" state="hidden" r:id="rId4"/>
  </sheets>
  <definedNames>
    <definedName name="_xlnm._FilterDatabase" localSheetId="2" hidden="1">'Project Plan (2)'!$A$1:$AI$17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" i="7" l="1"/>
  <c r="H21" i="7"/>
  <c r="H19" i="7"/>
  <c r="G5" i="7"/>
  <c r="J21" i="5"/>
  <c r="K21" i="5"/>
  <c r="H21" i="5"/>
  <c r="AH17" i="6"/>
  <c r="AI17" i="6" s="1"/>
  <c r="AH16" i="6"/>
  <c r="AI16" i="6" s="1"/>
  <c r="AH15" i="6"/>
  <c r="AI15" i="6" s="1"/>
  <c r="AH14" i="6"/>
  <c r="AI14" i="6" s="1"/>
  <c r="AH13" i="6"/>
  <c r="AI13" i="6" s="1"/>
  <c r="AH12" i="6"/>
  <c r="AI12" i="6" s="1"/>
  <c r="AH11" i="6"/>
  <c r="AI11" i="6" s="1"/>
  <c r="AH10" i="6"/>
  <c r="AI10" i="6" s="1"/>
  <c r="AH9" i="6"/>
  <c r="AI9" i="6" s="1"/>
  <c r="AH8" i="6"/>
  <c r="AI8" i="6" s="1"/>
  <c r="AH7" i="6"/>
  <c r="AI7" i="6" s="1"/>
  <c r="AH6" i="6"/>
  <c r="AI6" i="6" s="1"/>
  <c r="AH5" i="6"/>
  <c r="AI5" i="6" s="1"/>
  <c r="AH4" i="6"/>
  <c r="AI4" i="6" s="1"/>
  <c r="AH3" i="6"/>
  <c r="AI3" i="6" s="1"/>
  <c r="H20" i="5"/>
  <c r="G5" i="5"/>
  <c r="H22" i="5"/>
  <c r="H19" i="5" l="1"/>
</calcChain>
</file>

<file path=xl/sharedStrings.xml><?xml version="1.0" encoding="utf-8"?>
<sst xmlns="http://schemas.openxmlformats.org/spreadsheetml/2006/main" count="210" uniqueCount="158">
  <si>
    <t>#</t>
  </si>
  <si>
    <t>Phases</t>
  </si>
  <si>
    <t>Activities</t>
  </si>
  <si>
    <t>Project Kick Off</t>
  </si>
  <si>
    <t>Project Plan</t>
  </si>
  <si>
    <t>Solution Discussion</t>
  </si>
  <si>
    <t>Solution Workshops</t>
  </si>
  <si>
    <t>Requirement gathering for Dashboard, Alerts &amp; Integration</t>
  </si>
  <si>
    <t>Solution Design, Setup &amp; Develop</t>
  </si>
  <si>
    <t>API Developments &amp; Configuration</t>
  </si>
  <si>
    <t>Login Creations for Key Users</t>
  </si>
  <si>
    <t>Pilot Site identified</t>
  </si>
  <si>
    <t xml:space="preserve">SIT </t>
  </si>
  <si>
    <t>Key User Training</t>
  </si>
  <si>
    <t>UAT</t>
  </si>
  <si>
    <t>Solution Testing</t>
  </si>
  <si>
    <t>Testing Sign-off</t>
  </si>
  <si>
    <t>Revised Project Plan</t>
  </si>
  <si>
    <t>Revised Project Plan Sign-off</t>
  </si>
  <si>
    <t>DEV to PROD Cutover</t>
  </si>
  <si>
    <t>Go-Live</t>
  </si>
  <si>
    <t>Solution Deployment &amp; Support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</si>
  <si>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</si>
  <si>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</si>
  <si>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</si>
  <si>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</si>
  <si>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</si>
  <si>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</si>
  <si>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</si>
  <si>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</si>
  <si>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</si>
  <si>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</si>
  <si>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</si>
  <si>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</si>
  <si>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</si>
  <si>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</si>
  <si>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</si>
  <si>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</si>
  <si>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</si>
  <si>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</si>
  <si>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</si>
  <si>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</si>
  <si>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</si>
  <si>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</si>
  <si>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</si>
  <si>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</si>
  <si>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</si>
  <si>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</si>
  <si>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M1</t>
  </si>
  <si>
    <t>M2</t>
  </si>
  <si>
    <t>M3</t>
  </si>
  <si>
    <t>M4</t>
  </si>
  <si>
    <t>M5</t>
  </si>
  <si>
    <t>M6</t>
  </si>
  <si>
    <t>UAT Remediation</t>
  </si>
  <si>
    <t>Requirement Sign-off</t>
  </si>
  <si>
    <t>Unit Testing &amp; Remediation</t>
  </si>
  <si>
    <t>Development &amp; Setup Sign-off</t>
  </si>
  <si>
    <t>SIT Remediation</t>
  </si>
  <si>
    <t>Setup &amp; Installing of Hardware</t>
  </si>
  <si>
    <t>Hypercare &amp; Support</t>
  </si>
  <si>
    <t>Unit Testing Pilot Site (Stage wise)</t>
  </si>
  <si>
    <t>Remediation of Pilot Site (Stage wise)</t>
  </si>
  <si>
    <t xml:space="preserve">Hardware Procurement </t>
  </si>
  <si>
    <t>Development &amp; Rollout of Checklist</t>
  </si>
  <si>
    <t>Logistics &amp; Mobilization of Resources</t>
  </si>
  <si>
    <t xml:space="preserve">
Pregate, CISF Gate In, NSFT Gate In, NSFT Gate Out, Survey Gate Out, CISF Gate Out, Load/Unload Point by RTGCs, ITT Gate In, ITT Gate Out, Rake Check In, Load/Unload Point by RMGCs, Rake Check Out</t>
  </si>
  <si>
    <t>Logistics &amp; Mobilization</t>
  </si>
  <si>
    <t>Thanks for business with Axestrack Software Solution Pvt. Ltd.</t>
  </si>
  <si>
    <t>Terms &amp; Conditions</t>
  </si>
  <si>
    <t>Per Month</t>
  </si>
  <si>
    <t>Platform Subscription Fee</t>
  </si>
  <si>
    <t>Subscription Fee</t>
  </si>
  <si>
    <t>One Time</t>
  </si>
  <si>
    <t>Amount</t>
  </si>
  <si>
    <t>Unit Price</t>
  </si>
  <si>
    <t>Type</t>
  </si>
  <si>
    <t>Items</t>
  </si>
  <si>
    <t>S.No.</t>
  </si>
  <si>
    <t>DESCRIPTION OF WORK</t>
  </si>
  <si>
    <t>Email Id</t>
  </si>
  <si>
    <t>Phone</t>
  </si>
  <si>
    <t>Contact</t>
  </si>
  <si>
    <t>Location</t>
  </si>
  <si>
    <t>Name</t>
  </si>
  <si>
    <t>CUSTOMER INFO</t>
  </si>
  <si>
    <t>Payment Terms : Monthly</t>
  </si>
  <si>
    <t>Quote Validity : 15 days from submitted date</t>
  </si>
  <si>
    <t>UDYAM-RJ-17-0051921</t>
  </si>
  <si>
    <t>MSME No</t>
  </si>
  <si>
    <t>DATE</t>
  </si>
  <si>
    <t>QUOTE #</t>
  </si>
  <si>
    <t>08AACCH0299P1Z1</t>
  </si>
  <si>
    <t>GSTIN</t>
  </si>
  <si>
    <r>
      <rPr>
        <b/>
        <sz val="10"/>
        <color theme="1"/>
        <rFont val="Arial"/>
        <family val="2"/>
      </rPr>
      <t xml:space="preserve">Address </t>
    </r>
    <r>
      <rPr>
        <sz val="10"/>
        <color theme="1"/>
        <rFont val="Arial"/>
        <family val="2"/>
      </rPr>
      <t>- Corporate HQ : 
Axestrack Software Solutions Pvt. Ltd., Office No.-19, 6th Floor, Jaipur Electronic Market, 
Near Riddhi Siddhi, Gopalpura bypass, Jaipur - 302018 , Rajasthan, India</t>
    </r>
  </si>
  <si>
    <t xml:space="preserve">Quotation </t>
  </si>
  <si>
    <t>Commercials for the proposed solution for Gate Operating System at Adani ennore Port</t>
  </si>
  <si>
    <t>Software development, Implementation, Integration, training</t>
  </si>
  <si>
    <t>Software Implementation- SaaS</t>
  </si>
  <si>
    <t>Software Implementation- Adani Cloud</t>
  </si>
  <si>
    <t>Stages</t>
  </si>
  <si>
    <t>Total manweeks</t>
  </si>
  <si>
    <t>Total Manhours</t>
  </si>
  <si>
    <t>Requirement</t>
  </si>
  <si>
    <t>Design</t>
  </si>
  <si>
    <t>Architecture Design</t>
  </si>
  <si>
    <t>UI/UX Design</t>
  </si>
  <si>
    <t>Database Design</t>
  </si>
  <si>
    <t>Build</t>
  </si>
  <si>
    <t>Backend Developement</t>
  </si>
  <si>
    <t>Frontend Developement</t>
  </si>
  <si>
    <t>API Integration</t>
  </si>
  <si>
    <t>Test</t>
  </si>
  <si>
    <t>SIT &amp; Remediation</t>
  </si>
  <si>
    <t>UAT &amp; Remediation</t>
  </si>
  <si>
    <t>UAT Sign-off</t>
  </si>
  <si>
    <t>Release</t>
  </si>
  <si>
    <t>DEV to PROD Cutover- Go live</t>
  </si>
  <si>
    <t>Train</t>
  </si>
  <si>
    <t>Training- Train the Trainer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</si>
  <si>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</si>
  <si>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</si>
  <si>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</si>
  <si>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</si>
  <si>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</si>
  <si>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</si>
  <si>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</si>
  <si>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</si>
  <si>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</si>
  <si>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</si>
  <si>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</si>
  <si>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</si>
  <si>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</si>
  <si>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</si>
  <si>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</si>
  <si>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</si>
  <si>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</si>
  <si>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</si>
  <si>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</si>
  <si>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</si>
  <si>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</si>
  <si>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</si>
  <si>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</si>
  <si>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</si>
  <si>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</si>
  <si>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</si>
  <si>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</si>
  <si>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</si>
  <si>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</si>
  <si>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</si>
  <si>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 xml:space="preserve"> </t>
  </si>
  <si>
    <t xml:space="preserve">Platform Subscription, Server Management &amp; Patching </t>
  </si>
  <si>
    <t>Subscription Fee (Adani cloud)</t>
  </si>
  <si>
    <t xml:space="preserve">All the prices mentioned above are in rupees and exclusive of GST. Taxes as per applicable
Contract period is for 3 Years
It will be SaaS deployment solution. </t>
  </si>
  <si>
    <t>Commercials for the proposed solution for Gate Operating System at Adani Ennore Port</t>
  </si>
  <si>
    <t>Server, Patches and Support</t>
  </si>
  <si>
    <t>Server Mangement</t>
  </si>
  <si>
    <t>- All the prices mentioned above are in rupees and exclusive of GST. Taxes as per applicable
- The hardware installation is not under the scope of these commercials.
- Commercials are derived considering 3 years contract period
-- 100% payment to be made within 15 days from the date of receipt of the original or digitally signed invoice.
- In case of payment delay beyond 15 days, overdue charges at 1.5% per month will be applicable.
- Billing validation/certification to be completed by Apcotex within 7 days from the date of provisional bill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</si>
</sst>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* #,##0.00_);_(* \(#,##0.00\);_(* &quot;-&quot;??_);_(@_)"/>
    <numFmt numFmtId="165" formatCode="[&gt;99999]#######\,##\,##0;[&lt;-99999]\-#######\,##\,##0;##.000000"/>
    <numFmt numFmtId="166" formatCode="[$-14009]dd\ mmmm\ yyyy;@"/>
    <numFmt numFmtId="167" formatCode="[&gt;99999]#######\,##\,##0;[&lt;-99999]\-#######\,##\,##0;##"/>
  </numFmts>
  <fonts count="22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20"/>
      <color theme="1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sz val="18"/>
      <name val="Arial"/>
      <family val="2"/>
    </font>
    <font>
      <b/>
      <sz val="18"/>
      <color theme="0"/>
      <name val="Arial"/>
      <family val="2"/>
    </font>
    <font>
      <sz val="18"/>
      <color theme="0"/>
      <name val="Arial"/>
      <family val="2"/>
    </font>
    <font>
      <sz val="24"/>
      <color theme="1"/>
      <name val="Arial"/>
      <family val="2"/>
    </font>
    <font>
      <b/>
      <sz val="24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i/>
      <sz val="8"/>
      <color theme="1"/>
      <name val="Arial"/>
      <family val="2"/>
    </font>
    <font>
      <b/>
      <sz val="14"/>
      <color theme="4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rgb="FFD4D4D4"/>
      </patternFill>
    </fill>
    <fill>
      <patternFill patternType="solid">
        <fgColor theme="4" tint="0.79998168889431442"/>
        <bgColor rgb="FFD4D4D4"/>
      </patternFill>
    </fill>
    <fill>
      <patternFill patternType="solid">
        <fgColor theme="2"/>
        <bgColor rgb="FFD4D4D4"/>
      </patternFill>
    </fill>
    <fill>
      <patternFill patternType="solid">
        <fgColor theme="6" tint="0.59999389629810485"/>
        <bgColor rgb="FFD4D4D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231">
    <xf numFmtId="0" fontId="0" fillId="0" borderId="0" xfId="0"/>
    <xf numFmtId="0" fontId="2" fillId="0" borderId="1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5" borderId="3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4" fillId="8" borderId="7" xfId="0" applyFont="1" applyFill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8" borderId="10" xfId="0" applyFont="1" applyFill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9" borderId="3" xfId="0" applyFont="1" applyFill="1" applyBorder="1" applyAlignment="1">
      <alignment vertical="center" wrapText="1"/>
    </xf>
    <xf numFmtId="0" fontId="4" fillId="9" borderId="4" xfId="0" applyFont="1" applyFill="1" applyBorder="1" applyAlignment="1">
      <alignment vertical="center" wrapText="1"/>
    </xf>
    <xf numFmtId="0" fontId="4" fillId="9" borderId="15" xfId="0" applyFont="1" applyFill="1" applyBorder="1" applyAlignment="1">
      <alignment vertical="center" wrapText="1"/>
    </xf>
    <xf numFmtId="0" fontId="4" fillId="9" borderId="16" xfId="0" applyFont="1" applyFill="1" applyBorder="1" applyAlignment="1">
      <alignment vertical="center" wrapText="1"/>
    </xf>
    <xf numFmtId="0" fontId="4" fillId="9" borderId="5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4" fillId="9" borderId="7" xfId="0" applyFont="1" applyFill="1" applyBorder="1" applyAlignment="1">
      <alignment vertical="center" wrapText="1"/>
    </xf>
    <xf numFmtId="0" fontId="4" fillId="9" borderId="14" xfId="0" applyFont="1" applyFill="1" applyBorder="1" applyAlignment="1">
      <alignment vertical="center" wrapText="1"/>
    </xf>
    <xf numFmtId="0" fontId="4" fillId="9" borderId="6" xfId="0" applyFont="1" applyFill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4" borderId="13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vertical="center" wrapText="1"/>
    </xf>
    <xf numFmtId="0" fontId="4" fillId="6" borderId="7" xfId="0" applyFont="1" applyFill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7" borderId="10" xfId="0" applyFont="1" applyFill="1" applyBorder="1" applyAlignment="1">
      <alignment vertical="center" wrapText="1"/>
    </xf>
    <xf numFmtId="0" fontId="7" fillId="7" borderId="8" xfId="0" applyFont="1" applyFill="1" applyBorder="1" applyAlignment="1">
      <alignment vertical="center" wrapText="1"/>
    </xf>
    <xf numFmtId="0" fontId="7" fillId="7" borderId="9" xfId="0" applyFont="1" applyFill="1" applyBorder="1" applyAlignment="1">
      <alignment vertical="center" wrapText="1"/>
    </xf>
    <xf numFmtId="0" fontId="12" fillId="0" borderId="0" xfId="0" applyFont="1"/>
    <xf numFmtId="0" fontId="12" fillId="0" borderId="0" xfId="0" applyFont="1" applyAlignment="1">
      <alignment wrapText="1"/>
    </xf>
    <xf numFmtId="165" fontId="15" fillId="0" borderId="1" xfId="1" applyNumberFormat="1" applyFont="1" applyFill="1" applyBorder="1" applyAlignment="1">
      <alignment horizontal="center" vertical="center" wrapText="1" readingOrder="1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vertical="center"/>
    </xf>
    <xf numFmtId="167" fontId="15" fillId="0" borderId="1" xfId="1" applyNumberFormat="1" applyFont="1" applyFill="1" applyBorder="1" applyAlignment="1">
      <alignment horizontal="center" vertical="center" wrapText="1" readingOrder="1"/>
    </xf>
    <xf numFmtId="0" fontId="20" fillId="2" borderId="0" xfId="0" applyFont="1" applyFill="1" applyAlignment="1">
      <alignment vertical="center"/>
    </xf>
    <xf numFmtId="0" fontId="20" fillId="3" borderId="0" xfId="0" applyFont="1" applyFill="1" applyAlignment="1">
      <alignment horizontal="center" vertic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9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" xfId="0" applyBorder="1"/>
    <xf numFmtId="0" fontId="0" fillId="10" borderId="3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0" borderId="1" xfId="0" applyBorder="1"/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16" borderId="7" xfId="0" applyFill="1" applyBorder="1" applyAlignment="1">
      <alignment horizontal="center"/>
    </xf>
    <xf numFmtId="0" fontId="0" fillId="16" borderId="6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10" borderId="0" xfId="0" applyFill="1"/>
    <xf numFmtId="0" fontId="0" fillId="4" borderId="1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0" fillId="18" borderId="5" xfId="0" applyFill="1" applyBorder="1" applyAlignment="1">
      <alignment horizontal="center"/>
    </xf>
    <xf numFmtId="0" fontId="0" fillId="18" borderId="3" xfId="0" applyFill="1" applyBorder="1" applyAlignment="1">
      <alignment horizontal="center"/>
    </xf>
    <xf numFmtId="0" fontId="0" fillId="18" borderId="4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18" borderId="6" xfId="0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0" borderId="7" xfId="0" applyBorder="1"/>
    <xf numFmtId="0" fontId="20" fillId="3" borderId="22" xfId="0" applyFont="1" applyFill="1" applyBorder="1" applyAlignment="1">
      <alignment horizontal="center" vertical="center" textRotation="90"/>
    </xf>
    <xf numFmtId="0" fontId="20" fillId="3" borderId="33" xfId="0" applyFont="1" applyFill="1" applyBorder="1" applyAlignment="1">
      <alignment horizontal="center" vertical="center" textRotation="90"/>
    </xf>
    <xf numFmtId="0" fontId="20" fillId="3" borderId="34" xfId="0" applyFont="1" applyFill="1" applyBorder="1" applyAlignment="1">
      <alignment horizontal="center" vertical="center" textRotation="90"/>
    </xf>
    <xf numFmtId="0" fontId="0" fillId="0" borderId="6" xfId="0" applyBorder="1"/>
    <xf numFmtId="0" fontId="0" fillId="18" borderId="7" xfId="0" applyFill="1" applyBorder="1" applyAlignment="1">
      <alignment horizontal="center"/>
    </xf>
    <xf numFmtId="0" fontId="0" fillId="16" borderId="4" xfId="0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0" fillId="16" borderId="9" xfId="0" applyFill="1" applyBorder="1" applyAlignment="1">
      <alignment horizontal="center"/>
    </xf>
    <xf numFmtId="0" fontId="0" fillId="16" borderId="10" xfId="0" applyFill="1" applyBorder="1" applyAlignment="1">
      <alignment horizontal="center"/>
    </xf>
    <xf numFmtId="0" fontId="0" fillId="17" borderId="10" xfId="0" applyFill="1" applyBorder="1" applyAlignment="1">
      <alignment horizontal="center"/>
    </xf>
    <xf numFmtId="0" fontId="0" fillId="17" borderId="8" xfId="0" applyFill="1" applyBorder="1" applyAlignment="1">
      <alignment horizontal="center"/>
    </xf>
    <xf numFmtId="0" fontId="0" fillId="0" borderId="5" xfId="0" applyBorder="1"/>
    <xf numFmtId="0" fontId="0" fillId="0" borderId="3" xfId="0" applyBorder="1"/>
    <xf numFmtId="0" fontId="0" fillId="0" borderId="10" xfId="0" applyBorder="1"/>
    <xf numFmtId="0" fontId="0" fillId="0" borderId="8" xfId="0" applyBorder="1"/>
    <xf numFmtId="0" fontId="0" fillId="4" borderId="10" xfId="0" applyFill="1" applyBorder="1" applyAlignment="1">
      <alignment horizontal="center"/>
    </xf>
    <xf numFmtId="0" fontId="0" fillId="0" borderId="31" xfId="0" applyBorder="1"/>
    <xf numFmtId="0" fontId="0" fillId="18" borderId="8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10" borderId="18" xfId="0" applyFill="1" applyBorder="1" applyAlignment="1">
      <alignment horizontal="center"/>
    </xf>
    <xf numFmtId="0" fontId="0" fillId="19" borderId="18" xfId="0" applyFill="1" applyBorder="1" applyAlignment="1">
      <alignment horizontal="center"/>
    </xf>
    <xf numFmtId="0" fontId="0" fillId="19" borderId="41" xfId="0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0" borderId="24" xfId="0" applyBorder="1"/>
    <xf numFmtId="0" fontId="21" fillId="7" borderId="5" xfId="0" applyFont="1" applyFill="1" applyBorder="1" applyAlignment="1">
      <alignment horizontal="center"/>
    </xf>
    <xf numFmtId="0" fontId="21" fillId="10" borderId="9" xfId="0" applyFont="1" applyFill="1" applyBorder="1" applyAlignment="1">
      <alignment horizontal="center"/>
    </xf>
    <xf numFmtId="0" fontId="21" fillId="10" borderId="10" xfId="0" applyFont="1" applyFill="1" applyBorder="1" applyAlignment="1">
      <alignment horizontal="center"/>
    </xf>
    <xf numFmtId="0" fontId="21" fillId="10" borderId="8" xfId="0" applyFont="1" applyFill="1" applyBorder="1" applyAlignment="1">
      <alignment horizontal="center"/>
    </xf>
    <xf numFmtId="0" fontId="21" fillId="7" borderId="10" xfId="0" applyFont="1" applyFill="1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0" xfId="0" applyBorder="1" applyAlignment="1">
      <alignment wrapText="1"/>
    </xf>
    <xf numFmtId="0" fontId="0" fillId="0" borderId="43" xfId="0" applyBorder="1"/>
    <xf numFmtId="0" fontId="0" fillId="0" borderId="40" xfId="0" applyBorder="1"/>
    <xf numFmtId="0" fontId="0" fillId="0" borderId="19" xfId="0" applyBorder="1"/>
    <xf numFmtId="0" fontId="0" fillId="0" borderId="25" xfId="0" applyBorder="1"/>
    <xf numFmtId="0" fontId="20" fillId="19" borderId="35" xfId="0" applyFont="1" applyFill="1" applyBorder="1" applyAlignment="1">
      <alignment horizontal="center" textRotation="90" wrapText="1"/>
    </xf>
    <xf numFmtId="165" fontId="12" fillId="0" borderId="0" xfId="0" applyNumberFormat="1" applyFont="1"/>
    <xf numFmtId="0" fontId="12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13" fillId="15" borderId="1" xfId="0" applyFont="1" applyFill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6" fillId="0" borderId="1" xfId="2" applyBorder="1" applyAlignment="1">
      <alignment horizontal="left" vertical="center"/>
    </xf>
    <xf numFmtId="0" fontId="13" fillId="14" borderId="1" xfId="0" applyFont="1" applyFill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13" fillId="14" borderId="2" xfId="0" applyFont="1" applyFill="1" applyBorder="1" applyAlignment="1">
      <alignment horizontal="right" vertical="center"/>
    </xf>
    <xf numFmtId="0" fontId="13" fillId="14" borderId="14" xfId="0" applyFont="1" applyFill="1" applyBorder="1" applyAlignment="1">
      <alignment horizontal="right" vertical="center"/>
    </xf>
    <xf numFmtId="0" fontId="12" fillId="0" borderId="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center" vertical="center" wrapText="1"/>
    </xf>
    <xf numFmtId="0" fontId="14" fillId="12" borderId="14" xfId="0" applyFont="1" applyFill="1" applyBorder="1" applyAlignment="1">
      <alignment horizontal="center" vertical="center" wrapText="1"/>
    </xf>
    <xf numFmtId="0" fontId="12" fillId="0" borderId="1" xfId="0" quotePrefix="1" applyFont="1" applyBorder="1" applyAlignment="1">
      <alignment horizontal="left" vertical="center" wrapText="1"/>
    </xf>
    <xf numFmtId="0" fontId="13" fillId="11" borderId="1" xfId="0" applyFont="1" applyFill="1" applyBorder="1" applyAlignment="1">
      <alignment horizontal="center" vertical="top"/>
    </xf>
    <xf numFmtId="165" fontId="15" fillId="0" borderId="2" xfId="1" applyNumberFormat="1" applyFont="1" applyFill="1" applyBorder="1" applyAlignment="1">
      <alignment horizontal="center" vertical="center" wrapText="1" readingOrder="1"/>
    </xf>
    <xf numFmtId="165" fontId="15" fillId="0" borderId="14" xfId="1" applyNumberFormat="1" applyFont="1" applyFill="1" applyBorder="1" applyAlignment="1">
      <alignment horizontal="center" vertical="center" wrapText="1" readingOrder="1"/>
    </xf>
    <xf numFmtId="167" fontId="15" fillId="0" borderId="2" xfId="1" applyNumberFormat="1" applyFont="1" applyFill="1" applyBorder="1" applyAlignment="1">
      <alignment horizontal="center" vertical="center" wrapText="1" readingOrder="1"/>
    </xf>
    <xf numFmtId="167" fontId="15" fillId="0" borderId="14" xfId="1" applyNumberFormat="1" applyFont="1" applyFill="1" applyBorder="1" applyAlignment="1">
      <alignment horizontal="center" vertical="center" wrapText="1" readingOrder="1"/>
    </xf>
    <xf numFmtId="0" fontId="14" fillId="0" borderId="1" xfId="0" applyFont="1" applyBorder="1" applyAlignment="1">
      <alignment horizontal="center" vertical="center"/>
    </xf>
    <xf numFmtId="0" fontId="19" fillId="7" borderId="23" xfId="0" applyFont="1" applyFill="1" applyBorder="1" applyAlignment="1">
      <alignment horizontal="center" vertical="center" textRotation="90" wrapText="1"/>
    </xf>
    <xf numFmtId="0" fontId="19" fillId="7" borderId="42" xfId="0" applyFont="1" applyFill="1" applyBorder="1" applyAlignment="1">
      <alignment horizontal="center" vertical="center" textRotation="90" wrapText="1"/>
    </xf>
    <xf numFmtId="0" fontId="20" fillId="2" borderId="21" xfId="0" applyFont="1" applyFill="1" applyBorder="1" applyAlignment="1">
      <alignment horizontal="center" vertical="center"/>
    </xf>
    <xf numFmtId="0" fontId="20" fillId="2" borderId="25" xfId="0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5" borderId="28" xfId="0" applyFont="1" applyFill="1" applyBorder="1" applyAlignment="1">
      <alignment horizontal="center" vertical="center" textRotation="90" wrapText="1"/>
    </xf>
    <xf numFmtId="0" fontId="20" fillId="5" borderId="44" xfId="0" applyFont="1" applyFill="1" applyBorder="1" applyAlignment="1">
      <alignment horizontal="center" vertical="center" textRotation="90" wrapText="1"/>
    </xf>
    <xf numFmtId="0" fontId="20" fillId="16" borderId="28" xfId="0" applyFont="1" applyFill="1" applyBorder="1" applyAlignment="1">
      <alignment horizontal="center" vertical="center" textRotation="90" wrapText="1"/>
    </xf>
    <xf numFmtId="0" fontId="20" fillId="16" borderId="45" xfId="0" applyFont="1" applyFill="1" applyBorder="1" applyAlignment="1">
      <alignment horizontal="center" vertical="center" textRotation="90" wrapText="1"/>
    </xf>
    <xf numFmtId="0" fontId="20" fillId="16" borderId="44" xfId="0" applyFont="1" applyFill="1" applyBorder="1" applyAlignment="1">
      <alignment horizontal="center" vertical="center" textRotation="90" wrapText="1"/>
    </xf>
    <xf numFmtId="0" fontId="20" fillId="4" borderId="23" xfId="0" applyFont="1" applyFill="1" applyBorder="1" applyAlignment="1">
      <alignment horizontal="center" vertical="center" textRotation="90" wrapText="1"/>
    </xf>
    <xf numFmtId="0" fontId="20" fillId="4" borderId="30" xfId="0" applyFont="1" applyFill="1" applyBorder="1" applyAlignment="1">
      <alignment horizontal="center" vertical="center" textRotation="90" wrapText="1"/>
    </xf>
    <xf numFmtId="0" fontId="20" fillId="4" borderId="27" xfId="0" applyFont="1" applyFill="1" applyBorder="1" applyAlignment="1">
      <alignment horizontal="center" vertical="center" textRotation="90" wrapText="1"/>
    </xf>
    <xf numFmtId="0" fontId="20" fillId="18" borderId="28" xfId="0" applyFont="1" applyFill="1" applyBorder="1" applyAlignment="1">
      <alignment horizontal="center" vertical="center" textRotation="90" wrapText="1"/>
    </xf>
    <xf numFmtId="0" fontId="20" fillId="18" borderId="45" xfId="0" applyFont="1" applyFill="1" applyBorder="1" applyAlignment="1">
      <alignment horizontal="center" vertical="center" textRotation="90" wrapText="1"/>
    </xf>
    <xf numFmtId="0" fontId="20" fillId="18" borderId="44" xfId="0" applyFont="1" applyFill="1" applyBorder="1" applyAlignment="1">
      <alignment horizontal="center" vertical="center" textRotation="90" wrapText="1"/>
    </xf>
    <xf numFmtId="0" fontId="20" fillId="2" borderId="38" xfId="0" applyFont="1" applyFill="1" applyBorder="1" applyAlignment="1">
      <alignment horizontal="center" vertical="center" wrapText="1"/>
    </xf>
    <xf numFmtId="0" fontId="20" fillId="2" borderId="29" xfId="0" applyFont="1" applyFill="1" applyBorder="1" applyAlignment="1">
      <alignment horizontal="center" vertical="center" wrapText="1"/>
    </xf>
    <xf numFmtId="0" fontId="20" fillId="2" borderId="23" xfId="0" applyFont="1" applyFill="1" applyBorder="1" applyAlignment="1">
      <alignment horizontal="center" vertical="center" wrapText="1"/>
    </xf>
    <xf numFmtId="0" fontId="20" fillId="2" borderId="27" xfId="0" applyFont="1" applyFill="1" applyBorder="1" applyAlignment="1">
      <alignment horizontal="center" vertical="center" wrapText="1"/>
    </xf>
    <xf numFmtId="0" fontId="20" fillId="2" borderId="23" xfId="0" applyFont="1" applyFill="1" applyBorder="1" applyAlignment="1">
      <alignment horizontal="center" vertical="center"/>
    </xf>
    <xf numFmtId="0" fontId="20" fillId="2" borderId="42" xfId="0" applyFont="1" applyFill="1" applyBorder="1" applyAlignment="1">
      <alignment horizontal="center" vertical="center"/>
    </xf>
    <xf numFmtId="0" fontId="20" fillId="2" borderId="38" xfId="0" applyFont="1" applyFill="1" applyBorder="1" applyAlignment="1">
      <alignment horizontal="center" vertical="center" textRotation="90"/>
    </xf>
    <xf numFmtId="0" fontId="20" fillId="2" borderId="29" xfId="0" applyFont="1" applyFill="1" applyBorder="1" applyAlignment="1">
      <alignment horizontal="center" vertical="center" textRotation="90"/>
    </xf>
    <xf numFmtId="0" fontId="20" fillId="2" borderId="36" xfId="0" applyFont="1" applyFill="1" applyBorder="1" applyAlignment="1">
      <alignment horizontal="center" vertical="center"/>
    </xf>
    <xf numFmtId="0" fontId="20" fillId="2" borderId="37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textRotation="90" wrapText="1"/>
    </xf>
    <xf numFmtId="0" fontId="3" fillId="5" borderId="1" xfId="0" applyFont="1" applyFill="1" applyBorder="1" applyAlignment="1">
      <alignment horizontal="center" vertical="center" textRotation="90" wrapText="1"/>
    </xf>
    <xf numFmtId="0" fontId="3" fillId="8" borderId="1" xfId="0" applyFont="1" applyFill="1" applyBorder="1" applyAlignment="1">
      <alignment horizontal="center" vertical="center" textRotation="90" wrapText="1"/>
    </xf>
    <xf numFmtId="0" fontId="3" fillId="8" borderId="9" xfId="0" applyFont="1" applyFill="1" applyBorder="1" applyAlignment="1">
      <alignment horizontal="center" vertical="center" textRotation="90" wrapText="1"/>
    </xf>
    <xf numFmtId="0" fontId="3" fillId="9" borderId="4" xfId="0" applyFont="1" applyFill="1" applyBorder="1" applyAlignment="1">
      <alignment horizontal="center" vertical="center" textRotation="90" wrapText="1"/>
    </xf>
    <xf numFmtId="0" fontId="3" fillId="9" borderId="1" xfId="0" applyFont="1" applyFill="1" applyBorder="1" applyAlignment="1">
      <alignment horizontal="center" vertical="center" textRotation="90" wrapText="1"/>
    </xf>
    <xf numFmtId="0" fontId="3" fillId="4" borderId="1" xfId="0" applyFont="1" applyFill="1" applyBorder="1" applyAlignment="1">
      <alignment horizontal="center" vertical="center" textRotation="90" wrapText="1"/>
    </xf>
    <xf numFmtId="0" fontId="6" fillId="7" borderId="1" xfId="0" applyFont="1" applyFill="1" applyBorder="1" applyAlignment="1">
      <alignment horizontal="center" vertical="center" textRotation="90" wrapText="1"/>
    </xf>
    <xf numFmtId="0" fontId="6" fillId="7" borderId="9" xfId="0" applyFont="1" applyFill="1" applyBorder="1" applyAlignment="1">
      <alignment horizontal="center" vertical="center" textRotation="90" wrapText="1"/>
    </xf>
  </cellXfs>
  <cellStyles count="3">
    <cellStyle name="Comma 2" xfId="1" xr:uid="{9822AD90-5091-4743-B9EE-D96A8CA85453}"/>
    <cellStyle name="Hyperlink" xfId="2" builtinId="8"/>
    <cellStyle name="Normal" xfId="0" builtinId="0"/>
  </cellStyles>
  <dxfs count="0"/>
  <tableStyles count="1" defaultTableStyle="TableStyleMedium2" defaultPivotStyle="PivotStyleLight16">
    <tableStyle name="Slicer Style 1" pivot="0" table="0" count="0" xr9:uid="{BF6D19FF-326A-424B-B3DB-BDA9AF65A2E3}"/>
  </tableStyles>
  <extLst>
    <ext xmlns:x14="http://schemas.microsoft.com/office/spreadsheetml/2009/9/main" uri="{EB79DEF2-80B8-43e5-95BD-54CBDDF9020C}">
      <x14:slicerStyles defaultSlicerStyle="SlicerStyleLight1">
        <x14:slicerStyle name="Slicer Style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198450</xdr:colOff>
      <xdr:row>1</xdr:row>
      <xdr:rowOff>18684</xdr:rowOff>
    </xdr:from>
    <xdr:ext cx="2393692" cy="556941"/>
    <xdr:pic>
      <xdr:nvPicPr>
        <xdr:cNvPr id="2" name="Picture 1">
          <a:extLst>
            <a:ext uri="{FF2B5EF4-FFF2-40B4-BE49-F238E27FC236}">
              <a16:creationId xmlns:a16="http://schemas.microsoft.com/office/drawing/2014/main" id="{FFD6F59C-9D20-4C50-ADD7-6E0EE0B3D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5850" y="177434"/>
          <a:ext cx="2393692" cy="55694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198450</xdr:colOff>
      <xdr:row>1</xdr:row>
      <xdr:rowOff>18684</xdr:rowOff>
    </xdr:from>
    <xdr:ext cx="2393692" cy="556941"/>
    <xdr:pic>
      <xdr:nvPicPr>
        <xdr:cNvPr id="2" name="Picture 1">
          <a:extLst>
            <a:ext uri="{FF2B5EF4-FFF2-40B4-BE49-F238E27FC236}">
              <a16:creationId xmlns:a16="http://schemas.microsoft.com/office/drawing/2014/main" id="{78391FF4-6C31-40A5-A0F6-85D41E2E6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0350" y="202834"/>
          <a:ext cx="2393692" cy="55694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72215-8520-4059-8C01-A21EED18B30B}">
  <sheetPr>
    <tabColor theme="9" tint="0.79998168889431442"/>
  </sheetPr>
  <dimension ref="B2:M25"/>
  <sheetViews>
    <sheetView tabSelected="1" topLeftCell="A10" zoomScale="80" zoomScaleNormal="80" workbookViewId="0">
      <selection activeCell="O14" sqref="O14"/>
    </sheetView>
  </sheetViews>
  <sheetFormatPr defaultColWidth="8.81640625" defaultRowHeight="12.5" x14ac:dyDescent="0.25"/>
  <cols>
    <col min="1" max="1" width="2.26953125" style="51" customWidth="1"/>
    <col min="2" max="2" width="9" style="51" customWidth="1"/>
    <col min="3" max="3" width="14.7265625" style="52" customWidth="1"/>
    <col min="4" max="4" width="26.7265625" style="51" customWidth="1"/>
    <col min="5" max="5" width="9.26953125" style="51" customWidth="1"/>
    <col min="6" max="6" width="13.7265625" style="51" customWidth="1"/>
    <col min="7" max="7" width="6.54296875" style="51" customWidth="1"/>
    <col min="8" max="8" width="15.453125" style="51" customWidth="1"/>
    <col min="9" max="16384" width="8.81640625" style="51"/>
  </cols>
  <sheetData>
    <row r="2" spans="2:8" ht="49.9" customHeight="1" x14ac:dyDescent="0.25">
      <c r="B2" s="156"/>
      <c r="C2" s="156"/>
      <c r="D2" s="156"/>
      <c r="E2" s="157" t="s">
        <v>95</v>
      </c>
      <c r="F2" s="157"/>
      <c r="G2" s="157"/>
      <c r="H2" s="157"/>
    </row>
    <row r="3" spans="2:8" ht="42.65" customHeight="1" x14ac:dyDescent="0.25">
      <c r="B3" s="158" t="s">
        <v>94</v>
      </c>
      <c r="C3" s="158"/>
      <c r="D3" s="158"/>
      <c r="E3" s="158"/>
      <c r="F3" s="158"/>
      <c r="G3" s="158"/>
      <c r="H3" s="158"/>
    </row>
    <row r="4" spans="2:8" ht="15" customHeight="1" x14ac:dyDescent="0.25">
      <c r="B4" s="62" t="s">
        <v>93</v>
      </c>
      <c r="C4" s="159" t="s">
        <v>92</v>
      </c>
      <c r="D4" s="159"/>
      <c r="E4" s="160" t="s">
        <v>91</v>
      </c>
      <c r="F4" s="160"/>
      <c r="G4" s="160" t="s">
        <v>90</v>
      </c>
      <c r="H4" s="160"/>
    </row>
    <row r="5" spans="2:8" ht="15" customHeight="1" x14ac:dyDescent="0.25">
      <c r="B5" s="62" t="s">
        <v>89</v>
      </c>
      <c r="C5" s="159" t="s">
        <v>88</v>
      </c>
      <c r="D5" s="159"/>
      <c r="E5" s="156"/>
      <c r="F5" s="156"/>
      <c r="G5" s="161">
        <f ca="1">TODAY()</f>
        <v>46086</v>
      </c>
      <c r="H5" s="161"/>
    </row>
    <row r="6" spans="2:8" ht="15" customHeight="1" x14ac:dyDescent="0.25">
      <c r="B6" s="62" t="s">
        <v>82</v>
      </c>
      <c r="C6" s="159"/>
      <c r="D6" s="159"/>
      <c r="E6" s="162" t="s">
        <v>87</v>
      </c>
      <c r="F6" s="162"/>
      <c r="G6" s="163" t="s">
        <v>86</v>
      </c>
      <c r="H6" s="163"/>
    </row>
    <row r="7" spans="2:8" ht="15" customHeight="1" x14ac:dyDescent="0.25">
      <c r="B7" s="62" t="s">
        <v>81</v>
      </c>
      <c r="C7" s="159"/>
      <c r="D7" s="159"/>
      <c r="E7" s="162"/>
      <c r="F7" s="162"/>
      <c r="G7" s="163"/>
      <c r="H7" s="163"/>
    </row>
    <row r="8" spans="2:8" ht="15" customHeight="1" x14ac:dyDescent="0.25">
      <c r="B8" s="62" t="s">
        <v>80</v>
      </c>
      <c r="C8" s="164"/>
      <c r="D8" s="159"/>
      <c r="E8" s="162"/>
      <c r="F8" s="162"/>
      <c r="G8" s="163"/>
      <c r="H8" s="163"/>
    </row>
    <row r="9" spans="2:8" ht="6.65" customHeight="1" x14ac:dyDescent="0.25">
      <c r="B9" s="156"/>
      <c r="C9" s="156"/>
      <c r="D9" s="156"/>
      <c r="E9" s="156"/>
      <c r="F9" s="156"/>
      <c r="G9" s="156"/>
      <c r="H9" s="156"/>
    </row>
    <row r="10" spans="2:8" ht="15" customHeight="1" x14ac:dyDescent="0.25">
      <c r="B10" s="165" t="s">
        <v>85</v>
      </c>
      <c r="C10" s="165"/>
      <c r="D10" s="165"/>
      <c r="E10" s="165"/>
      <c r="F10" s="165"/>
      <c r="G10" s="165"/>
      <c r="H10" s="165"/>
    </row>
    <row r="11" spans="2:8" ht="15" customHeight="1" x14ac:dyDescent="0.25">
      <c r="B11" s="61" t="s">
        <v>84</v>
      </c>
      <c r="C11" s="159"/>
      <c r="D11" s="159"/>
      <c r="E11" s="159"/>
      <c r="F11" s="159"/>
      <c r="G11" s="159"/>
      <c r="H11" s="159"/>
    </row>
    <row r="12" spans="2:8" ht="15" customHeight="1" x14ac:dyDescent="0.25">
      <c r="B12" s="61" t="s">
        <v>83</v>
      </c>
      <c r="C12" s="159"/>
      <c r="D12" s="159"/>
      <c r="E12" s="159"/>
      <c r="F12" s="159"/>
      <c r="G12" s="159"/>
      <c r="H12" s="159"/>
    </row>
    <row r="13" spans="2:8" ht="15" customHeight="1" x14ac:dyDescent="0.25">
      <c r="B13" s="61" t="s">
        <v>82</v>
      </c>
      <c r="C13" s="166"/>
      <c r="D13" s="167"/>
      <c r="E13" s="168" t="s">
        <v>81</v>
      </c>
      <c r="F13" s="169"/>
      <c r="G13" s="170"/>
      <c r="H13" s="171"/>
    </row>
    <row r="14" spans="2:8" ht="15" customHeight="1" x14ac:dyDescent="0.25">
      <c r="B14" s="61" t="s">
        <v>80</v>
      </c>
      <c r="C14" s="164"/>
      <c r="D14" s="159"/>
      <c r="E14" s="159"/>
      <c r="F14" s="159"/>
      <c r="G14" s="159"/>
      <c r="H14" s="159"/>
    </row>
    <row r="15" spans="2:8" ht="6.65" customHeight="1" x14ac:dyDescent="0.25">
      <c r="B15" s="156"/>
      <c r="C15" s="156"/>
      <c r="D15" s="156"/>
      <c r="E15" s="156"/>
      <c r="F15" s="156"/>
      <c r="G15" s="156"/>
      <c r="H15" s="156"/>
    </row>
    <row r="16" spans="2:8" ht="13" x14ac:dyDescent="0.25">
      <c r="B16" s="172" t="s">
        <v>79</v>
      </c>
      <c r="C16" s="172"/>
      <c r="D16" s="172"/>
      <c r="E16" s="172"/>
      <c r="F16" s="172"/>
      <c r="G16" s="172"/>
      <c r="H16" s="172"/>
    </row>
    <row r="17" spans="2:13" ht="24" customHeight="1" x14ac:dyDescent="0.25">
      <c r="B17" s="173" t="s">
        <v>154</v>
      </c>
      <c r="C17" s="173"/>
      <c r="D17" s="173"/>
      <c r="E17" s="173"/>
      <c r="F17" s="173"/>
      <c r="G17" s="173"/>
      <c r="H17" s="173"/>
      <c r="M17" s="51" t="s">
        <v>150</v>
      </c>
    </row>
    <row r="18" spans="2:13" s="52" customFormat="1" ht="19.149999999999999" customHeight="1" x14ac:dyDescent="0.25">
      <c r="B18" s="60" t="s">
        <v>78</v>
      </c>
      <c r="C18" s="174" t="s">
        <v>77</v>
      </c>
      <c r="D18" s="174"/>
      <c r="E18" s="60" t="s">
        <v>76</v>
      </c>
      <c r="F18" s="175" t="s">
        <v>75</v>
      </c>
      <c r="G18" s="176"/>
      <c r="H18" s="60" t="s">
        <v>74</v>
      </c>
    </row>
    <row r="19" spans="2:13" ht="44.5" customHeight="1" x14ac:dyDescent="0.25">
      <c r="B19" s="59">
        <v>1</v>
      </c>
      <c r="C19" s="58" t="s">
        <v>99</v>
      </c>
      <c r="D19" s="55" t="s">
        <v>97</v>
      </c>
      <c r="E19" s="54" t="s">
        <v>73</v>
      </c>
      <c r="F19" s="179">
        <v>1156000</v>
      </c>
      <c r="G19" s="180"/>
      <c r="H19" s="53">
        <f>F19</f>
        <v>1156000</v>
      </c>
    </row>
    <row r="20" spans="2:13" ht="44.5" customHeight="1" x14ac:dyDescent="0.25">
      <c r="B20" s="59">
        <v>2</v>
      </c>
      <c r="C20" s="58" t="s">
        <v>156</v>
      </c>
      <c r="D20" s="55" t="s">
        <v>155</v>
      </c>
      <c r="E20" s="54" t="s">
        <v>70</v>
      </c>
      <c r="F20" s="181">
        <v>32000</v>
      </c>
      <c r="G20" s="182"/>
      <c r="H20" s="63">
        <f>F20</f>
        <v>32000</v>
      </c>
    </row>
    <row r="21" spans="2:13" ht="44.5" customHeight="1" x14ac:dyDescent="0.25">
      <c r="B21" s="59">
        <v>3</v>
      </c>
      <c r="C21" s="56" t="s">
        <v>72</v>
      </c>
      <c r="D21" s="55" t="s">
        <v>71</v>
      </c>
      <c r="E21" s="54" t="s">
        <v>70</v>
      </c>
      <c r="F21" s="181">
        <v>42000</v>
      </c>
      <c r="G21" s="182"/>
      <c r="H21" s="63">
        <f>F21</f>
        <v>42000</v>
      </c>
      <c r="K21" s="155"/>
    </row>
    <row r="22" spans="2:13" ht="6.65" customHeight="1" x14ac:dyDescent="0.25">
      <c r="B22" s="183"/>
      <c r="C22" s="183"/>
      <c r="D22" s="183"/>
      <c r="E22" s="183"/>
      <c r="F22" s="183"/>
      <c r="G22" s="183"/>
      <c r="H22" s="183"/>
    </row>
    <row r="23" spans="2:13" ht="13" x14ac:dyDescent="0.25">
      <c r="B23" s="178" t="s">
        <v>69</v>
      </c>
      <c r="C23" s="178"/>
      <c r="D23" s="178"/>
      <c r="E23" s="178"/>
      <c r="F23" s="178"/>
      <c r="G23" s="178"/>
      <c r="H23" s="178"/>
    </row>
    <row r="24" spans="2:13" ht="132.5" customHeight="1" x14ac:dyDescent="0.25">
      <c r="B24" s="177" t="s">
        <v>157</v>
      </c>
      <c r="C24" s="159"/>
      <c r="D24" s="159"/>
      <c r="E24" s="159"/>
      <c r="F24" s="159"/>
      <c r="G24" s="159"/>
      <c r="H24" s="159"/>
    </row>
    <row r="25" spans="2:13" ht="13" x14ac:dyDescent="0.25">
      <c r="B25" s="178" t="s">
        <v>68</v>
      </c>
      <c r="C25" s="178"/>
      <c r="D25" s="178"/>
      <c r="E25" s="178"/>
      <c r="F25" s="178"/>
      <c r="G25" s="178"/>
      <c r="H25" s="178"/>
    </row>
  </sheetData>
  <mergeCells count="34">
    <mergeCell ref="B24:H24"/>
    <mergeCell ref="B25:H25"/>
    <mergeCell ref="F19:G19"/>
    <mergeCell ref="F21:G21"/>
    <mergeCell ref="B22:H22"/>
    <mergeCell ref="B23:H23"/>
    <mergeCell ref="F20:G20"/>
    <mergeCell ref="C14:H14"/>
    <mergeCell ref="B15:H15"/>
    <mergeCell ref="B16:H16"/>
    <mergeCell ref="B17:H17"/>
    <mergeCell ref="C18:D18"/>
    <mergeCell ref="F18:G18"/>
    <mergeCell ref="B9:H9"/>
    <mergeCell ref="B10:H10"/>
    <mergeCell ref="C11:H11"/>
    <mergeCell ref="C12:H12"/>
    <mergeCell ref="C13:D13"/>
    <mergeCell ref="E13:F13"/>
    <mergeCell ref="G13:H13"/>
    <mergeCell ref="C5:D5"/>
    <mergeCell ref="E5:F5"/>
    <mergeCell ref="G5:H5"/>
    <mergeCell ref="C6:D6"/>
    <mergeCell ref="E6:F8"/>
    <mergeCell ref="G6:H8"/>
    <mergeCell ref="C7:D7"/>
    <mergeCell ref="C8:D8"/>
    <mergeCell ref="B2:D2"/>
    <mergeCell ref="E2:H2"/>
    <mergeCell ref="B3:H3"/>
    <mergeCell ref="C4:D4"/>
    <mergeCell ref="E4:F4"/>
    <mergeCell ref="G4:H4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A23A9-21CA-408C-AEA5-1EC334D7F402}">
  <sheetPr>
    <tabColor theme="9" tint="0.79998168889431442"/>
  </sheetPr>
  <dimension ref="B2:M26"/>
  <sheetViews>
    <sheetView topLeftCell="A16" zoomScale="80" zoomScaleNormal="80" workbookViewId="0">
      <selection activeCell="O25" sqref="O25"/>
    </sheetView>
  </sheetViews>
  <sheetFormatPr defaultColWidth="8.81640625" defaultRowHeight="12.5" x14ac:dyDescent="0.25"/>
  <cols>
    <col min="1" max="1" width="2.26953125" style="51" customWidth="1"/>
    <col min="2" max="2" width="9" style="51" customWidth="1"/>
    <col min="3" max="3" width="14.7265625" style="52" customWidth="1"/>
    <col min="4" max="4" width="26.7265625" style="51" customWidth="1"/>
    <col min="5" max="5" width="9.26953125" style="51" customWidth="1"/>
    <col min="6" max="6" width="13.7265625" style="51" customWidth="1"/>
    <col min="7" max="7" width="6.54296875" style="51" customWidth="1"/>
    <col min="8" max="8" width="15.453125" style="51" customWidth="1"/>
    <col min="9" max="16384" width="8.81640625" style="51"/>
  </cols>
  <sheetData>
    <row r="2" spans="2:8" ht="49.9" customHeight="1" x14ac:dyDescent="0.25">
      <c r="B2" s="156"/>
      <c r="C2" s="156"/>
      <c r="D2" s="156"/>
      <c r="E2" s="157" t="s">
        <v>95</v>
      </c>
      <c r="F2" s="157"/>
      <c r="G2" s="157"/>
      <c r="H2" s="157"/>
    </row>
    <row r="3" spans="2:8" ht="42.65" customHeight="1" x14ac:dyDescent="0.25">
      <c r="B3" s="158" t="s">
        <v>94</v>
      </c>
      <c r="C3" s="158"/>
      <c r="D3" s="158"/>
      <c r="E3" s="158"/>
      <c r="F3" s="158"/>
      <c r="G3" s="158"/>
      <c r="H3" s="158"/>
    </row>
    <row r="4" spans="2:8" ht="15" customHeight="1" x14ac:dyDescent="0.25">
      <c r="B4" s="62" t="s">
        <v>93</v>
      </c>
      <c r="C4" s="159" t="s">
        <v>92</v>
      </c>
      <c r="D4" s="159"/>
      <c r="E4" s="160" t="s">
        <v>91</v>
      </c>
      <c r="F4" s="160"/>
      <c r="G4" s="160" t="s">
        <v>90</v>
      </c>
      <c r="H4" s="160"/>
    </row>
    <row r="5" spans="2:8" ht="15" customHeight="1" x14ac:dyDescent="0.25">
      <c r="B5" s="62" t="s">
        <v>89</v>
      </c>
      <c r="C5" s="159" t="s">
        <v>88</v>
      </c>
      <c r="D5" s="159"/>
      <c r="E5" s="156"/>
      <c r="F5" s="156"/>
      <c r="G5" s="161">
        <f ca="1">TODAY()</f>
        <v>46086</v>
      </c>
      <c r="H5" s="161"/>
    </row>
    <row r="6" spans="2:8" ht="15" customHeight="1" x14ac:dyDescent="0.25">
      <c r="B6" s="62" t="s">
        <v>82</v>
      </c>
      <c r="C6" s="159"/>
      <c r="D6" s="159"/>
      <c r="E6" s="162" t="s">
        <v>87</v>
      </c>
      <c r="F6" s="162"/>
      <c r="G6" s="163" t="s">
        <v>86</v>
      </c>
      <c r="H6" s="163"/>
    </row>
    <row r="7" spans="2:8" ht="15" customHeight="1" x14ac:dyDescent="0.25">
      <c r="B7" s="62" t="s">
        <v>81</v>
      </c>
      <c r="C7" s="159"/>
      <c r="D7" s="159"/>
      <c r="E7" s="162"/>
      <c r="F7" s="162"/>
      <c r="G7" s="163"/>
      <c r="H7" s="163"/>
    </row>
    <row r="8" spans="2:8" ht="15" customHeight="1" x14ac:dyDescent="0.25">
      <c r="B8" s="62" t="s">
        <v>80</v>
      </c>
      <c r="C8" s="164"/>
      <c r="D8" s="159"/>
      <c r="E8" s="162"/>
      <c r="F8" s="162"/>
      <c r="G8" s="163"/>
      <c r="H8" s="163"/>
    </row>
    <row r="9" spans="2:8" ht="6.65" customHeight="1" x14ac:dyDescent="0.25">
      <c r="B9" s="156"/>
      <c r="C9" s="156"/>
      <c r="D9" s="156"/>
      <c r="E9" s="156"/>
      <c r="F9" s="156"/>
      <c r="G9" s="156"/>
      <c r="H9" s="156"/>
    </row>
    <row r="10" spans="2:8" ht="15" customHeight="1" x14ac:dyDescent="0.25">
      <c r="B10" s="165" t="s">
        <v>85</v>
      </c>
      <c r="C10" s="165"/>
      <c r="D10" s="165"/>
      <c r="E10" s="165"/>
      <c r="F10" s="165"/>
      <c r="G10" s="165"/>
      <c r="H10" s="165"/>
    </row>
    <row r="11" spans="2:8" ht="15" customHeight="1" x14ac:dyDescent="0.25">
      <c r="B11" s="61" t="s">
        <v>84</v>
      </c>
      <c r="C11" s="159"/>
      <c r="D11" s="159"/>
      <c r="E11" s="159"/>
      <c r="F11" s="159"/>
      <c r="G11" s="159"/>
      <c r="H11" s="159"/>
    </row>
    <row r="12" spans="2:8" ht="15" customHeight="1" x14ac:dyDescent="0.25">
      <c r="B12" s="61" t="s">
        <v>83</v>
      </c>
      <c r="C12" s="159"/>
      <c r="D12" s="159"/>
      <c r="E12" s="159"/>
      <c r="F12" s="159"/>
      <c r="G12" s="159"/>
      <c r="H12" s="159"/>
    </row>
    <row r="13" spans="2:8" ht="15" customHeight="1" x14ac:dyDescent="0.25">
      <c r="B13" s="61" t="s">
        <v>82</v>
      </c>
      <c r="C13" s="166"/>
      <c r="D13" s="167"/>
      <c r="E13" s="168" t="s">
        <v>81</v>
      </c>
      <c r="F13" s="169"/>
      <c r="G13" s="170"/>
      <c r="H13" s="171"/>
    </row>
    <row r="14" spans="2:8" ht="15" customHeight="1" x14ac:dyDescent="0.25">
      <c r="B14" s="61" t="s">
        <v>80</v>
      </c>
      <c r="C14" s="164"/>
      <c r="D14" s="159"/>
      <c r="E14" s="159"/>
      <c r="F14" s="159"/>
      <c r="G14" s="159"/>
      <c r="H14" s="159"/>
    </row>
    <row r="15" spans="2:8" ht="6.65" customHeight="1" x14ac:dyDescent="0.25">
      <c r="B15" s="156"/>
      <c r="C15" s="156"/>
      <c r="D15" s="156"/>
      <c r="E15" s="156"/>
      <c r="F15" s="156"/>
      <c r="G15" s="156"/>
      <c r="H15" s="156"/>
    </row>
    <row r="16" spans="2:8" ht="13" x14ac:dyDescent="0.25">
      <c r="B16" s="172" t="s">
        <v>79</v>
      </c>
      <c r="C16" s="172"/>
      <c r="D16" s="172"/>
      <c r="E16" s="172"/>
      <c r="F16" s="172"/>
      <c r="G16" s="172"/>
      <c r="H16" s="172"/>
    </row>
    <row r="17" spans="2:13" ht="24" customHeight="1" x14ac:dyDescent="0.25">
      <c r="B17" s="173" t="s">
        <v>96</v>
      </c>
      <c r="C17" s="173"/>
      <c r="D17" s="173"/>
      <c r="E17" s="173"/>
      <c r="F17" s="173"/>
      <c r="G17" s="173"/>
      <c r="H17" s="173"/>
      <c r="M17" s="51" t="s">
        <v>150</v>
      </c>
    </row>
    <row r="18" spans="2:13" s="52" customFormat="1" ht="19.149999999999999" customHeight="1" x14ac:dyDescent="0.25">
      <c r="B18" s="60" t="s">
        <v>78</v>
      </c>
      <c r="C18" s="174" t="s">
        <v>77</v>
      </c>
      <c r="D18" s="174"/>
      <c r="E18" s="60" t="s">
        <v>76</v>
      </c>
      <c r="F18" s="175" t="s">
        <v>75</v>
      </c>
      <c r="G18" s="176"/>
      <c r="H18" s="60" t="s">
        <v>74</v>
      </c>
    </row>
    <row r="19" spans="2:13" ht="44.5" customHeight="1" x14ac:dyDescent="0.25">
      <c r="B19" s="59">
        <v>1</v>
      </c>
      <c r="C19" s="58" t="s">
        <v>98</v>
      </c>
      <c r="D19" s="55" t="s">
        <v>97</v>
      </c>
      <c r="E19" s="54" t="s">
        <v>73</v>
      </c>
      <c r="F19" s="179">
        <v>956000</v>
      </c>
      <c r="G19" s="180"/>
      <c r="H19" s="53">
        <f>F19</f>
        <v>956000</v>
      </c>
    </row>
    <row r="20" spans="2:13" ht="44.5" customHeight="1" x14ac:dyDescent="0.25">
      <c r="B20" s="59"/>
      <c r="C20" s="58" t="s">
        <v>99</v>
      </c>
      <c r="D20" s="55" t="s">
        <v>97</v>
      </c>
      <c r="E20" s="54" t="s">
        <v>73</v>
      </c>
      <c r="F20" s="179">
        <v>1150000</v>
      </c>
      <c r="G20" s="180"/>
      <c r="H20" s="53">
        <f>F20</f>
        <v>1150000</v>
      </c>
    </row>
    <row r="21" spans="2:13" ht="44.5" customHeight="1" x14ac:dyDescent="0.25">
      <c r="B21" s="59"/>
      <c r="C21" s="56" t="s">
        <v>72</v>
      </c>
      <c r="D21" s="55" t="s">
        <v>71</v>
      </c>
      <c r="E21" s="54" t="s">
        <v>70</v>
      </c>
      <c r="F21" s="181">
        <v>52000</v>
      </c>
      <c r="G21" s="182"/>
      <c r="H21" s="63">
        <f>F21</f>
        <v>52000</v>
      </c>
      <c r="J21" s="51">
        <f>H21*36</f>
        <v>1872000</v>
      </c>
      <c r="K21" s="155">
        <f>J21+H19</f>
        <v>2828000</v>
      </c>
    </row>
    <row r="22" spans="2:13" ht="39" x14ac:dyDescent="0.25">
      <c r="B22" s="57">
        <v>3</v>
      </c>
      <c r="C22" s="56" t="s">
        <v>152</v>
      </c>
      <c r="D22" s="55" t="s">
        <v>151</v>
      </c>
      <c r="E22" s="54" t="s">
        <v>70</v>
      </c>
      <c r="F22" s="181">
        <v>72000</v>
      </c>
      <c r="G22" s="182"/>
      <c r="H22" s="63">
        <f>F22</f>
        <v>72000</v>
      </c>
    </row>
    <row r="23" spans="2:13" ht="6.65" customHeight="1" x14ac:dyDescent="0.25">
      <c r="B23" s="183"/>
      <c r="C23" s="183"/>
      <c r="D23" s="183"/>
      <c r="E23" s="183"/>
      <c r="F23" s="183"/>
      <c r="G23" s="183"/>
      <c r="H23" s="183"/>
    </row>
    <row r="24" spans="2:13" ht="13" x14ac:dyDescent="0.25">
      <c r="B24" s="178" t="s">
        <v>69</v>
      </c>
      <c r="C24" s="178"/>
      <c r="D24" s="178"/>
      <c r="E24" s="178"/>
      <c r="F24" s="178"/>
      <c r="G24" s="178"/>
      <c r="H24" s="178"/>
    </row>
    <row r="25" spans="2:13" ht="69" customHeight="1" x14ac:dyDescent="0.25">
      <c r="B25" s="177" t="s">
        <v>153</v>
      </c>
      <c r="C25" s="159"/>
      <c r="D25" s="159"/>
      <c r="E25" s="159"/>
      <c r="F25" s="159"/>
      <c r="G25" s="159"/>
      <c r="H25" s="159"/>
    </row>
    <row r="26" spans="2:13" ht="13" x14ac:dyDescent="0.25">
      <c r="B26" s="178" t="s">
        <v>68</v>
      </c>
      <c r="C26" s="178"/>
      <c r="D26" s="178"/>
      <c r="E26" s="178"/>
      <c r="F26" s="178"/>
      <c r="G26" s="178"/>
      <c r="H26" s="178"/>
    </row>
  </sheetData>
  <mergeCells count="35">
    <mergeCell ref="B2:D2"/>
    <mergeCell ref="E2:H2"/>
    <mergeCell ref="B3:H3"/>
    <mergeCell ref="C4:D4"/>
    <mergeCell ref="E4:F4"/>
    <mergeCell ref="G4:H4"/>
    <mergeCell ref="C5:D5"/>
    <mergeCell ref="E5:F5"/>
    <mergeCell ref="G5:H5"/>
    <mergeCell ref="C6:D6"/>
    <mergeCell ref="E6:F8"/>
    <mergeCell ref="G6:H8"/>
    <mergeCell ref="C7:D7"/>
    <mergeCell ref="C8:D8"/>
    <mergeCell ref="B9:H9"/>
    <mergeCell ref="B10:H10"/>
    <mergeCell ref="C11:H11"/>
    <mergeCell ref="C12:H12"/>
    <mergeCell ref="C13:D13"/>
    <mergeCell ref="E13:F13"/>
    <mergeCell ref="G13:H13"/>
    <mergeCell ref="C14:H14"/>
    <mergeCell ref="B15:H15"/>
    <mergeCell ref="B16:H16"/>
    <mergeCell ref="B17:H17"/>
    <mergeCell ref="C18:D18"/>
    <mergeCell ref="F18:G18"/>
    <mergeCell ref="B23:H23"/>
    <mergeCell ref="B24:H24"/>
    <mergeCell ref="B25:H25"/>
    <mergeCell ref="B26:H26"/>
    <mergeCell ref="F19:G19"/>
    <mergeCell ref="F20:G20"/>
    <mergeCell ref="F22:G22"/>
    <mergeCell ref="F21:G21"/>
  </mergeCells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EC23-0072-4E6D-8C2E-CEC787B29DAE}">
  <dimension ref="A1:AN25"/>
  <sheetViews>
    <sheetView zoomScale="70" zoomScaleNormal="70" workbookViewId="0">
      <pane xSplit="3" ySplit="2" topLeftCell="D3" activePane="bottomRight" state="frozen"/>
      <selection pane="topRight" activeCell="E1" sqref="E1"/>
      <selection pane="bottomLeft" activeCell="A3" sqref="A3"/>
      <selection pane="bottomRight" activeCell="K23" sqref="K23"/>
    </sheetView>
  </sheetViews>
  <sheetFormatPr defaultRowHeight="14.5" x14ac:dyDescent="0.35"/>
  <cols>
    <col min="1" max="1" width="2.81640625" bestFit="1" customWidth="1"/>
    <col min="2" max="2" width="13.90625" bestFit="1" customWidth="1"/>
    <col min="3" max="3" width="38.81640625" bestFit="1" customWidth="1"/>
    <col min="4" max="29" width="4.54296875" bestFit="1" customWidth="1"/>
    <col min="30" max="32" width="4.54296875" customWidth="1"/>
    <col min="33" max="33" width="4.54296875" bestFit="1" customWidth="1"/>
    <col min="34" max="34" width="14.6328125" bestFit="1" customWidth="1"/>
    <col min="35" max="35" width="14.26953125" bestFit="1" customWidth="1"/>
    <col min="36" max="40" width="5.36328125" customWidth="1"/>
    <col min="41" max="43" width="10.36328125" customWidth="1"/>
    <col min="45" max="45" width="11.453125" customWidth="1"/>
  </cols>
  <sheetData>
    <row r="1" spans="1:40" ht="15" thickBot="1" x14ac:dyDescent="0.4">
      <c r="A1" s="205" t="s">
        <v>0</v>
      </c>
      <c r="B1" s="207" t="s">
        <v>100</v>
      </c>
      <c r="C1" s="209" t="s">
        <v>2</v>
      </c>
      <c r="D1" s="186" t="s">
        <v>22</v>
      </c>
      <c r="E1" s="187"/>
      <c r="F1" s="187"/>
      <c r="G1" s="187"/>
      <c r="H1" s="187"/>
      <c r="I1" s="187"/>
      <c r="J1" s="188"/>
      <c r="K1" s="186" t="s">
        <v>23</v>
      </c>
      <c r="L1" s="187"/>
      <c r="M1" s="187"/>
      <c r="N1" s="187"/>
      <c r="O1" s="187"/>
      <c r="P1" s="187"/>
      <c r="Q1" s="188"/>
      <c r="R1" s="186" t="s">
        <v>24</v>
      </c>
      <c r="S1" s="187"/>
      <c r="T1" s="187"/>
      <c r="U1" s="187"/>
      <c r="V1" s="187"/>
      <c r="W1" s="187"/>
      <c r="X1" s="188"/>
      <c r="Y1" s="186" t="s">
        <v>25</v>
      </c>
      <c r="Z1" s="187"/>
      <c r="AA1" s="187"/>
      <c r="AB1" s="187"/>
      <c r="AC1" s="187"/>
      <c r="AD1" s="187"/>
      <c r="AE1" s="188"/>
      <c r="AF1" s="186" t="s">
        <v>26</v>
      </c>
      <c r="AG1" s="188"/>
      <c r="AH1" s="201" t="s">
        <v>101</v>
      </c>
      <c r="AI1" s="203" t="s">
        <v>102</v>
      </c>
      <c r="AJ1" s="64"/>
      <c r="AK1" s="189"/>
      <c r="AL1" s="189"/>
      <c r="AM1" s="189"/>
      <c r="AN1" s="189"/>
    </row>
    <row r="2" spans="1:40" ht="23" thickBot="1" x14ac:dyDescent="0.4">
      <c r="A2" s="206"/>
      <c r="B2" s="208"/>
      <c r="C2" s="210"/>
      <c r="D2" s="115" t="s">
        <v>120</v>
      </c>
      <c r="E2" s="116" t="s">
        <v>121</v>
      </c>
      <c r="F2" s="116" t="s">
        <v>122</v>
      </c>
      <c r="G2" s="116" t="s">
        <v>123</v>
      </c>
      <c r="H2" s="116" t="s">
        <v>124</v>
      </c>
      <c r="I2" s="116" t="s">
        <v>125</v>
      </c>
      <c r="J2" s="117" t="s">
        <v>126</v>
      </c>
      <c r="K2" s="115" t="s">
        <v>127</v>
      </c>
      <c r="L2" s="116" t="s">
        <v>128</v>
      </c>
      <c r="M2" s="116" t="s">
        <v>129</v>
      </c>
      <c r="N2" s="116" t="s">
        <v>130</v>
      </c>
      <c r="O2" s="116" t="s">
        <v>131</v>
      </c>
      <c r="P2" s="116" t="s">
        <v>132</v>
      </c>
      <c r="Q2" s="117" t="s">
        <v>133</v>
      </c>
      <c r="R2" s="115" t="s">
        <v>134</v>
      </c>
      <c r="S2" s="116" t="s">
        <v>135</v>
      </c>
      <c r="T2" s="116" t="s">
        <v>136</v>
      </c>
      <c r="U2" s="116" t="s">
        <v>137</v>
      </c>
      <c r="V2" s="116" t="s">
        <v>138</v>
      </c>
      <c r="W2" s="116" t="s">
        <v>139</v>
      </c>
      <c r="X2" s="117" t="s">
        <v>140</v>
      </c>
      <c r="Y2" s="115" t="s">
        <v>141</v>
      </c>
      <c r="Z2" s="116" t="s">
        <v>142</v>
      </c>
      <c r="AA2" s="116" t="s">
        <v>143</v>
      </c>
      <c r="AB2" s="116" t="s">
        <v>144</v>
      </c>
      <c r="AC2" s="116" t="s">
        <v>145</v>
      </c>
      <c r="AD2" s="116" t="s">
        <v>146</v>
      </c>
      <c r="AE2" s="117" t="s">
        <v>147</v>
      </c>
      <c r="AF2" s="115" t="s">
        <v>148</v>
      </c>
      <c r="AG2" s="117" t="s">
        <v>149</v>
      </c>
      <c r="AH2" s="202"/>
      <c r="AI2" s="204"/>
      <c r="AJ2" s="65"/>
      <c r="AK2" s="65"/>
      <c r="AL2" s="65"/>
      <c r="AM2" s="65"/>
      <c r="AN2" s="65"/>
    </row>
    <row r="3" spans="1:40" ht="29" x14ac:dyDescent="0.35">
      <c r="A3" s="146">
        <v>1</v>
      </c>
      <c r="B3" s="190" t="s">
        <v>103</v>
      </c>
      <c r="C3" s="149" t="s">
        <v>7</v>
      </c>
      <c r="D3" s="66"/>
      <c r="E3" s="67"/>
      <c r="F3" s="67"/>
      <c r="G3" s="70"/>
      <c r="H3" s="70"/>
      <c r="I3" s="70"/>
      <c r="J3" s="68"/>
      <c r="K3" s="69"/>
      <c r="L3" s="70"/>
      <c r="M3" s="70"/>
      <c r="N3" s="70"/>
      <c r="O3" s="70"/>
      <c r="P3" s="70"/>
      <c r="Q3" s="68"/>
      <c r="R3" s="69"/>
      <c r="S3" s="70"/>
      <c r="T3" s="70"/>
      <c r="U3" s="70"/>
      <c r="V3" s="70"/>
      <c r="W3" s="70"/>
      <c r="X3" s="68"/>
      <c r="Y3" s="69"/>
      <c r="Z3" s="70"/>
      <c r="AA3" s="70"/>
      <c r="AB3" s="70"/>
      <c r="AC3" s="70"/>
      <c r="AD3" s="70"/>
      <c r="AE3" s="68"/>
      <c r="AF3" s="69"/>
      <c r="AG3" s="68"/>
      <c r="AH3" s="110">
        <f t="shared" ref="AH3:AH16" si="0">SUM(D3:AG3)</f>
        <v>0</v>
      </c>
      <c r="AI3" s="71">
        <f>AH3*40</f>
        <v>0</v>
      </c>
    </row>
    <row r="4" spans="1:40" ht="15" thickBot="1" x14ac:dyDescent="0.4">
      <c r="A4" s="147">
        <v>2</v>
      </c>
      <c r="B4" s="191"/>
      <c r="C4" s="150" t="s">
        <v>55</v>
      </c>
      <c r="D4" s="73"/>
      <c r="E4" s="74"/>
      <c r="F4" s="75"/>
      <c r="G4" s="75"/>
      <c r="H4" s="75"/>
      <c r="I4" s="74"/>
      <c r="J4" s="76"/>
      <c r="K4" s="73"/>
      <c r="L4" s="74"/>
      <c r="M4" s="74"/>
      <c r="N4" s="74"/>
      <c r="O4" s="74"/>
      <c r="P4" s="74"/>
      <c r="Q4" s="76"/>
      <c r="R4" s="73"/>
      <c r="S4" s="74"/>
      <c r="T4" s="74"/>
      <c r="U4" s="74"/>
      <c r="V4" s="74"/>
      <c r="W4" s="74"/>
      <c r="X4" s="76"/>
      <c r="Y4" s="73"/>
      <c r="Z4" s="74"/>
      <c r="AA4" s="74"/>
      <c r="AB4" s="74"/>
      <c r="AC4" s="74"/>
      <c r="AD4" s="74"/>
      <c r="AE4" s="76"/>
      <c r="AF4" s="73"/>
      <c r="AG4" s="76"/>
      <c r="AH4" s="111">
        <f t="shared" si="0"/>
        <v>0</v>
      </c>
      <c r="AI4" s="77">
        <f t="shared" ref="AI4:AI17" si="1">AH4*40</f>
        <v>0</v>
      </c>
    </row>
    <row r="5" spans="1:40" x14ac:dyDescent="0.35">
      <c r="A5" s="146">
        <v>3</v>
      </c>
      <c r="B5" s="192" t="s">
        <v>104</v>
      </c>
      <c r="C5" s="151" t="s">
        <v>105</v>
      </c>
      <c r="D5" s="79"/>
      <c r="E5" s="80"/>
      <c r="F5" s="80"/>
      <c r="G5" s="78"/>
      <c r="H5" s="78"/>
      <c r="I5" s="120"/>
      <c r="J5" s="121"/>
      <c r="K5" s="79"/>
      <c r="L5" s="70"/>
      <c r="M5" s="70"/>
      <c r="N5" s="70"/>
      <c r="O5" s="70"/>
      <c r="P5" s="70"/>
      <c r="Q5" s="68"/>
      <c r="R5" s="69"/>
      <c r="S5" s="70"/>
      <c r="T5" s="70"/>
      <c r="U5" s="70"/>
      <c r="V5" s="70"/>
      <c r="W5" s="70"/>
      <c r="X5" s="68"/>
      <c r="Y5" s="69"/>
      <c r="Z5" s="70"/>
      <c r="AA5" s="70"/>
      <c r="AB5" s="70"/>
      <c r="AC5" s="70"/>
      <c r="AD5" s="70"/>
      <c r="AE5" s="68"/>
      <c r="AF5" s="69"/>
      <c r="AG5" s="68"/>
      <c r="AH5" s="111">
        <f t="shared" si="0"/>
        <v>0</v>
      </c>
      <c r="AI5" s="77">
        <f t="shared" si="1"/>
        <v>0</v>
      </c>
    </row>
    <row r="6" spans="1:40" ht="14.4" customHeight="1" thickBot="1" x14ac:dyDescent="0.4">
      <c r="A6" s="147">
        <v>4</v>
      </c>
      <c r="B6" s="193"/>
      <c r="C6" s="152" t="s">
        <v>106</v>
      </c>
      <c r="D6" s="83"/>
      <c r="E6" s="84"/>
      <c r="F6" s="84"/>
      <c r="G6" s="82"/>
      <c r="H6" s="82"/>
      <c r="I6" s="113"/>
      <c r="J6" s="85"/>
      <c r="K6" s="86"/>
      <c r="L6" s="89"/>
      <c r="M6" s="89"/>
      <c r="N6" s="89"/>
      <c r="O6" s="89"/>
      <c r="P6" s="84"/>
      <c r="Q6" s="90"/>
      <c r="R6" s="83"/>
      <c r="S6" s="84"/>
      <c r="T6" s="84"/>
      <c r="U6" s="84"/>
      <c r="V6" s="84"/>
      <c r="W6" s="84"/>
      <c r="X6" s="90"/>
      <c r="Y6" s="83"/>
      <c r="Z6" s="84"/>
      <c r="AA6" s="84"/>
      <c r="AB6" s="84"/>
      <c r="AC6" s="84"/>
      <c r="AD6" s="84"/>
      <c r="AE6" s="90"/>
      <c r="AF6" s="83"/>
      <c r="AG6" s="90"/>
      <c r="AH6" s="111">
        <f t="shared" si="0"/>
        <v>0</v>
      </c>
      <c r="AI6" s="77">
        <f t="shared" si="1"/>
        <v>0</v>
      </c>
    </row>
    <row r="7" spans="1:40" ht="15" thickBot="1" x14ac:dyDescent="0.4">
      <c r="A7" s="146">
        <v>5</v>
      </c>
      <c r="B7" s="194"/>
      <c r="C7" s="150" t="s">
        <v>107</v>
      </c>
      <c r="D7" s="73"/>
      <c r="E7" s="74"/>
      <c r="F7" s="74"/>
      <c r="G7" s="72"/>
      <c r="H7" s="72"/>
      <c r="I7" s="122"/>
      <c r="J7" s="123"/>
      <c r="K7" s="73"/>
      <c r="L7" s="74"/>
      <c r="M7" s="74"/>
      <c r="N7" s="74"/>
      <c r="O7" s="74"/>
      <c r="P7" s="74"/>
      <c r="Q7" s="124"/>
      <c r="R7" s="125"/>
      <c r="S7" s="74"/>
      <c r="T7" s="74"/>
      <c r="U7" s="74"/>
      <c r="V7" s="74"/>
      <c r="W7" s="74"/>
      <c r="X7" s="76"/>
      <c r="Y7" s="73"/>
      <c r="Z7" s="74"/>
      <c r="AA7" s="74"/>
      <c r="AB7" s="74"/>
      <c r="AC7" s="74"/>
      <c r="AD7" s="74"/>
      <c r="AE7" s="76"/>
      <c r="AF7" s="73"/>
      <c r="AG7" s="76"/>
      <c r="AH7" s="111">
        <f t="shared" si="0"/>
        <v>0</v>
      </c>
      <c r="AI7" s="77">
        <f t="shared" si="1"/>
        <v>0</v>
      </c>
    </row>
    <row r="8" spans="1:40" ht="15" thickBot="1" x14ac:dyDescent="0.4">
      <c r="A8" s="147">
        <v>6</v>
      </c>
      <c r="B8" s="195" t="s">
        <v>108</v>
      </c>
      <c r="C8" s="151" t="s">
        <v>109</v>
      </c>
      <c r="D8" s="69"/>
      <c r="E8" s="70"/>
      <c r="F8" s="70"/>
      <c r="G8" s="70"/>
      <c r="H8" s="70"/>
      <c r="I8" s="78"/>
      <c r="J8" s="126"/>
      <c r="K8" s="127"/>
      <c r="L8" s="91"/>
      <c r="M8" s="91"/>
      <c r="N8" s="91"/>
      <c r="O8" s="91"/>
      <c r="P8" s="91"/>
      <c r="Q8" s="92"/>
      <c r="R8" s="93"/>
      <c r="S8" s="91"/>
      <c r="T8" s="91"/>
      <c r="U8" s="91"/>
      <c r="V8" s="91"/>
      <c r="W8" s="80"/>
      <c r="X8" s="81"/>
      <c r="Y8" s="79"/>
      <c r="Z8" s="80"/>
      <c r="AA8" s="80"/>
      <c r="AB8" s="80"/>
      <c r="AC8" s="80"/>
      <c r="AD8" s="80"/>
      <c r="AE8" s="81"/>
      <c r="AF8" s="79"/>
      <c r="AG8" s="81"/>
      <c r="AH8" s="111">
        <f t="shared" si="0"/>
        <v>0</v>
      </c>
      <c r="AI8" s="77">
        <f t="shared" si="1"/>
        <v>0</v>
      </c>
      <c r="AJ8" s="94"/>
      <c r="AK8" s="94"/>
      <c r="AL8" s="94"/>
      <c r="AM8" s="94"/>
      <c r="AN8" s="94"/>
    </row>
    <row r="9" spans="1:40" x14ac:dyDescent="0.35">
      <c r="A9" s="146">
        <v>7</v>
      </c>
      <c r="B9" s="196"/>
      <c r="C9" s="152" t="s">
        <v>110</v>
      </c>
      <c r="D9" s="83"/>
      <c r="E9" s="84"/>
      <c r="F9" s="84"/>
      <c r="G9" s="84"/>
      <c r="H9" s="84"/>
      <c r="I9" s="82"/>
      <c r="J9" s="114"/>
      <c r="K9" s="118"/>
      <c r="L9" s="95"/>
      <c r="M9" s="95"/>
      <c r="N9" s="95"/>
      <c r="O9" s="95"/>
      <c r="P9" s="95"/>
      <c r="Q9" s="96"/>
      <c r="R9" s="97"/>
      <c r="S9" s="95"/>
      <c r="T9" s="95"/>
      <c r="U9" s="95"/>
      <c r="V9" s="95"/>
      <c r="W9" s="87"/>
      <c r="X9" s="88"/>
      <c r="Y9" s="98"/>
      <c r="Z9" s="87"/>
      <c r="AA9" s="87"/>
      <c r="AB9" s="87"/>
      <c r="AC9" s="87"/>
      <c r="AD9" s="87"/>
      <c r="AE9" s="88"/>
      <c r="AF9" s="98"/>
      <c r="AG9" s="88"/>
      <c r="AH9" s="111">
        <f t="shared" si="0"/>
        <v>0</v>
      </c>
      <c r="AI9" s="77">
        <f t="shared" si="1"/>
        <v>0</v>
      </c>
      <c r="AJ9" s="94"/>
      <c r="AK9" s="94"/>
      <c r="AL9" s="94"/>
      <c r="AM9" s="94"/>
      <c r="AN9" s="94"/>
    </row>
    <row r="10" spans="1:40" ht="15" thickBot="1" x14ac:dyDescent="0.4">
      <c r="A10" s="147">
        <v>8</v>
      </c>
      <c r="B10" s="197"/>
      <c r="C10" s="150" t="s">
        <v>111</v>
      </c>
      <c r="D10" s="73"/>
      <c r="E10" s="74"/>
      <c r="F10" s="74"/>
      <c r="G10" s="74"/>
      <c r="H10" s="74"/>
      <c r="I10" s="72"/>
      <c r="J10" s="128"/>
      <c r="K10" s="129"/>
      <c r="L10" s="74"/>
      <c r="M10" s="74"/>
      <c r="N10" s="74"/>
      <c r="O10" s="74"/>
      <c r="P10" s="99"/>
      <c r="Q10" s="130"/>
      <c r="R10" s="100"/>
      <c r="S10" s="99"/>
      <c r="T10" s="99"/>
      <c r="U10" s="99"/>
      <c r="V10" s="99"/>
      <c r="W10" s="99"/>
      <c r="X10" s="99"/>
      <c r="Y10" s="102"/>
      <c r="Z10" s="101"/>
      <c r="AA10" s="101"/>
      <c r="AB10" s="101"/>
      <c r="AC10" s="101"/>
      <c r="AD10" s="101"/>
      <c r="AE10" s="103"/>
      <c r="AF10" s="102"/>
      <c r="AG10" s="103"/>
      <c r="AH10" s="111">
        <f t="shared" si="0"/>
        <v>0</v>
      </c>
      <c r="AI10" s="77">
        <f t="shared" si="1"/>
        <v>0</v>
      </c>
      <c r="AJ10" s="94"/>
      <c r="AK10" s="94"/>
      <c r="AL10" s="94"/>
      <c r="AM10" s="94"/>
      <c r="AN10" s="94"/>
    </row>
    <row r="11" spans="1:40" x14ac:dyDescent="0.35">
      <c r="A11" s="146">
        <v>9</v>
      </c>
      <c r="B11" s="198" t="s">
        <v>112</v>
      </c>
      <c r="C11" s="151" t="s">
        <v>56</v>
      </c>
      <c r="D11" s="69"/>
      <c r="E11" s="70"/>
      <c r="F11" s="70"/>
      <c r="G11" s="70"/>
      <c r="H11" s="70"/>
      <c r="I11" s="70"/>
      <c r="J11" s="68"/>
      <c r="K11" s="127"/>
      <c r="L11" s="78"/>
      <c r="M11" s="78"/>
      <c r="N11" s="78"/>
      <c r="O11" s="106"/>
      <c r="P11" s="106"/>
      <c r="Q11" s="104"/>
      <c r="R11" s="105"/>
      <c r="S11" s="106"/>
      <c r="T11" s="106"/>
      <c r="U11" s="106"/>
      <c r="V11" s="106"/>
      <c r="W11" s="106"/>
      <c r="X11" s="104"/>
      <c r="Y11" s="105"/>
      <c r="Z11" s="80"/>
      <c r="AA11" s="80"/>
      <c r="AB11" s="80"/>
      <c r="AC11" s="80"/>
      <c r="AD11" s="80"/>
      <c r="AE11" s="81"/>
      <c r="AF11" s="79"/>
      <c r="AG11" s="81"/>
      <c r="AH11" s="111">
        <f t="shared" si="0"/>
        <v>0</v>
      </c>
      <c r="AI11" s="77">
        <f t="shared" si="1"/>
        <v>0</v>
      </c>
      <c r="AJ11" s="94"/>
      <c r="AK11" s="94"/>
      <c r="AL11" s="94"/>
      <c r="AM11" s="94"/>
      <c r="AN11" s="94"/>
    </row>
    <row r="12" spans="1:40" ht="15" thickBot="1" x14ac:dyDescent="0.4">
      <c r="A12" s="147">
        <v>10</v>
      </c>
      <c r="B12" s="199"/>
      <c r="C12" s="152" t="s">
        <v>113</v>
      </c>
      <c r="D12" s="83"/>
      <c r="E12" s="84"/>
      <c r="F12" s="84"/>
      <c r="G12" s="84"/>
      <c r="H12" s="84"/>
      <c r="I12" s="84"/>
      <c r="J12" s="90"/>
      <c r="K12" s="118"/>
      <c r="L12" s="82"/>
      <c r="M12" s="82"/>
      <c r="N12" s="82"/>
      <c r="O12" s="84"/>
      <c r="P12" s="84"/>
      <c r="Q12" s="90"/>
      <c r="R12" s="83"/>
      <c r="S12" s="84"/>
      <c r="T12" s="84"/>
      <c r="U12" s="107"/>
      <c r="V12" s="107"/>
      <c r="W12" s="107"/>
      <c r="X12" s="119"/>
      <c r="Y12" s="108"/>
      <c r="Z12" s="107"/>
      <c r="AA12" s="107"/>
      <c r="AB12" s="87"/>
      <c r="AC12" s="87"/>
      <c r="AD12" s="87"/>
      <c r="AE12" s="88"/>
      <c r="AF12" s="98"/>
      <c r="AG12" s="88"/>
      <c r="AH12" s="111">
        <f t="shared" si="0"/>
        <v>0</v>
      </c>
      <c r="AI12" s="77">
        <f t="shared" si="1"/>
        <v>0</v>
      </c>
      <c r="AJ12" s="94"/>
      <c r="AK12" s="94"/>
      <c r="AL12" s="94"/>
      <c r="AM12" s="94"/>
      <c r="AN12" s="94"/>
    </row>
    <row r="13" spans="1:40" x14ac:dyDescent="0.35">
      <c r="A13" s="146">
        <v>11</v>
      </c>
      <c r="B13" s="199"/>
      <c r="C13" s="152" t="s">
        <v>114</v>
      </c>
      <c r="D13" s="83"/>
      <c r="E13" s="84"/>
      <c r="F13" s="84"/>
      <c r="G13" s="84"/>
      <c r="H13" s="84"/>
      <c r="I13" s="84"/>
      <c r="J13" s="90"/>
      <c r="K13" s="118"/>
      <c r="L13" s="82"/>
      <c r="M13" s="82"/>
      <c r="N13" s="82"/>
      <c r="O13" s="84"/>
      <c r="P13" s="84"/>
      <c r="Q13" s="90"/>
      <c r="R13" s="83"/>
      <c r="S13" s="84"/>
      <c r="T13" s="84"/>
      <c r="U13" s="84"/>
      <c r="V13" s="84"/>
      <c r="W13" s="84"/>
      <c r="X13" s="90"/>
      <c r="Y13" s="98"/>
      <c r="Z13" s="87"/>
      <c r="AA13" s="87"/>
      <c r="AB13" s="107"/>
      <c r="AC13" s="107"/>
      <c r="AD13" s="107"/>
      <c r="AE13" s="119"/>
      <c r="AF13" s="108"/>
      <c r="AG13" s="88"/>
      <c r="AH13" s="111">
        <f t="shared" si="0"/>
        <v>0</v>
      </c>
      <c r="AI13" s="77">
        <f t="shared" si="1"/>
        <v>0</v>
      </c>
      <c r="AJ13" s="94"/>
      <c r="AK13" s="94"/>
      <c r="AL13" s="94"/>
      <c r="AM13" s="94"/>
      <c r="AN13" s="94"/>
    </row>
    <row r="14" spans="1:40" ht="15" thickBot="1" x14ac:dyDescent="0.4">
      <c r="A14" s="147">
        <v>12</v>
      </c>
      <c r="B14" s="200"/>
      <c r="C14" s="150" t="s">
        <v>115</v>
      </c>
      <c r="D14" s="73"/>
      <c r="E14" s="74"/>
      <c r="F14" s="74"/>
      <c r="G14" s="74"/>
      <c r="H14" s="74"/>
      <c r="I14" s="74"/>
      <c r="J14" s="76"/>
      <c r="K14" s="129"/>
      <c r="L14" s="72"/>
      <c r="M14" s="72"/>
      <c r="N14" s="72"/>
      <c r="O14" s="74"/>
      <c r="P14" s="74"/>
      <c r="Q14" s="76"/>
      <c r="R14" s="73"/>
      <c r="S14" s="74"/>
      <c r="T14" s="74"/>
      <c r="U14" s="74"/>
      <c r="V14" s="74"/>
      <c r="W14" s="74"/>
      <c r="X14" s="76"/>
      <c r="Y14" s="102"/>
      <c r="Z14" s="101"/>
      <c r="AA14" s="101"/>
      <c r="AB14" s="101"/>
      <c r="AC14" s="101"/>
      <c r="AD14" s="101"/>
      <c r="AE14" s="131"/>
      <c r="AF14" s="132"/>
      <c r="AG14" s="103"/>
      <c r="AH14" s="111">
        <f t="shared" si="0"/>
        <v>0</v>
      </c>
      <c r="AI14" s="77">
        <f t="shared" si="1"/>
        <v>0</v>
      </c>
      <c r="AJ14" s="94"/>
      <c r="AK14" s="94"/>
      <c r="AL14" s="94"/>
      <c r="AM14" s="94"/>
      <c r="AN14" s="94"/>
    </row>
    <row r="15" spans="1:40" x14ac:dyDescent="0.35">
      <c r="A15" s="146">
        <v>13</v>
      </c>
      <c r="B15" s="184" t="s">
        <v>116</v>
      </c>
      <c r="C15" s="151" t="s">
        <v>117</v>
      </c>
      <c r="D15" s="69"/>
      <c r="E15" s="70"/>
      <c r="F15" s="70"/>
      <c r="G15" s="70"/>
      <c r="H15" s="70"/>
      <c r="I15" s="70"/>
      <c r="J15" s="68"/>
      <c r="K15" s="69"/>
      <c r="L15" s="70"/>
      <c r="M15" s="70"/>
      <c r="N15" s="70"/>
      <c r="O15" s="70"/>
      <c r="P15" s="70"/>
      <c r="Q15" s="68"/>
      <c r="R15" s="69"/>
      <c r="S15" s="70"/>
      <c r="T15" s="70"/>
      <c r="U15" s="80"/>
      <c r="V15" s="80"/>
      <c r="W15" s="80"/>
      <c r="X15" s="81"/>
      <c r="Y15" s="79"/>
      <c r="Z15" s="80"/>
      <c r="AA15" s="80"/>
      <c r="AB15" s="140"/>
      <c r="AC15" s="80"/>
      <c r="AD15" s="80"/>
      <c r="AE15" s="81"/>
      <c r="AF15" s="79"/>
      <c r="AG15" s="141"/>
      <c r="AH15" s="111">
        <f>SUM(D15:AG15)</f>
        <v>0</v>
      </c>
      <c r="AI15" s="77">
        <f t="shared" si="1"/>
        <v>0</v>
      </c>
      <c r="AJ15" s="94"/>
      <c r="AK15" s="94"/>
      <c r="AL15" s="94"/>
      <c r="AM15" s="94"/>
      <c r="AN15" s="94"/>
    </row>
    <row r="16" spans="1:40" ht="15" thickBot="1" x14ac:dyDescent="0.4">
      <c r="A16" s="147">
        <v>14</v>
      </c>
      <c r="B16" s="185"/>
      <c r="C16" s="152" t="s">
        <v>60</v>
      </c>
      <c r="D16" s="73"/>
      <c r="E16" s="74"/>
      <c r="F16" s="74"/>
      <c r="G16" s="74"/>
      <c r="H16" s="74"/>
      <c r="I16" s="74"/>
      <c r="J16" s="76"/>
      <c r="K16" s="73"/>
      <c r="L16" s="74"/>
      <c r="M16" s="74"/>
      <c r="N16" s="74"/>
      <c r="O16" s="74"/>
      <c r="P16" s="74"/>
      <c r="Q16" s="76"/>
      <c r="R16" s="73"/>
      <c r="S16" s="74"/>
      <c r="T16" s="74"/>
      <c r="U16" s="101"/>
      <c r="V16" s="101"/>
      <c r="W16" s="101"/>
      <c r="X16" s="103"/>
      <c r="Y16" s="102"/>
      <c r="Z16" s="101"/>
      <c r="AA16" s="101"/>
      <c r="AB16" s="101"/>
      <c r="AC16" s="142"/>
      <c r="AD16" s="142"/>
      <c r="AE16" s="143"/>
      <c r="AF16" s="144"/>
      <c r="AG16" s="145"/>
      <c r="AH16" s="111">
        <f t="shared" si="0"/>
        <v>0</v>
      </c>
      <c r="AI16" s="77">
        <f t="shared" si="1"/>
        <v>0</v>
      </c>
      <c r="AJ16" s="94"/>
      <c r="AK16" s="94"/>
      <c r="AL16" s="94"/>
      <c r="AM16" s="94"/>
      <c r="AN16" s="94"/>
    </row>
    <row r="17" spans="1:35" ht="14.4" customHeight="1" thickBot="1" x14ac:dyDescent="0.4">
      <c r="A17" s="148">
        <v>15</v>
      </c>
      <c r="B17" s="154" t="s">
        <v>118</v>
      </c>
      <c r="C17" s="153" t="s">
        <v>119</v>
      </c>
      <c r="D17" s="133"/>
      <c r="E17" s="134"/>
      <c r="F17" s="134"/>
      <c r="G17" s="134"/>
      <c r="H17" s="134"/>
      <c r="I17" s="134"/>
      <c r="J17" s="135"/>
      <c r="K17" s="133"/>
      <c r="L17" s="134"/>
      <c r="M17" s="134"/>
      <c r="N17" s="134"/>
      <c r="O17" s="134"/>
      <c r="P17" s="134"/>
      <c r="Q17" s="135"/>
      <c r="R17" s="133"/>
      <c r="S17" s="134"/>
      <c r="T17" s="134"/>
      <c r="U17" s="136"/>
      <c r="V17" s="136"/>
      <c r="W17" s="136"/>
      <c r="X17" s="135"/>
      <c r="Y17" s="133"/>
      <c r="Z17" s="134"/>
      <c r="AA17" s="137"/>
      <c r="AB17" s="137"/>
      <c r="AC17" s="137"/>
      <c r="AD17" s="137"/>
      <c r="AE17" s="138"/>
      <c r="AF17" s="139"/>
      <c r="AG17" s="138"/>
      <c r="AH17" s="112">
        <f>SUM(D17:AE17)</f>
        <v>0</v>
      </c>
      <c r="AI17" s="109">
        <f t="shared" si="1"/>
        <v>0</v>
      </c>
    </row>
    <row r="21" spans="1:35" x14ac:dyDescent="0.35">
      <c r="F21" s="94"/>
    </row>
    <row r="25" spans="1:35" ht="14.4" customHeight="1" x14ac:dyDescent="0.35"/>
  </sheetData>
  <mergeCells count="16">
    <mergeCell ref="A1:A2"/>
    <mergeCell ref="B1:B2"/>
    <mergeCell ref="C1:C2"/>
    <mergeCell ref="D1:J1"/>
    <mergeCell ref="K1:Q1"/>
    <mergeCell ref="B15:B16"/>
    <mergeCell ref="R1:X1"/>
    <mergeCell ref="Y1:AE1"/>
    <mergeCell ref="AF1:AG1"/>
    <mergeCell ref="AK1:AN1"/>
    <mergeCell ref="B3:B4"/>
    <mergeCell ref="B5:B7"/>
    <mergeCell ref="B8:B10"/>
    <mergeCell ref="B11:B14"/>
    <mergeCell ref="AH1:AH2"/>
    <mergeCell ref="AI1:AI2"/>
  </mergeCells>
  <phoneticPr fontId="10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5263B-34A1-46C6-BF2E-159324AAE236}">
  <dimension ref="A1:AD38"/>
  <sheetViews>
    <sheetView zoomScale="40" zoomScaleNormal="40" workbookViewId="0">
      <pane xSplit="4" ySplit="2" topLeftCell="E18" activePane="bottomRight" state="frozen"/>
      <selection pane="topRight" activeCell="D1" sqref="D1"/>
      <selection pane="bottomLeft" activeCell="A3" sqref="A3"/>
      <selection pane="bottomRight" activeCell="D26" sqref="D26"/>
    </sheetView>
  </sheetViews>
  <sheetFormatPr defaultColWidth="8.90625" defaultRowHeight="14.5" x14ac:dyDescent="0.35"/>
  <cols>
    <col min="1" max="1" width="5.6328125" style="4" customWidth="1"/>
    <col min="2" max="2" width="36.90625" style="4" customWidth="1"/>
    <col min="3" max="3" width="11.36328125" style="4" customWidth="1"/>
    <col min="4" max="4" width="44.1796875" style="4" customWidth="1"/>
    <col min="5" max="30" width="8.1796875" style="4" customWidth="1"/>
    <col min="31" max="32" width="10.36328125" style="4" customWidth="1"/>
    <col min="33" max="33" width="8.90625" style="4"/>
    <col min="34" max="34" width="11.453125" style="4" customWidth="1"/>
    <col min="35" max="16384" width="8.90625" style="4"/>
  </cols>
  <sheetData>
    <row r="1" spans="1:30" s="5" customFormat="1" ht="67.75" customHeight="1" x14ac:dyDescent="0.35">
      <c r="A1" s="211" t="s">
        <v>0</v>
      </c>
      <c r="B1" s="213" t="s">
        <v>1</v>
      </c>
      <c r="C1" s="213"/>
      <c r="D1" s="215" t="s">
        <v>2</v>
      </c>
      <c r="E1" s="211" t="s">
        <v>48</v>
      </c>
      <c r="F1" s="213"/>
      <c r="G1" s="213"/>
      <c r="H1" s="217"/>
      <c r="I1" s="218" t="s">
        <v>49</v>
      </c>
      <c r="J1" s="213"/>
      <c r="K1" s="213"/>
      <c r="L1" s="217"/>
      <c r="M1" s="211" t="s">
        <v>50</v>
      </c>
      <c r="N1" s="213"/>
      <c r="O1" s="213"/>
      <c r="P1" s="213"/>
      <c r="Q1" s="217"/>
      <c r="R1" s="211" t="s">
        <v>51</v>
      </c>
      <c r="S1" s="213"/>
      <c r="T1" s="213"/>
      <c r="U1" s="217"/>
      <c r="V1" s="211" t="s">
        <v>52</v>
      </c>
      <c r="W1" s="213"/>
      <c r="X1" s="213"/>
      <c r="Y1" s="217"/>
      <c r="Z1" s="211" t="s">
        <v>53</v>
      </c>
      <c r="AA1" s="213"/>
      <c r="AB1" s="213"/>
      <c r="AC1" s="213"/>
      <c r="AD1" s="217"/>
    </row>
    <row r="2" spans="1:30" s="5" customFormat="1" ht="67.75" customHeight="1" thickBot="1" x14ac:dyDescent="0.4">
      <c r="A2" s="212"/>
      <c r="B2" s="214"/>
      <c r="C2" s="214"/>
      <c r="D2" s="216"/>
      <c r="E2" s="6" t="s">
        <v>22</v>
      </c>
      <c r="F2" s="7" t="s">
        <v>23</v>
      </c>
      <c r="G2" s="7" t="s">
        <v>24</v>
      </c>
      <c r="H2" s="8" t="s">
        <v>25</v>
      </c>
      <c r="I2" s="9" t="s">
        <v>26</v>
      </c>
      <c r="J2" s="7" t="s">
        <v>27</v>
      </c>
      <c r="K2" s="7" t="s">
        <v>28</v>
      </c>
      <c r="L2" s="8" t="s">
        <v>29</v>
      </c>
      <c r="M2" s="6" t="s">
        <v>30</v>
      </c>
      <c r="N2" s="7" t="s">
        <v>31</v>
      </c>
      <c r="O2" s="7" t="s">
        <v>32</v>
      </c>
      <c r="P2" s="7" t="s">
        <v>33</v>
      </c>
      <c r="Q2" s="8" t="s">
        <v>34</v>
      </c>
      <c r="R2" s="6" t="s">
        <v>35</v>
      </c>
      <c r="S2" s="7" t="s">
        <v>36</v>
      </c>
      <c r="T2" s="7" t="s">
        <v>37</v>
      </c>
      <c r="U2" s="8" t="s">
        <v>38</v>
      </c>
      <c r="V2" s="6" t="s">
        <v>39</v>
      </c>
      <c r="W2" s="7" t="s">
        <v>40</v>
      </c>
      <c r="X2" s="7" t="s">
        <v>41</v>
      </c>
      <c r="Y2" s="8" t="s">
        <v>42</v>
      </c>
      <c r="Z2" s="6" t="s">
        <v>43</v>
      </c>
      <c r="AA2" s="7" t="s">
        <v>44</v>
      </c>
      <c r="AB2" s="7" t="s">
        <v>45</v>
      </c>
      <c r="AC2" s="7" t="s">
        <v>46</v>
      </c>
      <c r="AD2" s="8" t="s">
        <v>47</v>
      </c>
    </row>
    <row r="3" spans="1:30" s="5" customFormat="1" ht="71.400000000000006" customHeight="1" x14ac:dyDescent="0.35">
      <c r="A3" s="10">
        <v>1</v>
      </c>
      <c r="B3" s="219" t="s">
        <v>67</v>
      </c>
      <c r="C3" s="222" t="s">
        <v>3</v>
      </c>
      <c r="D3" s="1" t="s">
        <v>65</v>
      </c>
      <c r="E3" s="11"/>
      <c r="F3" s="12"/>
      <c r="G3" s="12"/>
      <c r="H3" s="13"/>
      <c r="I3" s="14"/>
      <c r="J3" s="15"/>
      <c r="K3" s="15"/>
      <c r="L3" s="16"/>
      <c r="M3" s="17"/>
      <c r="N3" s="15"/>
      <c r="O3" s="15"/>
      <c r="P3" s="15"/>
      <c r="Q3" s="16"/>
      <c r="R3" s="17"/>
      <c r="S3" s="15"/>
      <c r="T3" s="15"/>
      <c r="U3" s="16"/>
      <c r="V3" s="17"/>
      <c r="W3" s="15"/>
      <c r="X3" s="15"/>
      <c r="Y3" s="16"/>
      <c r="Z3" s="17"/>
      <c r="AA3" s="15"/>
      <c r="AB3" s="15"/>
      <c r="AC3" s="15"/>
      <c r="AD3" s="16"/>
    </row>
    <row r="4" spans="1:30" s="5" customFormat="1" ht="71.400000000000006" customHeight="1" x14ac:dyDescent="0.35">
      <c r="A4" s="18">
        <v>2</v>
      </c>
      <c r="B4" s="220"/>
      <c r="C4" s="223"/>
      <c r="D4" s="2" t="s">
        <v>4</v>
      </c>
      <c r="E4" s="19"/>
      <c r="F4" s="20"/>
      <c r="G4" s="21"/>
      <c r="H4" s="22"/>
      <c r="I4" s="23"/>
      <c r="J4" s="21"/>
      <c r="K4" s="21"/>
      <c r="L4" s="22"/>
      <c r="M4" s="19"/>
      <c r="N4" s="21"/>
      <c r="O4" s="21"/>
      <c r="P4" s="21"/>
      <c r="Q4" s="22"/>
      <c r="R4" s="19"/>
      <c r="S4" s="21"/>
      <c r="T4" s="21"/>
      <c r="U4" s="22"/>
      <c r="V4" s="19"/>
      <c r="W4" s="21"/>
      <c r="X4" s="21"/>
      <c r="Y4" s="22"/>
      <c r="Z4" s="19"/>
      <c r="AA4" s="21"/>
      <c r="AB4" s="21"/>
      <c r="AC4" s="21"/>
      <c r="AD4" s="22"/>
    </row>
    <row r="5" spans="1:30" s="5" customFormat="1" ht="71.400000000000006" customHeight="1" x14ac:dyDescent="0.35">
      <c r="A5" s="18">
        <v>3</v>
      </c>
      <c r="B5" s="220"/>
      <c r="C5" s="224" t="s">
        <v>5</v>
      </c>
      <c r="D5" s="2" t="s">
        <v>6</v>
      </c>
      <c r="E5" s="19"/>
      <c r="F5" s="24"/>
      <c r="G5" s="24"/>
      <c r="H5" s="22"/>
      <c r="I5" s="23"/>
      <c r="J5" s="21"/>
      <c r="K5" s="21"/>
      <c r="L5" s="22"/>
      <c r="M5" s="19"/>
      <c r="N5" s="21"/>
      <c r="O5" s="21"/>
      <c r="P5" s="21"/>
      <c r="Q5" s="22"/>
      <c r="R5" s="19"/>
      <c r="S5" s="21"/>
      <c r="T5" s="21"/>
      <c r="U5" s="22"/>
      <c r="V5" s="19"/>
      <c r="W5" s="21"/>
      <c r="X5" s="21"/>
      <c r="Y5" s="22"/>
      <c r="Z5" s="19"/>
      <c r="AA5" s="21"/>
      <c r="AB5" s="21"/>
      <c r="AC5" s="21"/>
      <c r="AD5" s="22"/>
    </row>
    <row r="6" spans="1:30" s="5" customFormat="1" ht="71.400000000000006" customHeight="1" x14ac:dyDescent="0.35">
      <c r="A6" s="18">
        <v>4</v>
      </c>
      <c r="B6" s="220"/>
      <c r="C6" s="224"/>
      <c r="D6" s="2" t="s">
        <v>7</v>
      </c>
      <c r="E6" s="19"/>
      <c r="F6" s="24"/>
      <c r="G6" s="24"/>
      <c r="H6" s="22"/>
      <c r="I6" s="23"/>
      <c r="J6" s="21"/>
      <c r="K6" s="21"/>
      <c r="L6" s="22"/>
      <c r="M6" s="19"/>
      <c r="N6" s="21"/>
      <c r="O6" s="21"/>
      <c r="P6" s="21"/>
      <c r="Q6" s="22"/>
      <c r="R6" s="19"/>
      <c r="S6" s="21"/>
      <c r="T6" s="21"/>
      <c r="U6" s="22"/>
      <c r="V6" s="19"/>
      <c r="W6" s="21"/>
      <c r="X6" s="21"/>
      <c r="Y6" s="22"/>
      <c r="Z6" s="19"/>
      <c r="AA6" s="21"/>
      <c r="AB6" s="21"/>
      <c r="AC6" s="21"/>
      <c r="AD6" s="22"/>
    </row>
    <row r="7" spans="1:30" s="5" customFormat="1" ht="71.400000000000006" customHeight="1" x14ac:dyDescent="0.35">
      <c r="A7" s="18">
        <v>5</v>
      </c>
      <c r="B7" s="220"/>
      <c r="C7" s="224"/>
      <c r="D7" s="2" t="s">
        <v>11</v>
      </c>
      <c r="E7" s="19"/>
      <c r="F7" s="21"/>
      <c r="G7" s="24"/>
      <c r="H7" s="22"/>
      <c r="I7" s="23"/>
      <c r="J7" s="21"/>
      <c r="K7" s="21"/>
      <c r="L7" s="22"/>
      <c r="M7" s="19"/>
      <c r="N7" s="21"/>
      <c r="O7" s="21"/>
      <c r="P7" s="21"/>
      <c r="Q7" s="22"/>
      <c r="R7" s="19"/>
      <c r="S7" s="21"/>
      <c r="T7" s="21"/>
      <c r="U7" s="22"/>
      <c r="V7" s="19"/>
      <c r="W7" s="21"/>
      <c r="X7" s="21"/>
      <c r="Y7" s="22"/>
      <c r="Z7" s="19"/>
      <c r="AA7" s="21"/>
      <c r="AB7" s="21"/>
      <c r="AC7" s="21"/>
      <c r="AD7" s="22"/>
    </row>
    <row r="8" spans="1:30" s="5" customFormat="1" ht="71.400000000000006" customHeight="1" x14ac:dyDescent="0.35">
      <c r="A8" s="18">
        <v>6</v>
      </c>
      <c r="B8" s="220"/>
      <c r="C8" s="224"/>
      <c r="D8" s="2" t="s">
        <v>55</v>
      </c>
      <c r="E8" s="19"/>
      <c r="F8" s="21"/>
      <c r="G8" s="21"/>
      <c r="H8" s="25"/>
      <c r="I8" s="23"/>
      <c r="J8" s="21"/>
      <c r="K8" s="21"/>
      <c r="L8" s="22"/>
      <c r="M8" s="19"/>
      <c r="N8" s="21"/>
      <c r="O8" s="21"/>
      <c r="P8" s="21"/>
      <c r="Q8" s="22"/>
      <c r="R8" s="19"/>
      <c r="S8" s="21"/>
      <c r="T8" s="21"/>
      <c r="U8" s="22"/>
      <c r="V8" s="19"/>
      <c r="W8" s="21"/>
      <c r="X8" s="21"/>
      <c r="Y8" s="22"/>
      <c r="Z8" s="19"/>
      <c r="AA8" s="21"/>
      <c r="AB8" s="21"/>
      <c r="AC8" s="21"/>
      <c r="AD8" s="22"/>
    </row>
    <row r="9" spans="1:30" s="5" customFormat="1" ht="71.400000000000006" customHeight="1" x14ac:dyDescent="0.35">
      <c r="A9" s="18">
        <v>7</v>
      </c>
      <c r="B9" s="220"/>
      <c r="C9" s="224"/>
      <c r="D9" s="2" t="s">
        <v>17</v>
      </c>
      <c r="E9" s="19"/>
      <c r="F9" s="21"/>
      <c r="G9" s="21"/>
      <c r="H9" s="25"/>
      <c r="I9" s="23"/>
      <c r="J9" s="21"/>
      <c r="K9" s="21"/>
      <c r="L9" s="22"/>
      <c r="M9" s="19"/>
      <c r="N9" s="21"/>
      <c r="O9" s="21"/>
      <c r="P9" s="21"/>
      <c r="Q9" s="22"/>
      <c r="R9" s="19"/>
      <c r="S9" s="21"/>
      <c r="T9" s="21"/>
      <c r="U9" s="22"/>
      <c r="V9" s="19"/>
      <c r="W9" s="21"/>
      <c r="X9" s="21"/>
      <c r="Y9" s="22"/>
      <c r="Z9" s="19"/>
      <c r="AA9" s="21"/>
      <c r="AB9" s="21"/>
      <c r="AC9" s="21"/>
      <c r="AD9" s="22"/>
    </row>
    <row r="10" spans="1:30" s="5" customFormat="1" ht="71.400000000000006" customHeight="1" thickBot="1" x14ac:dyDescent="0.4">
      <c r="A10" s="26">
        <v>8</v>
      </c>
      <c r="B10" s="221"/>
      <c r="C10" s="225"/>
      <c r="D10" s="3" t="s">
        <v>18</v>
      </c>
      <c r="E10" s="27"/>
      <c r="F10" s="28"/>
      <c r="G10" s="28"/>
      <c r="H10" s="29"/>
      <c r="I10" s="30"/>
      <c r="J10" s="28"/>
      <c r="K10" s="28"/>
      <c r="L10" s="31"/>
      <c r="M10" s="27"/>
      <c r="N10" s="28"/>
      <c r="O10" s="28"/>
      <c r="P10" s="28"/>
      <c r="Q10" s="31"/>
      <c r="R10" s="27"/>
      <c r="S10" s="28"/>
      <c r="T10" s="28"/>
      <c r="U10" s="31"/>
      <c r="V10" s="27"/>
      <c r="W10" s="28"/>
      <c r="X10" s="28"/>
      <c r="Y10" s="31"/>
      <c r="Z10" s="27"/>
      <c r="AA10" s="28"/>
      <c r="AB10" s="28"/>
      <c r="AC10" s="28"/>
      <c r="AD10" s="31"/>
    </row>
    <row r="11" spans="1:30" s="5" customFormat="1" ht="71.400000000000006" customHeight="1" x14ac:dyDescent="0.35">
      <c r="A11" s="10">
        <v>9</v>
      </c>
      <c r="B11" s="219" t="s">
        <v>66</v>
      </c>
      <c r="C11" s="226" t="s">
        <v>8</v>
      </c>
      <c r="D11" s="1" t="s">
        <v>63</v>
      </c>
      <c r="E11" s="32"/>
      <c r="F11" s="33"/>
      <c r="G11" s="33"/>
      <c r="H11" s="34"/>
      <c r="I11" s="35"/>
      <c r="J11" s="33"/>
      <c r="K11" s="33"/>
      <c r="L11" s="36"/>
      <c r="M11" s="17"/>
      <c r="N11" s="15"/>
      <c r="O11" s="15"/>
      <c r="P11" s="15"/>
      <c r="Q11" s="16"/>
      <c r="R11" s="17"/>
      <c r="S11" s="15"/>
      <c r="T11" s="15"/>
      <c r="U11" s="16"/>
      <c r="V11" s="17"/>
      <c r="W11" s="15"/>
      <c r="X11" s="15"/>
      <c r="Y11" s="16"/>
      <c r="Z11" s="17"/>
      <c r="AA11" s="15"/>
      <c r="AB11" s="15"/>
      <c r="AC11" s="15"/>
      <c r="AD11" s="16"/>
    </row>
    <row r="12" spans="1:30" s="5" customFormat="1" ht="71.400000000000006" customHeight="1" x14ac:dyDescent="0.35">
      <c r="A12" s="18">
        <v>10</v>
      </c>
      <c r="B12" s="220"/>
      <c r="C12" s="227"/>
      <c r="D12" s="2" t="s">
        <v>59</v>
      </c>
      <c r="E12" s="19"/>
      <c r="F12" s="21"/>
      <c r="G12" s="37"/>
      <c r="H12" s="38"/>
      <c r="I12" s="39"/>
      <c r="J12" s="37"/>
      <c r="K12" s="37"/>
      <c r="L12" s="38"/>
      <c r="M12" s="40"/>
      <c r="N12" s="21"/>
      <c r="O12" s="21"/>
      <c r="P12" s="21"/>
      <c r="Q12" s="22"/>
      <c r="R12" s="19"/>
      <c r="S12" s="21"/>
      <c r="T12" s="21"/>
      <c r="U12" s="22"/>
      <c r="V12" s="19"/>
      <c r="W12" s="21"/>
      <c r="X12" s="21"/>
      <c r="Y12" s="22"/>
      <c r="Z12" s="19"/>
      <c r="AA12" s="21"/>
      <c r="AB12" s="21"/>
      <c r="AC12" s="21"/>
      <c r="AD12" s="22"/>
    </row>
    <row r="13" spans="1:30" s="5" customFormat="1" ht="71.400000000000006" customHeight="1" x14ac:dyDescent="0.35">
      <c r="A13" s="18">
        <v>11</v>
      </c>
      <c r="B13" s="220"/>
      <c r="C13" s="227"/>
      <c r="D13" s="2" t="s">
        <v>9</v>
      </c>
      <c r="E13" s="19"/>
      <c r="F13" s="21"/>
      <c r="G13" s="37"/>
      <c r="H13" s="38"/>
      <c r="I13" s="39"/>
      <c r="J13" s="37"/>
      <c r="K13" s="37"/>
      <c r="L13" s="38"/>
      <c r="M13" s="40"/>
      <c r="N13" s="37"/>
      <c r="O13" s="37"/>
      <c r="P13" s="37"/>
      <c r="Q13" s="38"/>
      <c r="R13" s="19"/>
      <c r="S13" s="21"/>
      <c r="T13" s="21"/>
      <c r="U13" s="22"/>
      <c r="V13" s="41"/>
      <c r="W13" s="42"/>
      <c r="X13" s="42"/>
      <c r="Y13" s="22"/>
      <c r="Z13" s="19"/>
      <c r="AA13" s="21"/>
      <c r="AB13" s="21"/>
      <c r="AC13" s="21"/>
      <c r="AD13" s="22"/>
    </row>
    <row r="14" spans="1:30" s="5" customFormat="1" ht="71.400000000000006" customHeight="1" x14ac:dyDescent="0.35">
      <c r="A14" s="18">
        <v>12</v>
      </c>
      <c r="B14" s="220"/>
      <c r="C14" s="227"/>
      <c r="D14" s="2" t="s">
        <v>10</v>
      </c>
      <c r="E14" s="19"/>
      <c r="F14" s="21"/>
      <c r="G14" s="21"/>
      <c r="H14" s="22"/>
      <c r="I14" s="23"/>
      <c r="J14" s="37"/>
      <c r="K14" s="37"/>
      <c r="L14" s="38"/>
      <c r="M14" s="40"/>
      <c r="N14" s="37"/>
      <c r="O14" s="37"/>
      <c r="P14" s="37"/>
      <c r="Q14" s="38"/>
      <c r="R14" s="19"/>
      <c r="S14" s="21"/>
      <c r="T14" s="21"/>
      <c r="U14" s="22"/>
      <c r="V14" s="41"/>
      <c r="W14" s="42"/>
      <c r="X14" s="42"/>
      <c r="Y14" s="22"/>
      <c r="Z14" s="19"/>
      <c r="AA14" s="21"/>
      <c r="AB14" s="21"/>
      <c r="AC14" s="21"/>
      <c r="AD14" s="22"/>
    </row>
    <row r="15" spans="1:30" s="5" customFormat="1" ht="71.400000000000006" customHeight="1" x14ac:dyDescent="0.35">
      <c r="A15" s="18">
        <v>13</v>
      </c>
      <c r="B15" s="220"/>
      <c r="C15" s="227"/>
      <c r="D15" s="2" t="s">
        <v>61</v>
      </c>
      <c r="E15" s="19"/>
      <c r="F15" s="21"/>
      <c r="G15" s="21"/>
      <c r="H15" s="22"/>
      <c r="I15" s="23"/>
      <c r="J15" s="21"/>
      <c r="K15" s="37"/>
      <c r="L15" s="38"/>
      <c r="M15" s="19"/>
      <c r="N15" s="21"/>
      <c r="O15" s="21"/>
      <c r="P15" s="21"/>
      <c r="Q15" s="22"/>
      <c r="R15" s="19"/>
      <c r="S15" s="21"/>
      <c r="T15" s="21"/>
      <c r="U15" s="22"/>
      <c r="V15" s="19"/>
      <c r="W15" s="21"/>
      <c r="X15" s="21"/>
      <c r="Y15" s="22"/>
      <c r="Z15" s="19"/>
      <c r="AA15" s="21"/>
      <c r="AB15" s="21"/>
      <c r="AC15" s="21"/>
      <c r="AD15" s="22"/>
    </row>
    <row r="16" spans="1:30" s="5" customFormat="1" ht="71.400000000000006" customHeight="1" x14ac:dyDescent="0.35">
      <c r="A16" s="18">
        <v>14</v>
      </c>
      <c r="B16" s="220"/>
      <c r="C16" s="227"/>
      <c r="D16" s="2" t="s">
        <v>62</v>
      </c>
      <c r="E16" s="19"/>
      <c r="F16" s="21"/>
      <c r="G16" s="21"/>
      <c r="H16" s="22"/>
      <c r="I16" s="23"/>
      <c r="J16" s="21"/>
      <c r="K16" s="21"/>
      <c r="L16" s="38"/>
      <c r="M16" s="40"/>
      <c r="N16" s="37"/>
      <c r="O16" s="37"/>
      <c r="P16" s="21"/>
      <c r="Q16" s="22"/>
      <c r="R16" s="19"/>
      <c r="S16" s="21"/>
      <c r="T16" s="21"/>
      <c r="U16" s="22"/>
      <c r="V16" s="19"/>
      <c r="W16" s="21"/>
      <c r="X16" s="21"/>
      <c r="Y16" s="22"/>
      <c r="Z16" s="19"/>
      <c r="AA16" s="21"/>
      <c r="AB16" s="21"/>
      <c r="AC16" s="21"/>
      <c r="AD16" s="22"/>
    </row>
    <row r="17" spans="1:30" s="5" customFormat="1" ht="71.400000000000006" customHeight="1" x14ac:dyDescent="0.35">
      <c r="A17" s="18">
        <v>15</v>
      </c>
      <c r="B17" s="220"/>
      <c r="C17" s="227"/>
      <c r="D17" s="2" t="s">
        <v>64</v>
      </c>
      <c r="E17" s="19"/>
      <c r="F17" s="21"/>
      <c r="G17" s="21"/>
      <c r="H17" s="22"/>
      <c r="I17" s="23"/>
      <c r="J17" s="21"/>
      <c r="K17" s="21"/>
      <c r="L17" s="38"/>
      <c r="M17" s="40"/>
      <c r="N17" s="37"/>
      <c r="O17" s="37"/>
      <c r="P17" s="21"/>
      <c r="Q17" s="22"/>
      <c r="R17" s="19"/>
      <c r="S17" s="21"/>
      <c r="T17" s="21"/>
      <c r="U17" s="22"/>
      <c r="V17" s="19"/>
      <c r="W17" s="21"/>
      <c r="X17" s="21"/>
      <c r="Y17" s="22"/>
      <c r="Z17" s="19"/>
      <c r="AA17" s="21"/>
      <c r="AB17" s="21"/>
      <c r="AC17" s="21"/>
      <c r="AD17" s="22"/>
    </row>
    <row r="18" spans="1:30" s="5" customFormat="1" ht="71.400000000000006" customHeight="1" x14ac:dyDescent="0.35">
      <c r="A18" s="18">
        <v>16</v>
      </c>
      <c r="B18" s="220"/>
      <c r="C18" s="227"/>
      <c r="D18" s="2" t="s">
        <v>56</v>
      </c>
      <c r="E18" s="19"/>
      <c r="F18" s="21"/>
      <c r="G18" s="21"/>
      <c r="H18" s="22"/>
      <c r="I18" s="23"/>
      <c r="J18" s="21"/>
      <c r="K18" s="21"/>
      <c r="L18" s="38"/>
      <c r="M18" s="40"/>
      <c r="N18" s="37"/>
      <c r="O18" s="37"/>
      <c r="P18" s="37"/>
      <c r="Q18" s="38"/>
      <c r="R18" s="19"/>
      <c r="S18" s="21"/>
      <c r="T18" s="21"/>
      <c r="U18" s="22"/>
      <c r="V18" s="19"/>
      <c r="W18" s="21"/>
      <c r="X18" s="21"/>
      <c r="Y18" s="22"/>
      <c r="Z18" s="19"/>
      <c r="AA18" s="21"/>
      <c r="AB18" s="21"/>
      <c r="AC18" s="21"/>
      <c r="AD18" s="22"/>
    </row>
    <row r="19" spans="1:30" s="5" customFormat="1" ht="71.400000000000006" customHeight="1" x14ac:dyDescent="0.35">
      <c r="A19" s="18">
        <v>17</v>
      </c>
      <c r="B19" s="220"/>
      <c r="C19" s="227"/>
      <c r="D19" s="2" t="s">
        <v>57</v>
      </c>
      <c r="E19" s="19"/>
      <c r="F19" s="21"/>
      <c r="G19" s="21"/>
      <c r="H19" s="22"/>
      <c r="I19" s="23"/>
      <c r="J19" s="21"/>
      <c r="K19" s="21"/>
      <c r="L19" s="38"/>
      <c r="M19" s="40"/>
      <c r="N19" s="37"/>
      <c r="O19" s="37"/>
      <c r="P19" s="37"/>
      <c r="Q19" s="38"/>
      <c r="R19" s="19"/>
      <c r="S19" s="21"/>
      <c r="T19" s="21"/>
      <c r="U19" s="22"/>
      <c r="V19" s="19"/>
      <c r="W19" s="21"/>
      <c r="X19" s="21"/>
      <c r="Y19" s="22"/>
      <c r="Z19" s="19"/>
      <c r="AA19" s="21"/>
      <c r="AB19" s="21"/>
      <c r="AC19" s="21"/>
      <c r="AD19" s="22"/>
    </row>
    <row r="20" spans="1:30" s="5" customFormat="1" ht="71.400000000000006" customHeight="1" x14ac:dyDescent="0.35">
      <c r="A20" s="18">
        <v>18</v>
      </c>
      <c r="B20" s="220"/>
      <c r="C20" s="228" t="s">
        <v>15</v>
      </c>
      <c r="D20" s="2" t="s">
        <v>12</v>
      </c>
      <c r="E20" s="19"/>
      <c r="F20" s="21"/>
      <c r="G20" s="21"/>
      <c r="H20" s="22"/>
      <c r="I20" s="23"/>
      <c r="J20" s="21"/>
      <c r="K20" s="21"/>
      <c r="L20" s="22"/>
      <c r="M20" s="19"/>
      <c r="N20" s="21"/>
      <c r="O20" s="21"/>
      <c r="P20" s="21"/>
      <c r="Q20" s="22"/>
      <c r="R20" s="43"/>
      <c r="S20" s="44"/>
      <c r="T20" s="21"/>
      <c r="U20" s="22"/>
      <c r="V20" s="19"/>
      <c r="W20" s="21"/>
      <c r="X20" s="21"/>
      <c r="Y20" s="22"/>
      <c r="Z20" s="19"/>
      <c r="AA20" s="21"/>
      <c r="AB20" s="21"/>
      <c r="AC20" s="21"/>
      <c r="AD20" s="22"/>
    </row>
    <row r="21" spans="1:30" s="5" customFormat="1" ht="71.400000000000006" customHeight="1" x14ac:dyDescent="0.35">
      <c r="A21" s="18">
        <v>19</v>
      </c>
      <c r="B21" s="220"/>
      <c r="C21" s="228"/>
      <c r="D21" s="2" t="s">
        <v>58</v>
      </c>
      <c r="E21" s="19"/>
      <c r="F21" s="21"/>
      <c r="G21" s="21"/>
      <c r="H21" s="22"/>
      <c r="I21" s="23"/>
      <c r="J21" s="21"/>
      <c r="K21" s="21"/>
      <c r="L21" s="22"/>
      <c r="M21" s="19"/>
      <c r="N21" s="21"/>
      <c r="O21" s="21"/>
      <c r="P21" s="21"/>
      <c r="Q21" s="22"/>
      <c r="R21" s="19"/>
      <c r="S21" s="44"/>
      <c r="T21" s="21"/>
      <c r="U21" s="22"/>
      <c r="V21" s="19"/>
      <c r="W21" s="21"/>
      <c r="X21" s="21"/>
      <c r="Y21" s="22"/>
      <c r="Z21" s="19"/>
      <c r="AA21" s="21"/>
      <c r="AB21" s="21"/>
      <c r="AC21" s="21"/>
      <c r="AD21" s="22"/>
    </row>
    <row r="22" spans="1:30" s="5" customFormat="1" ht="71.400000000000006" customHeight="1" x14ac:dyDescent="0.35">
      <c r="A22" s="18">
        <v>20</v>
      </c>
      <c r="B22" s="220"/>
      <c r="C22" s="228"/>
      <c r="D22" s="2" t="s">
        <v>13</v>
      </c>
      <c r="E22" s="19"/>
      <c r="F22" s="21"/>
      <c r="G22" s="21"/>
      <c r="H22" s="22"/>
      <c r="I22" s="23"/>
      <c r="J22" s="21"/>
      <c r="K22" s="21"/>
      <c r="L22" s="22"/>
      <c r="M22" s="19"/>
      <c r="N22" s="21"/>
      <c r="O22" s="21"/>
      <c r="P22" s="21"/>
      <c r="Q22" s="22"/>
      <c r="R22" s="19"/>
      <c r="S22" s="21"/>
      <c r="T22" s="44"/>
      <c r="U22" s="22"/>
      <c r="V22" s="19"/>
      <c r="W22" s="21"/>
      <c r="X22" s="21"/>
      <c r="Y22" s="22"/>
      <c r="Z22" s="19"/>
      <c r="AA22" s="21"/>
      <c r="AB22" s="21"/>
      <c r="AC22" s="21"/>
      <c r="AD22" s="22"/>
    </row>
    <row r="23" spans="1:30" s="5" customFormat="1" ht="71.400000000000006" customHeight="1" x14ac:dyDescent="0.35">
      <c r="A23" s="18">
        <v>21</v>
      </c>
      <c r="B23" s="220"/>
      <c r="C23" s="228"/>
      <c r="D23" s="2" t="s">
        <v>14</v>
      </c>
      <c r="E23" s="19"/>
      <c r="F23" s="21"/>
      <c r="G23" s="21"/>
      <c r="H23" s="22"/>
      <c r="I23" s="23"/>
      <c r="J23" s="21"/>
      <c r="K23" s="21"/>
      <c r="L23" s="22"/>
      <c r="M23" s="19"/>
      <c r="N23" s="21"/>
      <c r="O23" s="21"/>
      <c r="P23" s="21"/>
      <c r="Q23" s="22"/>
      <c r="R23" s="19"/>
      <c r="S23" s="21"/>
      <c r="T23" s="21"/>
      <c r="U23" s="45"/>
      <c r="V23" s="19"/>
      <c r="W23" s="21"/>
      <c r="X23" s="21"/>
      <c r="Y23" s="22"/>
      <c r="Z23" s="19"/>
      <c r="AA23" s="21"/>
      <c r="AB23" s="21"/>
      <c r="AC23" s="21"/>
      <c r="AD23" s="22"/>
    </row>
    <row r="24" spans="1:30" s="5" customFormat="1" ht="71.400000000000006" customHeight="1" x14ac:dyDescent="0.35">
      <c r="A24" s="18">
        <v>22</v>
      </c>
      <c r="B24" s="220"/>
      <c r="C24" s="228"/>
      <c r="D24" s="2" t="s">
        <v>54</v>
      </c>
      <c r="E24" s="19"/>
      <c r="F24" s="21"/>
      <c r="G24" s="21"/>
      <c r="H24" s="22"/>
      <c r="I24" s="23"/>
      <c r="J24" s="21"/>
      <c r="K24" s="21"/>
      <c r="L24" s="22"/>
      <c r="M24" s="19"/>
      <c r="N24" s="21"/>
      <c r="O24" s="21"/>
      <c r="P24" s="21"/>
      <c r="Q24" s="22"/>
      <c r="R24" s="19"/>
      <c r="S24" s="21"/>
      <c r="T24" s="21"/>
      <c r="U24" s="45"/>
      <c r="V24" s="19"/>
      <c r="W24" s="21"/>
      <c r="X24" s="21"/>
      <c r="Y24" s="22"/>
      <c r="Z24" s="19"/>
      <c r="AA24" s="21"/>
      <c r="AB24" s="21"/>
      <c r="AC24" s="21"/>
      <c r="AD24" s="22"/>
    </row>
    <row r="25" spans="1:30" s="5" customFormat="1" ht="71.400000000000006" customHeight="1" x14ac:dyDescent="0.35">
      <c r="A25" s="18">
        <v>23</v>
      </c>
      <c r="B25" s="220"/>
      <c r="C25" s="228"/>
      <c r="D25" s="2" t="s">
        <v>16</v>
      </c>
      <c r="E25" s="19"/>
      <c r="F25" s="21"/>
      <c r="G25" s="21"/>
      <c r="H25" s="22"/>
      <c r="I25" s="23"/>
      <c r="J25" s="21"/>
      <c r="K25" s="21"/>
      <c r="L25" s="22"/>
      <c r="M25" s="19"/>
      <c r="N25" s="21"/>
      <c r="O25" s="21"/>
      <c r="P25" s="21"/>
      <c r="Q25" s="22"/>
      <c r="R25" s="19"/>
      <c r="S25" s="21"/>
      <c r="T25" s="21"/>
      <c r="U25" s="45"/>
      <c r="V25" s="19"/>
      <c r="W25" s="21"/>
      <c r="X25" s="21"/>
      <c r="Y25" s="22"/>
      <c r="Z25" s="19"/>
      <c r="AA25" s="21"/>
      <c r="AB25" s="21"/>
      <c r="AC25" s="21"/>
      <c r="AD25" s="22"/>
    </row>
    <row r="26" spans="1:30" s="5" customFormat="1" ht="71.400000000000006" customHeight="1" x14ac:dyDescent="0.35">
      <c r="A26" s="18">
        <v>24</v>
      </c>
      <c r="B26" s="220"/>
      <c r="C26" s="229" t="s">
        <v>21</v>
      </c>
      <c r="D26" s="2" t="s">
        <v>19</v>
      </c>
      <c r="E26" s="19"/>
      <c r="F26" s="21"/>
      <c r="G26" s="21"/>
      <c r="H26" s="22"/>
      <c r="I26" s="23"/>
      <c r="J26" s="21"/>
      <c r="K26" s="21"/>
      <c r="L26" s="22"/>
      <c r="M26" s="19"/>
      <c r="N26" s="21"/>
      <c r="O26" s="21"/>
      <c r="P26" s="21"/>
      <c r="Q26" s="22"/>
      <c r="R26" s="19"/>
      <c r="S26" s="21"/>
      <c r="T26" s="21"/>
      <c r="U26" s="46"/>
      <c r="V26" s="19"/>
      <c r="W26" s="21"/>
      <c r="X26" s="21"/>
      <c r="Y26" s="22"/>
      <c r="Z26" s="19"/>
      <c r="AA26" s="21"/>
      <c r="AB26" s="21"/>
      <c r="AC26" s="21"/>
      <c r="AD26" s="22"/>
    </row>
    <row r="27" spans="1:30" s="5" customFormat="1" ht="71.400000000000006" customHeight="1" x14ac:dyDescent="0.35">
      <c r="A27" s="18">
        <v>25</v>
      </c>
      <c r="B27" s="220"/>
      <c r="C27" s="229"/>
      <c r="D27" s="2" t="s">
        <v>20</v>
      </c>
      <c r="E27" s="19"/>
      <c r="F27" s="21"/>
      <c r="G27" s="21"/>
      <c r="H27" s="22"/>
      <c r="I27" s="23"/>
      <c r="J27" s="21"/>
      <c r="K27" s="21"/>
      <c r="L27" s="22"/>
      <c r="M27" s="19"/>
      <c r="N27" s="21"/>
      <c r="O27" s="21"/>
      <c r="P27" s="21"/>
      <c r="Q27" s="22"/>
      <c r="R27" s="19"/>
      <c r="S27" s="21"/>
      <c r="T27" s="21"/>
      <c r="U27" s="46"/>
      <c r="V27" s="19"/>
      <c r="W27" s="21"/>
      <c r="X27" s="21"/>
      <c r="Y27" s="22"/>
      <c r="Z27" s="19"/>
      <c r="AA27" s="21"/>
      <c r="AB27" s="21"/>
      <c r="AC27" s="21"/>
      <c r="AD27" s="22"/>
    </row>
    <row r="28" spans="1:30" s="5" customFormat="1" ht="71.400000000000006" customHeight="1" thickBot="1" x14ac:dyDescent="0.4">
      <c r="A28" s="26">
        <v>26</v>
      </c>
      <c r="B28" s="221"/>
      <c r="C28" s="230"/>
      <c r="D28" s="3" t="s">
        <v>60</v>
      </c>
      <c r="E28" s="27"/>
      <c r="F28" s="28"/>
      <c r="G28" s="28"/>
      <c r="H28" s="31"/>
      <c r="I28" s="30"/>
      <c r="J28" s="28"/>
      <c r="K28" s="28"/>
      <c r="L28" s="31"/>
      <c r="M28" s="27"/>
      <c r="N28" s="47"/>
      <c r="O28" s="47"/>
      <c r="P28" s="47"/>
      <c r="Q28" s="31"/>
      <c r="R28" s="27"/>
      <c r="S28" s="28"/>
      <c r="T28" s="28"/>
      <c r="U28" s="48"/>
      <c r="V28" s="49"/>
      <c r="W28" s="50"/>
      <c r="X28" s="50"/>
      <c r="Y28" s="48"/>
      <c r="Z28" s="49"/>
      <c r="AA28" s="50"/>
      <c r="AB28" s="50"/>
      <c r="AC28" s="50"/>
      <c r="AD28" s="48"/>
    </row>
    <row r="29" spans="1:30" ht="14.4" customHeight="1" x14ac:dyDescent="0.35"/>
    <row r="38" ht="14.4" customHeight="1" x14ac:dyDescent="0.35"/>
  </sheetData>
  <mergeCells count="16">
    <mergeCell ref="B11:B28"/>
    <mergeCell ref="C11:C19"/>
    <mergeCell ref="C20:C25"/>
    <mergeCell ref="C26:C28"/>
    <mergeCell ref="M1:Q1"/>
    <mergeCell ref="R1:U1"/>
    <mergeCell ref="V1:Y1"/>
    <mergeCell ref="Z1:AD1"/>
    <mergeCell ref="B3:B10"/>
    <mergeCell ref="C3:C4"/>
    <mergeCell ref="C5:C10"/>
    <mergeCell ref="A1:A2"/>
    <mergeCell ref="B1:C2"/>
    <mergeCell ref="D1:D2"/>
    <mergeCell ref="E1:H1"/>
    <mergeCell ref="I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Quotation</vt:lpstr>
      <vt:lpstr>Quotation </vt:lpstr>
      <vt:lpstr>Project Plan (2)</vt:lpstr>
      <vt:lpstr>6 months (P 0,1,2) + Hyper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Manoj Hanagandi Axestrack</cp:lastModifiedBy>
  <dcterms:created xsi:type="dcterms:W3CDTF">2024-09-12T04:42:12Z</dcterms:created>
  <dcterms:modified xsi:type="dcterms:W3CDTF">2026-03-06T07:08:59Z</dcterms:modified>
</cp:coreProperties>
</file>