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Manoj\Manoj\Axestrack\Solutions\AMNS\Yard Management\Tender Documents\Response\"/>
    </mc:Choice>
  </mc:AlternateContent>
  <xr:revisionPtr revIDLastSave="0" documentId="13_ncr:1_{35245080-1480-477C-B1D8-F83C29C7822C}" xr6:coauthVersionLast="47" xr6:coauthVersionMax="47" xr10:uidLastSave="{00000000-0000-0000-0000-000000000000}"/>
  <bookViews>
    <workbookView xWindow="-110" yWindow="-110" windowWidth="19420" windowHeight="10300" firstSheet="13" activeTab="6" xr2:uid="{00000000-000D-0000-FFFF-FFFF00000000}"/>
  </bookViews>
  <sheets>
    <sheet name="Budget-Complete" sheetId="12" r:id="rId1"/>
    <sheet name="Summary" sheetId="3" state="hidden" r:id="rId2"/>
    <sheet name="Commercials Full-One Plant" sheetId="2" r:id="rId3"/>
    <sheet name="Sheet2" sheetId="7" state="hidden" r:id="rId4"/>
    <sheet name="Manpower Cost New" sheetId="8" r:id="rId5"/>
    <sheet name="Sheet1" sheetId="13" state="hidden" r:id="rId6"/>
    <sheet name="Hardware List-BLE" sheetId="4" r:id="rId7"/>
    <sheet name="Commercials-Phase I" sheetId="14" r:id="rId8"/>
    <sheet name="Commercials-Phase II" sheetId="15" r:id="rId9"/>
    <sheet name="Commercials-Phase III" sheetId="16" r:id="rId10"/>
    <sheet name="Commercials Full-RFID" sheetId="18" r:id="rId11"/>
    <sheet name="Hardware List-RFID" sheetId="17" r:id="rId12"/>
    <sheet name="Commercials Full-RFID Phase I" sheetId="19" r:id="rId13"/>
    <sheet name="Commercials-RFID Phase II" sheetId="20" r:id="rId14"/>
    <sheet name="Commercials-RFID Phase III" sheetId="21" r:id="rId15"/>
  </sheets>
  <externalReferences>
    <externalReference r:id="rId16"/>
  </externalReferences>
  <definedNames>
    <definedName name="_xlnm._FilterDatabase" localSheetId="6" hidden="1">'Hardware List-BLE'!$A$2:$D$28</definedName>
    <definedName name="_xlnm._FilterDatabase" localSheetId="11" hidden="1">'Hardware List-RFID'!$A$2:$D$27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7" l="1"/>
  <c r="K28" i="21"/>
  <c r="K27" i="21"/>
  <c r="F24" i="21"/>
  <c r="F13" i="21"/>
  <c r="F15" i="21" s="1"/>
  <c r="G22" i="21"/>
  <c r="F22" i="21"/>
  <c r="H22" i="21" s="1"/>
  <c r="J21" i="21"/>
  <c r="K21" i="21" s="1"/>
  <c r="H21" i="21"/>
  <c r="G21" i="21"/>
  <c r="G24" i="21" s="1"/>
  <c r="H24" i="21" s="1"/>
  <c r="F18" i="21"/>
  <c r="H18" i="21" s="1"/>
  <c r="H17" i="21"/>
  <c r="K17" i="21" s="1"/>
  <c r="K14" i="21"/>
  <c r="J14" i="21"/>
  <c r="D3" i="21"/>
  <c r="F24" i="20"/>
  <c r="F13" i="19"/>
  <c r="F15" i="19" s="1"/>
  <c r="F13" i="20"/>
  <c r="G22" i="20"/>
  <c r="F22" i="20"/>
  <c r="H22" i="20" s="1"/>
  <c r="K22" i="20" s="1"/>
  <c r="G21" i="20"/>
  <c r="G24" i="20" s="1"/>
  <c r="H24" i="20" s="1"/>
  <c r="H21" i="20"/>
  <c r="F18" i="20"/>
  <c r="H18" i="20" s="1"/>
  <c r="H17" i="20"/>
  <c r="F15" i="20"/>
  <c r="K14" i="20"/>
  <c r="J14" i="20"/>
  <c r="H13" i="20"/>
  <c r="D3" i="20"/>
  <c r="F24" i="19"/>
  <c r="G22" i="19"/>
  <c r="F22" i="19"/>
  <c r="H22" i="19" s="1"/>
  <c r="K22" i="19" s="1"/>
  <c r="G21" i="19"/>
  <c r="G24" i="19" s="1"/>
  <c r="H24" i="19" s="1"/>
  <c r="F21" i="19"/>
  <c r="H21" i="19" s="1"/>
  <c r="F18" i="19"/>
  <c r="H18" i="19" s="1"/>
  <c r="H17" i="19"/>
  <c r="H19" i="19" s="1"/>
  <c r="K14" i="19"/>
  <c r="J14" i="19"/>
  <c r="D3" i="19"/>
  <c r="H18" i="17"/>
  <c r="C26" i="17"/>
  <c r="C19" i="17"/>
  <c r="D19" i="17" s="1"/>
  <c r="C11" i="17"/>
  <c r="C5" i="17"/>
  <c r="I12" i="17"/>
  <c r="I14" i="17" s="1"/>
  <c r="J14" i="17" s="1"/>
  <c r="D29" i="17"/>
  <c r="D28" i="17"/>
  <c r="D27" i="17"/>
  <c r="D26" i="17"/>
  <c r="D22" i="17"/>
  <c r="D21" i="17"/>
  <c r="D20" i="17"/>
  <c r="D14" i="17"/>
  <c r="D13" i="17"/>
  <c r="D12" i="17"/>
  <c r="D11" i="17"/>
  <c r="D15" i="17" s="1"/>
  <c r="G22" i="18"/>
  <c r="F22" i="18"/>
  <c r="H22" i="18" s="1"/>
  <c r="K22" i="18" s="1"/>
  <c r="G21" i="18"/>
  <c r="G24" i="18" s="1"/>
  <c r="F21" i="18"/>
  <c r="H21" i="18" s="1"/>
  <c r="F18" i="18"/>
  <c r="H18" i="18" s="1"/>
  <c r="H17" i="18"/>
  <c r="H19" i="18" s="1"/>
  <c r="K14" i="18"/>
  <c r="J14" i="18"/>
  <c r="D3" i="18"/>
  <c r="D23" i="4"/>
  <c r="D31" i="4"/>
  <c r="D30" i="4"/>
  <c r="D22" i="4"/>
  <c r="D6" i="4"/>
  <c r="J12" i="4"/>
  <c r="C6" i="17"/>
  <c r="D6" i="17" s="1"/>
  <c r="C4" i="17"/>
  <c r="D4" i="17" s="1"/>
  <c r="C3" i="17"/>
  <c r="D3" i="17" s="1"/>
  <c r="D5" i="17"/>
  <c r="F24" i="18" s="1"/>
  <c r="H13" i="21" l="1"/>
  <c r="K18" i="21"/>
  <c r="K19" i="21" s="1"/>
  <c r="J18" i="21"/>
  <c r="H19" i="21"/>
  <c r="J24" i="21"/>
  <c r="K24" i="21" s="1"/>
  <c r="K25" i="21" s="1"/>
  <c r="H25" i="21"/>
  <c r="K22" i="21"/>
  <c r="K23" i="21" s="1"/>
  <c r="H23" i="21"/>
  <c r="J17" i="21"/>
  <c r="J13" i="21"/>
  <c r="H19" i="20"/>
  <c r="H13" i="19"/>
  <c r="K18" i="20"/>
  <c r="J18" i="20"/>
  <c r="H23" i="20"/>
  <c r="J21" i="20"/>
  <c r="K21" i="20" s="1"/>
  <c r="K23" i="20" s="1"/>
  <c r="H25" i="20"/>
  <c r="J24" i="20"/>
  <c r="K24" i="20" s="1"/>
  <c r="K25" i="20" s="1"/>
  <c r="K13" i="20"/>
  <c r="H16" i="20"/>
  <c r="H20" i="20" s="1"/>
  <c r="J13" i="20"/>
  <c r="H15" i="20"/>
  <c r="J17" i="20"/>
  <c r="K17" i="20"/>
  <c r="K18" i="19"/>
  <c r="J18" i="19"/>
  <c r="J21" i="19"/>
  <c r="K21" i="19" s="1"/>
  <c r="K23" i="19" s="1"/>
  <c r="H23" i="19"/>
  <c r="H25" i="19"/>
  <c r="J24" i="19"/>
  <c r="K24" i="19" s="1"/>
  <c r="K25" i="19" s="1"/>
  <c r="K13" i="19"/>
  <c r="J13" i="19"/>
  <c r="H15" i="19"/>
  <c r="H16" i="19" s="1"/>
  <c r="H20" i="19" s="1"/>
  <c r="J17" i="19"/>
  <c r="K17" i="19"/>
  <c r="K19" i="19" s="1"/>
  <c r="D30" i="17"/>
  <c r="D23" i="17"/>
  <c r="J12" i="17"/>
  <c r="I13" i="17"/>
  <c r="J13" i="17" s="1"/>
  <c r="K17" i="18"/>
  <c r="J21" i="18"/>
  <c r="K21" i="18" s="1"/>
  <c r="K23" i="18" s="1"/>
  <c r="H23" i="18"/>
  <c r="K18" i="18"/>
  <c r="K19" i="18" s="1"/>
  <c r="J18" i="18"/>
  <c r="J17" i="18"/>
  <c r="H15" i="21" l="1"/>
  <c r="K13" i="21"/>
  <c r="H26" i="20"/>
  <c r="K19" i="20"/>
  <c r="J15" i="20"/>
  <c r="K15" i="20"/>
  <c r="K16" i="20" s="1"/>
  <c r="K20" i="20" s="1"/>
  <c r="K26" i="20" s="1"/>
  <c r="I26" i="20" s="1"/>
  <c r="H26" i="19"/>
  <c r="K15" i="19"/>
  <c r="K16" i="19" s="1"/>
  <c r="K20" i="19" s="1"/>
  <c r="K26" i="19" s="1"/>
  <c r="I26" i="19" s="1"/>
  <c r="J15" i="19"/>
  <c r="D7" i="17"/>
  <c r="F13" i="18" s="1"/>
  <c r="G24" i="16"/>
  <c r="G22" i="16"/>
  <c r="F22" i="16"/>
  <c r="H22" i="16" s="1"/>
  <c r="K22" i="16" s="1"/>
  <c r="G21" i="16"/>
  <c r="H21" i="16"/>
  <c r="H18" i="16"/>
  <c r="H17" i="16"/>
  <c r="K17" i="16" s="1"/>
  <c r="K14" i="16"/>
  <c r="J14" i="16"/>
  <c r="D3" i="16"/>
  <c r="C11" i="4"/>
  <c r="D11" i="4" s="1"/>
  <c r="D29" i="4"/>
  <c r="D21" i="4"/>
  <c r="I17" i="4"/>
  <c r="I18" i="4" s="1"/>
  <c r="J18" i="4" s="1"/>
  <c r="C20" i="4" s="1"/>
  <c r="D20" i="4" s="1"/>
  <c r="I14" i="4"/>
  <c r="J14" i="4" s="1"/>
  <c r="C27" i="4" s="1"/>
  <c r="D27" i="4" s="1"/>
  <c r="I13" i="4"/>
  <c r="J13" i="4" s="1"/>
  <c r="D14" i="4"/>
  <c r="D13" i="4"/>
  <c r="G22" i="15"/>
  <c r="F22" i="15"/>
  <c r="H22" i="15" s="1"/>
  <c r="K22" i="15" s="1"/>
  <c r="G21" i="15"/>
  <c r="G24" i="15" s="1"/>
  <c r="H21" i="15"/>
  <c r="F18" i="15"/>
  <c r="H18" i="15" s="1"/>
  <c r="H17" i="15"/>
  <c r="K14" i="15"/>
  <c r="J14" i="15"/>
  <c r="D3" i="15"/>
  <c r="G22" i="14"/>
  <c r="F22" i="14"/>
  <c r="H22" i="14" s="1"/>
  <c r="H21" i="14"/>
  <c r="J21" i="14" s="1"/>
  <c r="K21" i="14" s="1"/>
  <c r="G21" i="14"/>
  <c r="G24" i="14" s="1"/>
  <c r="F21" i="14"/>
  <c r="H18" i="14"/>
  <c r="K18" i="14" s="1"/>
  <c r="F18" i="14"/>
  <c r="H17" i="14"/>
  <c r="H19" i="14" s="1"/>
  <c r="K14" i="14"/>
  <c r="J14" i="14"/>
  <c r="D3" i="14"/>
  <c r="H10" i="4"/>
  <c r="H9" i="4"/>
  <c r="I4" i="4"/>
  <c r="J4" i="4" s="1"/>
  <c r="J3" i="4"/>
  <c r="J5" i="4" s="1"/>
  <c r="J21" i="2"/>
  <c r="K21" i="2" s="1"/>
  <c r="D3" i="13"/>
  <c r="B2" i="13"/>
  <c r="D2" i="13" s="1"/>
  <c r="S8" i="8"/>
  <c r="F21" i="2" s="1"/>
  <c r="H21" i="2" s="1"/>
  <c r="S7" i="8"/>
  <c r="D5" i="4"/>
  <c r="U24" i="8"/>
  <c r="U25" i="8"/>
  <c r="U26" i="8" s="1"/>
  <c r="K15" i="21" l="1"/>
  <c r="K16" i="21" s="1"/>
  <c r="K20" i="21" s="1"/>
  <c r="K26" i="21" s="1"/>
  <c r="J15" i="21"/>
  <c r="H16" i="21"/>
  <c r="H20" i="21" s="1"/>
  <c r="H26" i="21" s="1"/>
  <c r="F15" i="18"/>
  <c r="H24" i="18" s="1"/>
  <c r="H13" i="18"/>
  <c r="C19" i="4"/>
  <c r="D19" i="4" s="1"/>
  <c r="C3" i="4"/>
  <c r="D3" i="4" s="1"/>
  <c r="H19" i="15"/>
  <c r="J21" i="16"/>
  <c r="K21" i="16" s="1"/>
  <c r="K23" i="16" s="1"/>
  <c r="H23" i="16"/>
  <c r="K18" i="16"/>
  <c r="K19" i="16" s="1"/>
  <c r="J18" i="16"/>
  <c r="H19" i="16"/>
  <c r="J17" i="16"/>
  <c r="I19" i="4"/>
  <c r="J19" i="4" s="1"/>
  <c r="C28" i="4" s="1"/>
  <c r="D28" i="4" s="1"/>
  <c r="F13" i="16" s="1"/>
  <c r="F15" i="16" s="1"/>
  <c r="J17" i="4"/>
  <c r="C12" i="4" s="1"/>
  <c r="D12" i="4" s="1"/>
  <c r="D15" i="4" s="1"/>
  <c r="F13" i="14" s="1"/>
  <c r="J21" i="15"/>
  <c r="K21" i="15" s="1"/>
  <c r="K23" i="15" s="1"/>
  <c r="H23" i="15"/>
  <c r="K18" i="15"/>
  <c r="J18" i="15"/>
  <c r="J17" i="15"/>
  <c r="K17" i="15"/>
  <c r="H23" i="14"/>
  <c r="K22" i="14"/>
  <c r="K23" i="14" s="1"/>
  <c r="J17" i="14"/>
  <c r="K17" i="14"/>
  <c r="K19" i="14" s="1"/>
  <c r="J18" i="14"/>
  <c r="D4" i="4"/>
  <c r="G5" i="12"/>
  <c r="E21" i="12"/>
  <c r="E20" i="12"/>
  <c r="I26" i="21" l="1"/>
  <c r="K13" i="18"/>
  <c r="J13" i="18"/>
  <c r="H15" i="18"/>
  <c r="H16" i="18"/>
  <c r="H20" i="18" s="1"/>
  <c r="J24" i="18"/>
  <c r="K24" i="18" s="1"/>
  <c r="K25" i="18" s="1"/>
  <c r="H25" i="18"/>
  <c r="F13" i="15"/>
  <c r="F27" i="4"/>
  <c r="H13" i="16"/>
  <c r="J13" i="16" s="1"/>
  <c r="F24" i="16"/>
  <c r="H24" i="16" s="1"/>
  <c r="K19" i="15"/>
  <c r="K13" i="16"/>
  <c r="H15" i="16"/>
  <c r="D7" i="4"/>
  <c r="F13" i="2" s="1"/>
  <c r="F15" i="2" s="1"/>
  <c r="F24" i="2" s="1"/>
  <c r="H24" i="2" s="1"/>
  <c r="J24" i="2" s="1"/>
  <c r="K24" i="2" s="1"/>
  <c r="K25" i="2" s="1"/>
  <c r="D3" i="3" s="1"/>
  <c r="J17" i="8"/>
  <c r="C17" i="8"/>
  <c r="E17" i="8" s="1"/>
  <c r="J16" i="8"/>
  <c r="C16" i="8"/>
  <c r="E16" i="8" s="1"/>
  <c r="J15" i="8"/>
  <c r="C15" i="8"/>
  <c r="E15" i="8" s="1"/>
  <c r="E18" i="8" s="1"/>
  <c r="C5" i="7"/>
  <c r="D5" i="7" s="1"/>
  <c r="C4" i="7"/>
  <c r="D4" i="7" s="1"/>
  <c r="C3" i="7"/>
  <c r="D3" i="7" s="1"/>
  <c r="C2" i="7"/>
  <c r="D2" i="7" s="1"/>
  <c r="D6" i="7" s="1"/>
  <c r="G24" i="2"/>
  <c r="G22" i="2"/>
  <c r="F22" i="2"/>
  <c r="H22" i="2" s="1"/>
  <c r="K22" i="2" s="1"/>
  <c r="G21" i="2"/>
  <c r="F18" i="2"/>
  <c r="H18" i="2" s="1"/>
  <c r="J18" i="2" s="1"/>
  <c r="D3" i="2"/>
  <c r="H26" i="18" l="1"/>
  <c r="J15" i="18"/>
  <c r="K15" i="18"/>
  <c r="K16" i="18" s="1"/>
  <c r="K20" i="18" s="1"/>
  <c r="K26" i="18" s="1"/>
  <c r="H25" i="16"/>
  <c r="J24" i="16"/>
  <c r="K24" i="16" s="1"/>
  <c r="K25" i="16" s="1"/>
  <c r="G3" i="3" s="1"/>
  <c r="H13" i="2"/>
  <c r="J13" i="2" s="1"/>
  <c r="K15" i="16"/>
  <c r="J15" i="16"/>
  <c r="K16" i="16"/>
  <c r="K20" i="16" s="1"/>
  <c r="H16" i="16"/>
  <c r="H20" i="16" s="1"/>
  <c r="F15" i="15"/>
  <c r="F24" i="15" s="1"/>
  <c r="H24" i="15" s="1"/>
  <c r="H13" i="15"/>
  <c r="H13" i="14"/>
  <c r="F15" i="14"/>
  <c r="F24" i="14" s="1"/>
  <c r="H24" i="14" s="1"/>
  <c r="E19" i="8"/>
  <c r="E20" i="8" s="1"/>
  <c r="I34" i="8"/>
  <c r="C38" i="8" s="1"/>
  <c r="H17" i="2" s="1"/>
  <c r="K18" i="2"/>
  <c r="F21" i="12" s="1"/>
  <c r="G21" i="12" s="1"/>
  <c r="I26" i="18" l="1"/>
  <c r="H26" i="16"/>
  <c r="K26" i="16"/>
  <c r="G2" i="3"/>
  <c r="G4" i="3" s="1"/>
  <c r="I26" i="16"/>
  <c r="H25" i="15"/>
  <c r="J24" i="15"/>
  <c r="K24" i="15" s="1"/>
  <c r="K25" i="15" s="1"/>
  <c r="F3" i="3" s="1"/>
  <c r="K13" i="14"/>
  <c r="H15" i="14"/>
  <c r="H16" i="14" s="1"/>
  <c r="H20" i="14" s="1"/>
  <c r="H26" i="14" s="1"/>
  <c r="J13" i="14"/>
  <c r="J24" i="14"/>
  <c r="K24" i="14" s="1"/>
  <c r="K25" i="14" s="1"/>
  <c r="E3" i="3" s="1"/>
  <c r="H25" i="14"/>
  <c r="K13" i="15"/>
  <c r="J13" i="15"/>
  <c r="H15" i="15"/>
  <c r="H16" i="15" s="1"/>
  <c r="H20" i="15" s="1"/>
  <c r="H26" i="15" s="1"/>
  <c r="K17" i="2"/>
  <c r="H19" i="2"/>
  <c r="J17" i="2"/>
  <c r="K15" i="14" l="1"/>
  <c r="K16" i="14" s="1"/>
  <c r="K20" i="14" s="1"/>
  <c r="J15" i="14"/>
  <c r="K15" i="15"/>
  <c r="K16" i="15" s="1"/>
  <c r="K20" i="15" s="1"/>
  <c r="J15" i="15"/>
  <c r="K19" i="2"/>
  <c r="F20" i="12"/>
  <c r="G20" i="12" s="1"/>
  <c r="K26" i="14" l="1"/>
  <c r="E2" i="3"/>
  <c r="E4" i="3" s="1"/>
  <c r="K26" i="15"/>
  <c r="I26" i="15" s="1"/>
  <c r="F2" i="3"/>
  <c r="F4" i="3" s="1"/>
  <c r="I26" i="14"/>
  <c r="K28" i="16"/>
  <c r="K14" i="2"/>
  <c r="J14" i="2"/>
  <c r="K27" i="16" l="1"/>
  <c r="H15" i="2"/>
  <c r="J15" i="2" s="1"/>
  <c r="K13" i="2"/>
  <c r="K15" i="2" l="1"/>
  <c r="K16" i="2" s="1"/>
  <c r="H16" i="2"/>
  <c r="H20" i="2" s="1"/>
  <c r="F19" i="12" l="1"/>
  <c r="G19" i="12" s="1"/>
  <c r="K20" i="2"/>
  <c r="D2" i="3" s="1"/>
  <c r="D4" i="3" s="1"/>
  <c r="H25" i="2"/>
  <c r="F23" i="12" l="1"/>
  <c r="G23" i="12" s="1"/>
  <c r="O38" i="8" l="1"/>
  <c r="O41" i="8" s="1"/>
  <c r="H23" i="2" l="1"/>
  <c r="H26" i="2" s="1"/>
  <c r="K23" i="2"/>
  <c r="K26" i="2" s="1"/>
  <c r="I26" i="2" l="1"/>
  <c r="F22" i="12" l="1"/>
  <c r="G22" i="12" s="1"/>
  <c r="G24" i="12" s="1"/>
</calcChain>
</file>

<file path=xl/sharedStrings.xml><?xml version="1.0" encoding="utf-8"?>
<sst xmlns="http://schemas.openxmlformats.org/spreadsheetml/2006/main" count="645" uniqueCount="165">
  <si>
    <t xml:space="preserve">Customer </t>
  </si>
  <si>
    <t>AM/NS Pune</t>
  </si>
  <si>
    <t xml:space="preserve">Date </t>
  </si>
  <si>
    <t xml:space="preserve">Contract Year </t>
  </si>
  <si>
    <t>AMC Cost</t>
  </si>
  <si>
    <t>Hardware Transportation Cost</t>
  </si>
  <si>
    <t>Software Subscription cost per month Current</t>
  </si>
  <si>
    <t>ERP Integration</t>
  </si>
  <si>
    <t>Total Equipments</t>
  </si>
  <si>
    <t>Model</t>
  </si>
  <si>
    <t>Items</t>
  </si>
  <si>
    <t>Details</t>
  </si>
  <si>
    <t>Type</t>
  </si>
  <si>
    <t>Unit Cost</t>
  </si>
  <si>
    <t>Nos. of years</t>
  </si>
  <si>
    <t>Total Cost to Axestrack for 3 years</t>
  </si>
  <si>
    <t>Margin</t>
  </si>
  <si>
    <t>Unit Price with Margin</t>
  </si>
  <si>
    <t>Cost for 3 Years</t>
  </si>
  <si>
    <t>One Time Cost</t>
  </si>
  <si>
    <t>Hardware Cost</t>
  </si>
  <si>
    <t>One Time</t>
  </si>
  <si>
    <t>Spares</t>
  </si>
  <si>
    <t>Hardware Transportation cost</t>
  </si>
  <si>
    <t>Total Hardware Cost</t>
  </si>
  <si>
    <t>Implementation Cost (Implementation+Hypercare)</t>
  </si>
  <si>
    <t>Installation, Training &amp; Configuration</t>
  </si>
  <si>
    <t>Total Installation, Setup &amp; API Development Cost</t>
  </si>
  <si>
    <t>Total One Time Cost</t>
  </si>
  <si>
    <t>Subscription Fee</t>
  </si>
  <si>
    <t>Project Management Cost</t>
  </si>
  <si>
    <t>Onsite Manpower, Project Management, Support &amp; Maintenance</t>
  </si>
  <si>
    <t>Per Year</t>
  </si>
  <si>
    <t>Annual Subscription fee</t>
  </si>
  <si>
    <t>Platform Subscription Fee</t>
  </si>
  <si>
    <t>Total Subscription &amp; PMO Cost for 3 Years</t>
  </si>
  <si>
    <t>AMC</t>
  </si>
  <si>
    <t>AMC from 2nd Year onwards</t>
  </si>
  <si>
    <t>AMC for 2 years</t>
  </si>
  <si>
    <t>Sr No</t>
  </si>
  <si>
    <t>Hardware</t>
  </si>
  <si>
    <t>Implementation Cost</t>
  </si>
  <si>
    <t>For 2 years</t>
  </si>
  <si>
    <t>Total</t>
  </si>
  <si>
    <t>Price</t>
  </si>
  <si>
    <t>Hardware Count</t>
  </si>
  <si>
    <t>Total Cost- One Plant</t>
  </si>
  <si>
    <t>Unit Price</t>
  </si>
  <si>
    <t>RFID Reader</t>
  </si>
  <si>
    <t>ANPR Camera</t>
  </si>
  <si>
    <t>Qty</t>
  </si>
  <si>
    <t>Traffic Light</t>
  </si>
  <si>
    <t>Tablet (Industrial Grade)</t>
  </si>
  <si>
    <t>Implementation</t>
  </si>
  <si>
    <t>Hypercare 3 months</t>
  </si>
  <si>
    <t>Onsite Manpower</t>
  </si>
  <si>
    <t>M1 to M6</t>
  </si>
  <si>
    <t>M7 &amp; M9</t>
  </si>
  <si>
    <t>Installation, Training &amp; Configuration Cost for phase 1 (a)</t>
  </si>
  <si>
    <t>Hypercare (a) (M7 to M9)</t>
  </si>
  <si>
    <t>Onsite Manpower, Support &amp; Maintenance Cost (b) from M7 to M42</t>
  </si>
  <si>
    <t>Type of Manpower</t>
  </si>
  <si>
    <t>Count per shift</t>
  </si>
  <si>
    <t>Nos. of shifts</t>
  </si>
  <si>
    <t>Cost per Resource per month</t>
  </si>
  <si>
    <t>Duration in Months</t>
  </si>
  <si>
    <t>PM</t>
  </si>
  <si>
    <t>Sr. CS (Offshore)</t>
  </si>
  <si>
    <t>Hardware Engineers</t>
  </si>
  <si>
    <t>Support Engineers (CPL)</t>
  </si>
  <si>
    <t>Software Engineers</t>
  </si>
  <si>
    <t>Software Engineers (Offshore)</t>
  </si>
  <si>
    <t>Current Equipments</t>
  </si>
  <si>
    <t>Count</t>
  </si>
  <si>
    <t>Productivity per resource</t>
  </si>
  <si>
    <t>Resources Required</t>
  </si>
  <si>
    <t>Planned Equipments</t>
  </si>
  <si>
    <t>Machines</t>
  </si>
  <si>
    <t>Gate Lanes</t>
  </si>
  <si>
    <t>Vehicles</t>
  </si>
  <si>
    <t>Onsite</t>
  </si>
  <si>
    <t>MIS</t>
  </si>
  <si>
    <t>Travel &amp; Lodging</t>
  </si>
  <si>
    <t>Onsite Manpower (b) (M7 to M9)</t>
  </si>
  <si>
    <t xml:space="preserve">Travel &amp; Lodging for Support </t>
  </si>
  <si>
    <t>Travel Allowance</t>
  </si>
  <si>
    <t>Travel Cost</t>
  </si>
  <si>
    <t>Stay Cost per Day</t>
  </si>
  <si>
    <t>Days per trip</t>
  </si>
  <si>
    <t>Frequency</t>
  </si>
  <si>
    <t>Frequency
(Annually)</t>
  </si>
  <si>
    <t xml:space="preserve">PM/Seniors </t>
  </si>
  <si>
    <t>PM/ Sr. CS (Onsite)</t>
  </si>
  <si>
    <t>Project Manager</t>
  </si>
  <si>
    <t>Support Engineers (Onsite)</t>
  </si>
  <si>
    <t>MIS Support (Offshore)</t>
  </si>
  <si>
    <t>Rent</t>
  </si>
  <si>
    <t>month</t>
  </si>
  <si>
    <t>Per month rent</t>
  </si>
  <si>
    <t>Kitchen</t>
  </si>
  <si>
    <t>Total (B+C)</t>
  </si>
  <si>
    <t>Total Implementation Cost (M1 to M6)  (A+B+C)</t>
  </si>
  <si>
    <t>Live Project Management</t>
  </si>
  <si>
    <t>(Travel+Lodging for Support considered for 3 years)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</si>
  <si>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</si>
  <si>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</si>
  <si>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</si>
  <si>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QUOTE #</t>
  </si>
  <si>
    <t>MSME No</t>
  </si>
  <si>
    <t>UDYAM-RJ-17-0051921</t>
  </si>
  <si>
    <t>Contact</t>
  </si>
  <si>
    <t>Quote Validity : 15 days from submitted date</t>
  </si>
  <si>
    <t>Phone</t>
  </si>
  <si>
    <t>Email Id</t>
  </si>
  <si>
    <t>CUSTOMER INFO</t>
  </si>
  <si>
    <t>Name</t>
  </si>
  <si>
    <t>Location</t>
  </si>
  <si>
    <t>DESCRIPTION OF WORK</t>
  </si>
  <si>
    <t>S.No.</t>
  </si>
  <si>
    <t>Amount</t>
  </si>
  <si>
    <t>Total Cost for 3 Years</t>
  </si>
  <si>
    <t>Terms &amp; Conditions</t>
  </si>
  <si>
    <t>Thanks for business with Axestrack Software Solution Pvt. Ltd.</t>
  </si>
  <si>
    <t>Saket Agrawal</t>
  </si>
  <si>
    <t>Saket.agrawal@axestrack.com</t>
  </si>
  <si>
    <t>AMNS/SA/250430</t>
  </si>
  <si>
    <t>ArcelorMittal Nippon Steel India</t>
  </si>
  <si>
    <t>Sanaswadi-Pune</t>
  </si>
  <si>
    <t>dnyandev.badvar@amns.in</t>
  </si>
  <si>
    <t>Dr. Dnyandev Badvar</t>
  </si>
  <si>
    <t>Onsite Manpower for Support &amp; Maintenance, Platform Subscription fees</t>
  </si>
  <si>
    <t>For 3 years</t>
  </si>
  <si>
    <t>AMC-Second year Onwards</t>
  </si>
  <si>
    <t>Date</t>
  </si>
  <si>
    <t>Budgetary Quotation 
For Complete Solution</t>
  </si>
  <si>
    <t>Budgetary Commercials for the complete proposed solution aim to digitize the movement of Vehicles across the various stages of the plant</t>
  </si>
  <si>
    <t>BLE Gateway</t>
  </si>
  <si>
    <t>BLE Tags</t>
  </si>
  <si>
    <t>M4 to M36</t>
  </si>
  <si>
    <t>Customer Success</t>
  </si>
  <si>
    <t>Handheld Barcode Reader</t>
  </si>
  <si>
    <t>High Configured System</t>
  </si>
  <si>
    <t>Total Cost of the Project for 3 Years</t>
  </si>
  <si>
    <t>x</t>
  </si>
  <si>
    <t>I</t>
  </si>
  <si>
    <t>II</t>
  </si>
  <si>
    <t>III</t>
  </si>
  <si>
    <t>Gateway</t>
  </si>
  <si>
    <t>X</t>
  </si>
  <si>
    <t>Phase I</t>
  </si>
  <si>
    <t>Hardware and Implementation</t>
  </si>
  <si>
    <t>Full</t>
  </si>
  <si>
    <t>Phase II (50%*2)</t>
  </si>
  <si>
    <t>Phase III (80%*2)</t>
  </si>
  <si>
    <t>Phase I
(NewShed)</t>
  </si>
  <si>
    <t>Opex</t>
  </si>
  <si>
    <t>Handheld RFID Reader</t>
  </si>
  <si>
    <t>RFID Tags For coils</t>
  </si>
  <si>
    <t>RFID Tags for Crane</t>
  </si>
  <si>
    <t>- All the prices mentioned above are in rupees and exclusive of GST. Taxes as per applicable
- AMC will not cover the physical damages and theft of hardware.
- Civil work, Mounting poles, Power supply, LAN connectivity for hardware setup at all checkpoints/machines is under the scope of AMNS
- The standard warranty period for Hardware of 1 year shall apply, as per OEM.
- Contract period is for 3 Years and the costing is for 5 yards.
-The commercials are a budgetary and can vary based on the actual scope of work and changes. 
-Assumption is, the existing hardware are in right condition and integratable. It may vary during the actual process of integration.</t>
  </si>
  <si>
    <t>Phase I- New shed</t>
  </si>
  <si>
    <t>Phase II- 2* 50% of New shed</t>
  </si>
  <si>
    <t>Phase III 2* 80% of new shed</t>
  </si>
  <si>
    <t>Phase II- 2 * 50% of New shed</t>
  </si>
  <si>
    <t>Phase III- 2*80% of New 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</si>
</sst>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14009]dd\ mmmm\ yyyy"/>
    <numFmt numFmtId="165" formatCode="_(* #,##0_);_(* \(#,##0\);_(* &quot;-&quot;??_);_(@_)"/>
    <numFmt numFmtId="166" formatCode="_(* #,##0.0_);_(* \(#,##0.0\);_(* &quot;-&quot;?_);_(@_)"/>
    <numFmt numFmtId="167" formatCode="[$-14009]dd\ mmmm\ yyyy;@"/>
    <numFmt numFmtId="168" formatCode="_(* #,##0.00_);_(* \(#,##0.00\);_(* &quot;-&quot;??_);_(@_)"/>
    <numFmt numFmtId="169" formatCode="[&gt;99999]#######\,##\,##0;[&lt;-99999]\-#######\,##\,##0;##.000000"/>
    <numFmt numFmtId="170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trike/>
      <sz val="16"/>
      <color theme="1"/>
      <name val="Calibri"/>
      <family val="2"/>
    </font>
    <font>
      <b/>
      <sz val="13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4"/>
      <color theme="4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ECECEC"/>
        <bgColor rgb="FFECECEC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DB9CA"/>
        <bgColor rgb="FFADB9CA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168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16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9" fontId="5" fillId="0" borderId="7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/>
    <xf numFmtId="3" fontId="5" fillId="3" borderId="6" xfId="0" applyNumberFormat="1" applyFont="1" applyFill="1" applyBorder="1" applyAlignment="1">
      <alignment horizontal="center"/>
    </xf>
    <xf numFmtId="165" fontId="5" fillId="0" borderId="9" xfId="0" applyNumberFormat="1" applyFont="1" applyBorder="1" applyAlignment="1">
      <alignment horizontal="center" vertical="center" wrapText="1" readingOrder="1"/>
    </xf>
    <xf numFmtId="3" fontId="5" fillId="0" borderId="12" xfId="0" applyNumberFormat="1" applyFont="1" applyBorder="1" applyAlignment="1">
      <alignment horizontal="center"/>
    </xf>
    <xf numFmtId="0" fontId="3" fillId="0" borderId="0" xfId="0" applyFont="1"/>
    <xf numFmtId="165" fontId="7" fillId="0" borderId="0" xfId="0" applyNumberFormat="1" applyFont="1" applyAlignment="1">
      <alignment horizontal="right"/>
    </xf>
    <xf numFmtId="1" fontId="5" fillId="4" borderId="9" xfId="0" applyNumberFormat="1" applyFont="1" applyFill="1" applyBorder="1" applyAlignment="1">
      <alignment horizontal="center" vertical="center" wrapText="1" readingOrder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 readingOrder="1"/>
    </xf>
    <xf numFmtId="0" fontId="7" fillId="4" borderId="19" xfId="0" applyFont="1" applyFill="1" applyBorder="1" applyAlignment="1">
      <alignment horizontal="center" vertical="center" wrapText="1" readingOrder="1"/>
    </xf>
    <xf numFmtId="0" fontId="7" fillId="4" borderId="12" xfId="0" applyFont="1" applyFill="1" applyBorder="1" applyAlignment="1">
      <alignment horizontal="center" vertical="center" wrapText="1" readingOrder="1"/>
    </xf>
    <xf numFmtId="0" fontId="7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1" fontId="6" fillId="6" borderId="22" xfId="0" applyNumberFormat="1" applyFont="1" applyFill="1" applyBorder="1" applyAlignment="1">
      <alignment vertical="center"/>
    </xf>
    <xf numFmtId="0" fontId="6" fillId="6" borderId="22" xfId="0" applyFont="1" applyFill="1" applyBorder="1" applyAlignment="1">
      <alignment vertical="center"/>
    </xf>
    <xf numFmtId="165" fontId="6" fillId="0" borderId="22" xfId="0" applyNumberFormat="1" applyFont="1" applyBorder="1" applyAlignment="1">
      <alignment horizontal="right" vertical="center" wrapText="1" readingOrder="1"/>
    </xf>
    <xf numFmtId="9" fontId="6" fillId="7" borderId="22" xfId="0" applyNumberFormat="1" applyFont="1" applyFill="1" applyBorder="1" applyAlignment="1">
      <alignment horizontal="center" vertical="center"/>
    </xf>
    <xf numFmtId="165" fontId="6" fillId="8" borderId="23" xfId="0" applyNumberFormat="1" applyFont="1" applyFill="1" applyBorder="1" applyAlignment="1">
      <alignment horizontal="right" vertical="center" wrapText="1" readingOrder="1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1" fontId="6" fillId="6" borderId="9" xfId="0" applyNumberFormat="1" applyFont="1" applyFill="1" applyBorder="1" applyAlignment="1">
      <alignment vertical="center"/>
    </xf>
    <xf numFmtId="165" fontId="6" fillId="0" borderId="9" xfId="0" applyNumberFormat="1" applyFont="1" applyBorder="1" applyAlignment="1">
      <alignment horizontal="right" vertical="center" wrapText="1" readingOrder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165" fontId="7" fillId="2" borderId="9" xfId="0" applyNumberFormat="1" applyFont="1" applyFill="1" applyBorder="1" applyAlignment="1">
      <alignment horizontal="right" vertical="center" wrapText="1" readingOrder="1"/>
    </xf>
    <xf numFmtId="165" fontId="6" fillId="6" borderId="9" xfId="0" applyNumberFormat="1" applyFont="1" applyFill="1" applyBorder="1" applyAlignment="1">
      <alignment vertical="center"/>
    </xf>
    <xf numFmtId="9" fontId="6" fillId="7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vertical="center"/>
    </xf>
    <xf numFmtId="3" fontId="6" fillId="6" borderId="9" xfId="0" applyNumberFormat="1" applyFont="1" applyFill="1" applyBorder="1" applyAlignment="1">
      <alignment vertical="center"/>
    </xf>
    <xf numFmtId="165" fontId="7" fillId="2" borderId="9" xfId="0" applyNumberFormat="1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vertical="center"/>
    </xf>
    <xf numFmtId="0" fontId="7" fillId="10" borderId="26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right" vertical="center"/>
    </xf>
    <xf numFmtId="165" fontId="7" fillId="10" borderId="9" xfId="0" applyNumberFormat="1" applyFont="1" applyFill="1" applyBorder="1" applyAlignment="1">
      <alignment horizontal="right" vertical="center" wrapText="1" readingOrder="1"/>
    </xf>
    <xf numFmtId="0" fontId="7" fillId="10" borderId="9" xfId="0" applyFont="1" applyFill="1" applyBorder="1" applyAlignment="1">
      <alignment horizontal="center" vertical="center"/>
    </xf>
    <xf numFmtId="165" fontId="7" fillId="10" borderId="9" xfId="0" applyNumberFormat="1" applyFont="1" applyFill="1" applyBorder="1" applyAlignment="1">
      <alignment horizontal="center" vertical="center"/>
    </xf>
    <xf numFmtId="165" fontId="2" fillId="0" borderId="0" xfId="0" applyNumberFormat="1" applyFont="1"/>
    <xf numFmtId="0" fontId="6" fillId="7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8" borderId="23" xfId="0" applyFont="1" applyFill="1" applyBorder="1" applyAlignment="1">
      <alignment horizontal="right" vertical="center" wrapText="1" readingOrder="1"/>
    </xf>
    <xf numFmtId="165" fontId="7" fillId="10" borderId="26" xfId="0" applyNumberFormat="1" applyFont="1" applyFill="1" applyBorder="1" applyAlignment="1">
      <alignment vertical="center"/>
    </xf>
    <xf numFmtId="0" fontId="7" fillId="10" borderId="8" xfId="0" applyFont="1" applyFill="1" applyBorder="1" applyAlignment="1">
      <alignment vertical="center"/>
    </xf>
    <xf numFmtId="0" fontId="3" fillId="11" borderId="10" xfId="0" applyFont="1" applyFill="1" applyBorder="1" applyAlignment="1">
      <alignment vertical="center"/>
    </xf>
    <xf numFmtId="0" fontId="3" fillId="11" borderId="28" xfId="0" applyFont="1" applyFill="1" applyBorder="1" applyAlignment="1">
      <alignment vertical="center"/>
    </xf>
    <xf numFmtId="0" fontId="3" fillId="11" borderId="11" xfId="0" applyFont="1" applyFill="1" applyBorder="1" applyAlignment="1">
      <alignment horizontal="right" vertical="center"/>
    </xf>
    <xf numFmtId="165" fontId="3" fillId="11" borderId="19" xfId="0" applyNumberFormat="1" applyFont="1" applyFill="1" applyBorder="1" applyAlignment="1">
      <alignment horizontal="right" vertical="center" wrapText="1" readingOrder="1"/>
    </xf>
    <xf numFmtId="10" fontId="5" fillId="6" borderId="19" xfId="0" applyNumberFormat="1" applyFont="1" applyFill="1" applyBorder="1" applyAlignment="1">
      <alignment horizontal="center" vertical="center"/>
    </xf>
    <xf numFmtId="165" fontId="5" fillId="6" borderId="29" xfId="0" applyNumberFormat="1" applyFont="1" applyFill="1" applyBorder="1" applyAlignment="1">
      <alignment horizontal="center" vertical="center"/>
    </xf>
    <xf numFmtId="43" fontId="2" fillId="0" borderId="0" xfId="0" applyNumberFormat="1" applyFont="1"/>
    <xf numFmtId="0" fontId="7" fillId="12" borderId="30" xfId="0" applyFont="1" applyFill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165" fontId="0" fillId="0" borderId="0" xfId="0" applyNumberFormat="1"/>
    <xf numFmtId="0" fontId="1" fillId="0" borderId="0" xfId="0" applyFont="1"/>
    <xf numFmtId="0" fontId="9" fillId="13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/>
    </xf>
    <xf numFmtId="0" fontId="7" fillId="0" borderId="0" xfId="0" applyFont="1"/>
    <xf numFmtId="1" fontId="7" fillId="0" borderId="0" xfId="0" applyNumberFormat="1" applyFont="1"/>
    <xf numFmtId="0" fontId="8" fillId="4" borderId="8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 wrapText="1"/>
    </xf>
    <xf numFmtId="0" fontId="7" fillId="14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165" fontId="6" fillId="0" borderId="9" xfId="0" applyNumberFormat="1" applyFont="1" applyBorder="1" applyAlignment="1">
      <alignment horizontal="right" wrapText="1"/>
    </xf>
    <xf numFmtId="0" fontId="2" fillId="0" borderId="9" xfId="0" applyFont="1" applyBorder="1"/>
    <xf numFmtId="0" fontId="2" fillId="15" borderId="9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165" fontId="7" fillId="16" borderId="9" xfId="0" applyNumberFormat="1" applyFont="1" applyFill="1" applyBorder="1" applyAlignment="1">
      <alignment horizontal="right" wrapText="1"/>
    </xf>
    <xf numFmtId="0" fontId="6" fillId="15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24" xfId="0" applyFont="1" applyBorder="1" applyAlignment="1">
      <alignment horizontal="center"/>
    </xf>
    <xf numFmtId="0" fontId="9" fillId="15" borderId="9" xfId="0" applyFont="1" applyFill="1" applyBorder="1" applyAlignment="1">
      <alignment horizontal="center"/>
    </xf>
    <xf numFmtId="0" fontId="9" fillId="0" borderId="24" xfId="0" applyFont="1" applyBorder="1" applyAlignment="1">
      <alignment horizontal="right"/>
    </xf>
    <xf numFmtId="0" fontId="9" fillId="15" borderId="24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2" borderId="9" xfId="0" applyFont="1" applyFill="1" applyBorder="1" applyAlignment="1">
      <alignment wrapText="1"/>
    </xf>
    <xf numFmtId="0" fontId="7" fillId="2" borderId="0" xfId="0" applyFont="1" applyFill="1" applyAlignment="1">
      <alignment horizontal="center" wrapText="1"/>
    </xf>
    <xf numFmtId="165" fontId="6" fillId="0" borderId="9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right" wrapText="1"/>
    </xf>
    <xf numFmtId="165" fontId="6" fillId="0" borderId="9" xfId="0" applyNumberFormat="1" applyFont="1" applyBorder="1"/>
    <xf numFmtId="1" fontId="2" fillId="0" borderId="9" xfId="0" applyNumberFormat="1" applyFont="1" applyBorder="1"/>
    <xf numFmtId="1" fontId="2" fillId="0" borderId="0" xfId="0" applyNumberFormat="1" applyFont="1"/>
    <xf numFmtId="0" fontId="2" fillId="16" borderId="0" xfId="0" applyFont="1" applyFill="1"/>
    <xf numFmtId="165" fontId="2" fillId="16" borderId="0" xfId="0" applyNumberFormat="1" applyFont="1" applyFill="1"/>
    <xf numFmtId="165" fontId="7" fillId="16" borderId="0" xfId="0" applyNumberFormat="1" applyFont="1" applyFill="1" applyAlignment="1">
      <alignment horizontal="right" wrapText="1"/>
    </xf>
    <xf numFmtId="166" fontId="2" fillId="0" borderId="0" xfId="0" applyNumberFormat="1" applyFont="1"/>
    <xf numFmtId="0" fontId="7" fillId="16" borderId="9" xfId="0" applyFont="1" applyFill="1" applyBorder="1" applyAlignment="1">
      <alignment horizontal="center" vertical="center"/>
    </xf>
    <xf numFmtId="165" fontId="8" fillId="17" borderId="9" xfId="0" applyNumberFormat="1" applyFont="1" applyFill="1" applyBorder="1" applyAlignment="1">
      <alignment horizontal="right" vertical="center"/>
    </xf>
    <xf numFmtId="0" fontId="11" fillId="0" borderId="0" xfId="0" applyFont="1"/>
    <xf numFmtId="165" fontId="11" fillId="0" borderId="0" xfId="0" applyNumberFormat="1" applyFont="1"/>
    <xf numFmtId="165" fontId="7" fillId="0" borderId="0" xfId="0" applyNumberFormat="1" applyFont="1"/>
    <xf numFmtId="0" fontId="13" fillId="0" borderId="30" xfId="0" applyFont="1" applyBorder="1" applyAlignment="1">
      <alignment horizontal="center" vertical="center"/>
    </xf>
    <xf numFmtId="0" fontId="13" fillId="0" borderId="0" xfId="0" applyFont="1"/>
    <xf numFmtId="0" fontId="15" fillId="18" borderId="30" xfId="0" applyFont="1" applyFill="1" applyBorder="1" applyAlignment="1">
      <alignment vertical="center"/>
    </xf>
    <xf numFmtId="0" fontId="15" fillId="20" borderId="30" xfId="0" applyFont="1" applyFill="1" applyBorder="1" applyAlignment="1">
      <alignment horizontal="left" vertical="center"/>
    </xf>
    <xf numFmtId="0" fontId="18" fillId="22" borderId="30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3" fillId="0" borderId="30" xfId="0" applyFont="1" applyBorder="1" applyAlignment="1">
      <alignment vertical="center" wrapText="1"/>
    </xf>
    <xf numFmtId="0" fontId="13" fillId="0" borderId="30" xfId="0" applyFont="1" applyBorder="1" applyAlignment="1">
      <alignment vertical="center"/>
    </xf>
    <xf numFmtId="169" fontId="17" fillId="0" borderId="30" xfId="2" applyNumberFormat="1" applyFont="1" applyFill="1" applyBorder="1" applyAlignment="1">
      <alignment horizontal="center" vertical="center" wrapText="1" readingOrder="1"/>
    </xf>
    <xf numFmtId="0" fontId="13" fillId="18" borderId="30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vertical="center"/>
    </xf>
    <xf numFmtId="169" fontId="17" fillId="18" borderId="30" xfId="2" applyNumberFormat="1" applyFont="1" applyFill="1" applyBorder="1" applyAlignment="1">
      <alignment horizontal="center" vertical="center" wrapText="1" readingOrder="1"/>
    </xf>
    <xf numFmtId="0" fontId="17" fillId="18" borderId="30" xfId="2" applyNumberFormat="1" applyFont="1" applyFill="1" applyBorder="1" applyAlignment="1">
      <alignment horizontal="center" vertical="center" wrapText="1" readingOrder="1"/>
    </xf>
    <xf numFmtId="169" fontId="18" fillId="23" borderId="30" xfId="2" applyNumberFormat="1" applyFont="1" applyFill="1" applyBorder="1" applyAlignment="1">
      <alignment horizontal="center" vertical="center" wrapText="1" readingOrder="1"/>
    </xf>
    <xf numFmtId="0" fontId="13" fillId="0" borderId="33" xfId="0" applyFont="1" applyBorder="1" applyAlignment="1">
      <alignment horizontal="center" vertical="center"/>
    </xf>
    <xf numFmtId="167" fontId="13" fillId="0" borderId="30" xfId="0" applyNumberFormat="1" applyFont="1" applyBorder="1" applyAlignment="1">
      <alignment horizontal="center" vertical="center"/>
    </xf>
    <xf numFmtId="0" fontId="15" fillId="19" borderId="30" xfId="0" applyFont="1" applyFill="1" applyBorder="1" applyAlignment="1">
      <alignment horizontal="center" vertical="center"/>
    </xf>
    <xf numFmtId="0" fontId="15" fillId="0" borderId="35" xfId="0" applyFont="1" applyBorder="1" applyAlignment="1">
      <alignment vertical="center" wrapText="1"/>
    </xf>
    <xf numFmtId="0" fontId="15" fillId="0" borderId="30" xfId="0" applyFont="1" applyBorder="1" applyAlignment="1">
      <alignment horizontal="left" vertical="center" wrapText="1"/>
    </xf>
    <xf numFmtId="165" fontId="7" fillId="0" borderId="9" xfId="0" applyNumberFormat="1" applyFont="1" applyBorder="1" applyAlignment="1">
      <alignment horizontal="right" vertical="center" wrapText="1" readingOrder="1"/>
    </xf>
    <xf numFmtId="0" fontId="9" fillId="13" borderId="2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9" fontId="0" fillId="0" borderId="0" xfId="0" applyNumberFormat="1"/>
    <xf numFmtId="0" fontId="0" fillId="0" borderId="30" xfId="0" applyBorder="1"/>
    <xf numFmtId="1" fontId="0" fillId="0" borderId="0" xfId="0" applyNumberFormat="1"/>
    <xf numFmtId="1" fontId="2" fillId="0" borderId="9" xfId="0" applyNumberFormat="1" applyFont="1" applyBorder="1" applyAlignment="1">
      <alignment horizontal="center" vertical="center"/>
    </xf>
    <xf numFmtId="0" fontId="7" fillId="12" borderId="0" xfId="0" applyFont="1" applyFill="1" applyAlignment="1">
      <alignment horizontal="center" vertical="center" wrapText="1"/>
    </xf>
    <xf numFmtId="0" fontId="7" fillId="12" borderId="33" xfId="0" applyFont="1" applyFill="1" applyBorder="1" applyAlignment="1">
      <alignment horizontal="center" vertical="center" wrapText="1"/>
    </xf>
    <xf numFmtId="1" fontId="6" fillId="0" borderId="33" xfId="0" applyNumberFormat="1" applyFont="1" applyBorder="1" applyAlignment="1">
      <alignment horizontal="center" vertical="center" wrapText="1" readingOrder="1"/>
    </xf>
    <xf numFmtId="1" fontId="6" fillId="0" borderId="30" xfId="0" applyNumberFormat="1" applyFont="1" applyBorder="1" applyAlignment="1">
      <alignment horizontal="center" vertical="center" wrapText="1" readingOrder="1"/>
    </xf>
    <xf numFmtId="1" fontId="0" fillId="0" borderId="30" xfId="0" applyNumberFormat="1" applyBorder="1" applyAlignment="1">
      <alignment horizontal="center"/>
    </xf>
    <xf numFmtId="170" fontId="7" fillId="0" borderId="33" xfId="0" applyNumberFormat="1" applyFont="1" applyBorder="1" applyAlignment="1">
      <alignment horizontal="center" vertical="center" wrapText="1"/>
    </xf>
    <xf numFmtId="170" fontId="7" fillId="0" borderId="30" xfId="0" applyNumberFormat="1" applyFont="1" applyBorder="1" applyAlignment="1">
      <alignment horizontal="center" vertical="center" wrapText="1"/>
    </xf>
    <xf numFmtId="0" fontId="7" fillId="12" borderId="37" xfId="0" applyFont="1" applyFill="1" applyBorder="1" applyAlignment="1">
      <alignment horizontal="center" vertical="center" wrapText="1"/>
    </xf>
    <xf numFmtId="1" fontId="6" fillId="0" borderId="38" xfId="0" applyNumberFormat="1" applyFont="1" applyBorder="1" applyAlignment="1">
      <alignment horizontal="center" vertical="center" wrapText="1"/>
    </xf>
    <xf numFmtId="170" fontId="7" fillId="0" borderId="39" xfId="0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/>
    </xf>
    <xf numFmtId="0" fontId="15" fillId="19" borderId="30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2" fillId="0" borderId="30" xfId="1" applyBorder="1" applyAlignment="1">
      <alignment horizontal="left" vertical="center"/>
    </xf>
    <xf numFmtId="0" fontId="13" fillId="18" borderId="34" xfId="0" applyFont="1" applyFill="1" applyBorder="1" applyAlignment="1">
      <alignment horizontal="center" vertical="center"/>
    </xf>
    <xf numFmtId="0" fontId="13" fillId="18" borderId="31" xfId="0" applyFont="1" applyFill="1" applyBorder="1" applyAlignment="1">
      <alignment horizontal="center" vertical="center"/>
    </xf>
    <xf numFmtId="0" fontId="13" fillId="18" borderId="35" xfId="0" applyFont="1" applyFill="1" applyBorder="1" applyAlignment="1">
      <alignment horizontal="center" vertical="center"/>
    </xf>
    <xf numFmtId="0" fontId="15" fillId="20" borderId="30" xfId="0" applyFont="1" applyFill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5" fillId="20" borderId="32" xfId="0" applyFont="1" applyFill="1" applyBorder="1" applyAlignment="1">
      <alignment horizontal="right" vertical="center"/>
    </xf>
    <xf numFmtId="0" fontId="15" fillId="20" borderId="33" xfId="0" applyFont="1" applyFill="1" applyBorder="1" applyAlignment="1">
      <alignment horizontal="right" vertical="center"/>
    </xf>
    <xf numFmtId="0" fontId="15" fillId="21" borderId="30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left" vertical="center" wrapText="1"/>
    </xf>
    <xf numFmtId="0" fontId="18" fillId="22" borderId="30" xfId="0" applyFont="1" applyFill="1" applyBorder="1" applyAlignment="1">
      <alignment horizontal="center" vertical="center" wrapText="1"/>
    </xf>
    <xf numFmtId="0" fontId="15" fillId="18" borderId="30" xfId="0" applyFont="1" applyFill="1" applyBorder="1" applyAlignment="1">
      <alignment horizontal="left" vertical="center" wrapText="1"/>
    </xf>
    <xf numFmtId="0" fontId="15" fillId="0" borderId="30" xfId="0" applyFont="1" applyBorder="1" applyAlignment="1">
      <alignment horizontal="right" vertical="center"/>
    </xf>
    <xf numFmtId="0" fontId="18" fillId="0" borderId="30" xfId="0" applyFont="1" applyBorder="1" applyAlignment="1">
      <alignment horizontal="center" vertical="center"/>
    </xf>
    <xf numFmtId="0" fontId="15" fillId="24" borderId="30" xfId="0" applyFont="1" applyFill="1" applyBorder="1" applyAlignment="1">
      <alignment horizontal="center" vertical="top"/>
    </xf>
    <xf numFmtId="0" fontId="13" fillId="0" borderId="30" xfId="0" quotePrefix="1" applyFont="1" applyBorder="1" applyAlignment="1">
      <alignment horizontal="left" vertical="center" wrapText="1"/>
    </xf>
    <xf numFmtId="0" fontId="7" fillId="0" borderId="27" xfId="0" applyFont="1" applyBorder="1" applyAlignment="1">
      <alignment horizontal="center" vertical="center" wrapText="1"/>
    </xf>
    <xf numFmtId="0" fontId="4" fillId="0" borderId="20" xfId="0" applyFont="1" applyBorder="1"/>
    <xf numFmtId="0" fontId="4" fillId="0" borderId="25" xfId="0" applyFont="1" applyBorder="1"/>
    <xf numFmtId="0" fontId="7" fillId="0" borderId="27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left"/>
    </xf>
    <xf numFmtId="0" fontId="4" fillId="0" borderId="5" xfId="0" applyFont="1" applyBorder="1"/>
    <xf numFmtId="0" fontId="3" fillId="2" borderId="8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4" fillId="0" borderId="11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7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6" fillId="0" borderId="2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0" fontId="7" fillId="14" borderId="8" xfId="0" applyFont="1" applyFill="1" applyBorder="1" applyAlignment="1">
      <alignment horizontal="center"/>
    </xf>
    <xf numFmtId="0" fontId="4" fillId="0" borderId="26" xfId="0" applyFont="1" applyBorder="1"/>
    <xf numFmtId="0" fontId="8" fillId="4" borderId="8" xfId="0" applyFont="1" applyFill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</cellXfs>
  <cellStyles count="3">
    <cellStyle name="Comma 2" xfId="2" xr:uid="{2489F64C-197D-47D3-875E-1AA05B784A1F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198450</xdr:colOff>
      <xdr:row>1</xdr:row>
      <xdr:rowOff>18684</xdr:rowOff>
    </xdr:from>
    <xdr:to>
      <xdr:col>3</xdr:col>
      <xdr:colOff>1563442</xdr:colOff>
      <xdr:row>1</xdr:row>
      <xdr:rowOff>575625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5383A1-A796-490F-9FBF-12FE6A7E7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50" y="177434"/>
          <a:ext cx="2393692" cy="556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noj\Manoj\Axestrack\Solutions\JM%20Baxi\BOQ%20and%20Commercials%20v16.xlsx" TargetMode="External"/><Relationship Id="rId1" Type="http://schemas.openxmlformats.org/officeDocument/2006/relationships/externalLinkPath" Target="/Manoj/Manoj/Axestrack/Solutions/JM%20Baxi/BOQ%20and%20Commercials%20v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rcials Full"/>
      <sheetName val="Quotation full"/>
      <sheetName val="Quotation Full Hardware"/>
      <sheetName val="Commercials Phase wise"/>
      <sheetName val="Quotation Phase wise"/>
      <sheetName val="Quotation Phasewise Hardware"/>
      <sheetName val="Total Hardware"/>
      <sheetName val="Manpower-PM Cost"/>
      <sheetName val="BOQ- External"/>
      <sheetName val="BOQ-ITT"/>
      <sheetName val="BOQ-Internal-Vessel "/>
      <sheetName val="BOQ-Internal-Rail"/>
      <sheetName val="TVs + Mob. Cranes"/>
      <sheetName val="Master"/>
      <sheetName val="TEU per month"/>
    </sheetNames>
    <sheetDataSet>
      <sheetData sheetId="0">
        <row r="21">
          <cell r="E21" t="str">
            <v>One Time</v>
          </cell>
        </row>
        <row r="22">
          <cell r="E22" t="str">
            <v>One Time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nyandev.badvar@amns.in" TargetMode="External"/><Relationship Id="rId1" Type="http://schemas.openxmlformats.org/officeDocument/2006/relationships/hyperlink" Target="mailto:Saket.agrawal@axestrack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A761-6051-4407-A23F-7DDBC4B9A27B}">
  <sheetPr>
    <tabColor theme="9" tint="0.79998168889431442"/>
  </sheetPr>
  <dimension ref="B2:G28"/>
  <sheetViews>
    <sheetView topLeftCell="A16" zoomScale="71" zoomScaleNormal="115" workbookViewId="0">
      <selection activeCell="I27" sqref="I27"/>
    </sheetView>
  </sheetViews>
  <sheetFormatPr defaultColWidth="8.81640625" defaultRowHeight="12.5" x14ac:dyDescent="0.25"/>
  <cols>
    <col min="1" max="1" width="2.26953125" style="116" customWidth="1"/>
    <col min="2" max="2" width="9" style="116" customWidth="1"/>
    <col min="3" max="3" width="14.7265625" style="120" customWidth="1"/>
    <col min="4" max="4" width="26.7265625" style="116" customWidth="1"/>
    <col min="5" max="5" width="10.1796875" style="116" bestFit="1" customWidth="1"/>
    <col min="6" max="6" width="13.7265625" style="116" customWidth="1"/>
    <col min="7" max="7" width="15.453125" style="116" customWidth="1"/>
    <col min="8" max="16384" width="8.81640625" style="116"/>
  </cols>
  <sheetData>
    <row r="2" spans="2:7" ht="49.9" customHeight="1" x14ac:dyDescent="0.25">
      <c r="B2" s="154"/>
      <c r="C2" s="154"/>
      <c r="D2" s="154"/>
      <c r="E2" s="155" t="s">
        <v>134</v>
      </c>
      <c r="F2" s="156"/>
      <c r="G2" s="156"/>
    </row>
    <row r="3" spans="2:7" ht="42.65" customHeight="1" x14ac:dyDescent="0.25">
      <c r="B3" s="157" t="s">
        <v>104</v>
      </c>
      <c r="C3" s="157"/>
      <c r="D3" s="157"/>
      <c r="E3" s="157"/>
      <c r="F3" s="157"/>
      <c r="G3" s="157"/>
    </row>
    <row r="4" spans="2:7" ht="15" customHeight="1" x14ac:dyDescent="0.25">
      <c r="B4" s="117" t="s">
        <v>105</v>
      </c>
      <c r="C4" s="158" t="s">
        <v>106</v>
      </c>
      <c r="D4" s="158"/>
      <c r="E4" s="159" t="s">
        <v>107</v>
      </c>
      <c r="F4" s="159"/>
      <c r="G4" s="133" t="s">
        <v>133</v>
      </c>
    </row>
    <row r="5" spans="2:7" ht="15" customHeight="1" x14ac:dyDescent="0.25">
      <c r="B5" s="117" t="s">
        <v>108</v>
      </c>
      <c r="C5" s="158" t="s">
        <v>109</v>
      </c>
      <c r="D5" s="158"/>
      <c r="E5" s="154" t="s">
        <v>125</v>
      </c>
      <c r="F5" s="154"/>
      <c r="G5" s="132">
        <f ca="1">TODAY()</f>
        <v>45853</v>
      </c>
    </row>
    <row r="6" spans="2:7" ht="15" customHeight="1" x14ac:dyDescent="0.25">
      <c r="B6" s="117" t="s">
        <v>110</v>
      </c>
      <c r="C6" s="158" t="s">
        <v>123</v>
      </c>
      <c r="D6" s="158"/>
      <c r="E6" s="160" t="s">
        <v>111</v>
      </c>
      <c r="F6" s="160"/>
      <c r="G6" s="161"/>
    </row>
    <row r="7" spans="2:7" ht="15" customHeight="1" x14ac:dyDescent="0.25">
      <c r="B7" s="117" t="s">
        <v>112</v>
      </c>
      <c r="C7" s="158">
        <v>7045054957</v>
      </c>
      <c r="D7" s="158"/>
      <c r="E7" s="160"/>
      <c r="F7" s="160"/>
      <c r="G7" s="162"/>
    </row>
    <row r="8" spans="2:7" ht="15" customHeight="1" x14ac:dyDescent="0.25">
      <c r="B8" s="117" t="s">
        <v>113</v>
      </c>
      <c r="C8" s="164" t="s">
        <v>124</v>
      </c>
      <c r="D8" s="158"/>
      <c r="E8" s="160"/>
      <c r="F8" s="160"/>
      <c r="G8" s="163"/>
    </row>
    <row r="9" spans="2:7" ht="6.65" customHeight="1" x14ac:dyDescent="0.25">
      <c r="B9" s="154"/>
      <c r="C9" s="154"/>
      <c r="D9" s="154"/>
      <c r="E9" s="154"/>
      <c r="F9" s="154"/>
      <c r="G9" s="154"/>
    </row>
    <row r="10" spans="2:7" ht="15" customHeight="1" x14ac:dyDescent="0.25">
      <c r="B10" s="168" t="s">
        <v>114</v>
      </c>
      <c r="C10" s="168"/>
      <c r="D10" s="168"/>
      <c r="E10" s="168"/>
      <c r="F10" s="168"/>
      <c r="G10" s="168"/>
    </row>
    <row r="11" spans="2:7" ht="15" customHeight="1" x14ac:dyDescent="0.25">
      <c r="B11" s="118" t="s">
        <v>115</v>
      </c>
      <c r="C11" s="158" t="s">
        <v>126</v>
      </c>
      <c r="D11" s="158"/>
      <c r="E11" s="158"/>
      <c r="F11" s="158"/>
      <c r="G11" s="158"/>
    </row>
    <row r="12" spans="2:7" ht="15" customHeight="1" x14ac:dyDescent="0.25">
      <c r="B12" s="118" t="s">
        <v>116</v>
      </c>
      <c r="C12" s="158" t="s">
        <v>127</v>
      </c>
      <c r="D12" s="158"/>
      <c r="E12" s="158"/>
      <c r="F12" s="158"/>
      <c r="G12" s="158"/>
    </row>
    <row r="13" spans="2:7" ht="15" customHeight="1" x14ac:dyDescent="0.25">
      <c r="B13" s="118" t="s">
        <v>110</v>
      </c>
      <c r="C13" s="169" t="s">
        <v>129</v>
      </c>
      <c r="D13" s="170"/>
      <c r="E13" s="171" t="s">
        <v>112</v>
      </c>
      <c r="F13" s="172"/>
      <c r="G13" s="131">
        <v>9158895606</v>
      </c>
    </row>
    <row r="14" spans="2:7" ht="15" customHeight="1" x14ac:dyDescent="0.25">
      <c r="B14" s="118" t="s">
        <v>113</v>
      </c>
      <c r="C14" s="164" t="s">
        <v>128</v>
      </c>
      <c r="D14" s="158"/>
      <c r="E14" s="158"/>
      <c r="F14" s="158"/>
      <c r="G14" s="158"/>
    </row>
    <row r="15" spans="2:7" ht="6.65" customHeight="1" x14ac:dyDescent="0.25">
      <c r="B15" s="154"/>
      <c r="C15" s="154"/>
      <c r="D15" s="154"/>
      <c r="E15" s="154"/>
      <c r="F15" s="154"/>
      <c r="G15" s="154"/>
    </row>
    <row r="16" spans="2:7" ht="13.9" customHeight="1" x14ac:dyDescent="0.25">
      <c r="B16" s="173" t="s">
        <v>117</v>
      </c>
      <c r="C16" s="173"/>
      <c r="D16" s="173"/>
      <c r="E16" s="173"/>
      <c r="F16" s="173"/>
      <c r="G16" s="173"/>
    </row>
    <row r="17" spans="2:7" ht="45.65" customHeight="1" x14ac:dyDescent="0.25">
      <c r="B17" s="174" t="s">
        <v>135</v>
      </c>
      <c r="C17" s="174"/>
      <c r="D17" s="174"/>
      <c r="E17" s="174"/>
      <c r="F17" s="174"/>
      <c r="G17" s="174"/>
    </row>
    <row r="18" spans="2:7" s="120" customFormat="1" ht="19.149999999999999" customHeight="1" x14ac:dyDescent="0.25">
      <c r="B18" s="119" t="s">
        <v>118</v>
      </c>
      <c r="C18" s="175" t="s">
        <v>10</v>
      </c>
      <c r="D18" s="175"/>
      <c r="E18" s="119" t="s">
        <v>12</v>
      </c>
      <c r="F18" s="119" t="s">
        <v>47</v>
      </c>
      <c r="G18" s="119" t="s">
        <v>119</v>
      </c>
    </row>
    <row r="19" spans="2:7" ht="27.65" customHeight="1" x14ac:dyDescent="0.25">
      <c r="B19" s="121">
        <v>1</v>
      </c>
      <c r="C19" s="122" t="s">
        <v>20</v>
      </c>
      <c r="D19" s="123" t="s">
        <v>40</v>
      </c>
      <c r="E19" s="124" t="s">
        <v>21</v>
      </c>
      <c r="F19" s="125">
        <f>Summary!E2</f>
        <v>4745866.666666667</v>
      </c>
      <c r="G19" s="125">
        <f>F19</f>
        <v>4745866.666666667</v>
      </c>
    </row>
    <row r="20" spans="2:7" ht="27.65" customHeight="1" x14ac:dyDescent="0.25">
      <c r="B20" s="165">
        <v>2</v>
      </c>
      <c r="C20" s="176" t="s">
        <v>41</v>
      </c>
      <c r="D20" s="126" t="s">
        <v>26</v>
      </c>
      <c r="E20" s="127" t="str">
        <f>'[1]Commercials Full'!E21</f>
        <v>One Time</v>
      </c>
      <c r="F20" s="128">
        <f>'Commercials Full-One Plant'!K17</f>
        <v>2666666.6666666665</v>
      </c>
      <c r="G20" s="125">
        <f>F20</f>
        <v>2666666.6666666665</v>
      </c>
    </row>
    <row r="21" spans="2:7" ht="13.9" customHeight="1" x14ac:dyDescent="0.25">
      <c r="B21" s="166"/>
      <c r="C21" s="176"/>
      <c r="D21" s="126" t="s">
        <v>7</v>
      </c>
      <c r="E21" s="127" t="str">
        <f>'[1]Commercials Full'!E22</f>
        <v>One Time</v>
      </c>
      <c r="F21" s="128">
        <f>'Commercials Full-One Plant'!K18</f>
        <v>266666.66666666669</v>
      </c>
      <c r="G21" s="125">
        <f>F21</f>
        <v>266666.66666666669</v>
      </c>
    </row>
    <row r="22" spans="2:7" ht="40.9" customHeight="1" x14ac:dyDescent="0.25">
      <c r="B22" s="167"/>
      <c r="C22" s="135" t="s">
        <v>30</v>
      </c>
      <c r="D22" s="126" t="s">
        <v>130</v>
      </c>
      <c r="E22" s="129" t="s">
        <v>131</v>
      </c>
      <c r="F22" s="128">
        <f>Summary!E3</f>
        <v>3261840</v>
      </c>
      <c r="G22" s="125">
        <f>F22</f>
        <v>3261840</v>
      </c>
    </row>
    <row r="23" spans="2:7" ht="12.5" customHeight="1" x14ac:dyDescent="0.25">
      <c r="B23" s="115">
        <v>3</v>
      </c>
      <c r="C23" s="134" t="s">
        <v>36</v>
      </c>
      <c r="D23" s="123" t="s">
        <v>132</v>
      </c>
      <c r="E23" s="124" t="s">
        <v>42</v>
      </c>
      <c r="F23" s="125" t="e">
        <f>Summary!#REF!</f>
        <v>#REF!</v>
      </c>
      <c r="G23" s="125" t="e">
        <f>F23</f>
        <v>#REF!</v>
      </c>
    </row>
    <row r="24" spans="2:7" ht="19.149999999999999" customHeight="1" x14ac:dyDescent="0.25">
      <c r="B24" s="177" t="s">
        <v>120</v>
      </c>
      <c r="C24" s="177"/>
      <c r="D24" s="177"/>
      <c r="E24" s="177"/>
      <c r="F24" s="177"/>
      <c r="G24" s="130" t="e">
        <f>SUM(G19:G23)</f>
        <v>#REF!</v>
      </c>
    </row>
    <row r="25" spans="2:7" ht="6.65" customHeight="1" x14ac:dyDescent="0.25">
      <c r="B25" s="178"/>
      <c r="C25" s="178"/>
      <c r="D25" s="178"/>
      <c r="E25" s="178"/>
      <c r="F25" s="178"/>
      <c r="G25" s="178"/>
    </row>
    <row r="26" spans="2:7" ht="13" x14ac:dyDescent="0.25">
      <c r="B26" s="179" t="s">
        <v>121</v>
      </c>
      <c r="C26" s="179"/>
      <c r="D26" s="179"/>
      <c r="E26" s="179"/>
      <c r="F26" s="179"/>
      <c r="G26" s="179"/>
    </row>
    <row r="27" spans="2:7" ht="148" customHeight="1" x14ac:dyDescent="0.25">
      <c r="B27" s="180" t="s">
        <v>159</v>
      </c>
      <c r="C27" s="158"/>
      <c r="D27" s="158"/>
      <c r="E27" s="158"/>
      <c r="F27" s="158"/>
      <c r="G27" s="158"/>
    </row>
    <row r="28" spans="2:7" ht="13" x14ac:dyDescent="0.25">
      <c r="B28" s="179" t="s">
        <v>122</v>
      </c>
      <c r="C28" s="179"/>
      <c r="D28" s="179"/>
      <c r="E28" s="179"/>
      <c r="F28" s="179"/>
      <c r="G28" s="179"/>
    </row>
  </sheetData>
  <mergeCells count="30">
    <mergeCell ref="B24:F24"/>
    <mergeCell ref="B25:G25"/>
    <mergeCell ref="B26:G26"/>
    <mergeCell ref="B27:G27"/>
    <mergeCell ref="B28:G28"/>
    <mergeCell ref="B20:B22"/>
    <mergeCell ref="B9:G9"/>
    <mergeCell ref="B10:G10"/>
    <mergeCell ref="C11:G11"/>
    <mergeCell ref="C12:G12"/>
    <mergeCell ref="C13:D13"/>
    <mergeCell ref="E13:F13"/>
    <mergeCell ref="C14:G14"/>
    <mergeCell ref="B15:G15"/>
    <mergeCell ref="B16:G16"/>
    <mergeCell ref="B17:G17"/>
    <mergeCell ref="C18:D18"/>
    <mergeCell ref="C20:C21"/>
    <mergeCell ref="C5:D5"/>
    <mergeCell ref="E5:F5"/>
    <mergeCell ref="C6:D6"/>
    <mergeCell ref="E6:F8"/>
    <mergeCell ref="G6:G8"/>
    <mergeCell ref="C7:D7"/>
    <mergeCell ref="C8:D8"/>
    <mergeCell ref="B2:D2"/>
    <mergeCell ref="E2:G2"/>
    <mergeCell ref="B3:G3"/>
    <mergeCell ref="C4:D4"/>
    <mergeCell ref="E4:F4"/>
  </mergeCells>
  <hyperlinks>
    <hyperlink ref="C8" r:id="rId1" xr:uid="{4BF465D5-5811-461A-8DE2-145B0CF11156}"/>
    <hyperlink ref="C14" r:id="rId2" xr:uid="{0E19F41A-6751-4703-8083-129346A9AD77}"/>
  </hyperlinks>
  <pageMargins left="0.25" right="0.25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C30C-5566-47AB-91FC-BC2AEB2CD5E7}">
  <dimension ref="A1:G9"/>
  <sheetViews>
    <sheetView workbookViewId="0">
      <selection activeCell="F10" sqref="F10"/>
    </sheetView>
  </sheetViews>
  <sheetFormatPr defaultRowHeight="14.5" x14ac:dyDescent="0.35"/>
  <cols>
    <col min="2" max="2" width="35.36328125" customWidth="1"/>
    <col min="3" max="3" width="9.453125" bestFit="1" customWidth="1"/>
    <col min="4" max="4" width="15.54296875" bestFit="1" customWidth="1"/>
    <col min="5" max="5" width="11.08984375" bestFit="1" customWidth="1"/>
    <col min="6" max="7" width="13.90625" bestFit="1" customWidth="1"/>
  </cols>
  <sheetData>
    <row r="1" spans="1:7" ht="31" x14ac:dyDescent="0.35">
      <c r="A1" s="65" t="s">
        <v>39</v>
      </c>
      <c r="B1" s="65" t="s">
        <v>11</v>
      </c>
      <c r="C1" s="65"/>
      <c r="D1" s="151" t="s">
        <v>151</v>
      </c>
      <c r="E1" s="145" t="s">
        <v>154</v>
      </c>
      <c r="F1" s="66" t="s">
        <v>152</v>
      </c>
      <c r="G1" s="144" t="s">
        <v>153</v>
      </c>
    </row>
    <row r="2" spans="1:7" ht="15.5" x14ac:dyDescent="0.35">
      <c r="A2" s="67">
        <v>1</v>
      </c>
      <c r="B2" s="67" t="s">
        <v>150</v>
      </c>
      <c r="C2" s="67" t="s">
        <v>21</v>
      </c>
      <c r="D2" s="152">
        <f>'Commercials Full-One Plant'!K20</f>
        <v>15817253.333333332</v>
      </c>
      <c r="E2" s="146">
        <f>'Commercials-Phase I'!K20</f>
        <v>4745866.666666667</v>
      </c>
      <c r="F2" s="147">
        <f>'Commercials-Phase II'!K20</f>
        <v>4479200</v>
      </c>
      <c r="G2" s="148">
        <f>'Commercials-Phase III'!K20</f>
        <v>6592186.666666667</v>
      </c>
    </row>
    <row r="3" spans="1:7" ht="15.5" x14ac:dyDescent="0.35">
      <c r="A3" s="67">
        <v>3</v>
      </c>
      <c r="B3" s="67" t="s">
        <v>30</v>
      </c>
      <c r="C3" s="67" t="s">
        <v>155</v>
      </c>
      <c r="D3" s="152">
        <f>'Commercials Full-One Plant'!K23+'Commercials Full-One Plant'!K25</f>
        <v>7982784</v>
      </c>
      <c r="E3" s="146">
        <f>'Commercials-Phase I'!K23+'Commercials-Phase I'!K25</f>
        <v>3261840</v>
      </c>
      <c r="F3" s="147">
        <f>'Commercials-Phase II'!K23+'Commercials-Phase II'!K25</f>
        <v>2175840</v>
      </c>
      <c r="G3" s="148">
        <f>'Commercials-Phase III'!K23+'Commercials-Phase III'!K25</f>
        <v>2545104</v>
      </c>
    </row>
    <row r="4" spans="1:7" ht="16" thickBot="1" x14ac:dyDescent="0.4">
      <c r="A4" s="67"/>
      <c r="B4" s="67" t="s">
        <v>43</v>
      </c>
      <c r="C4" s="67"/>
      <c r="D4" s="153">
        <f>SUM(D2:D3)</f>
        <v>23800037.333333332</v>
      </c>
      <c r="E4" s="149">
        <f t="shared" ref="E4:G4" si="0">SUM(E2:E3)</f>
        <v>8007706.666666667</v>
      </c>
      <c r="F4" s="150">
        <f t="shared" si="0"/>
        <v>6655040</v>
      </c>
      <c r="G4" s="150">
        <f t="shared" si="0"/>
        <v>9137290.6666666679</v>
      </c>
    </row>
    <row r="5" spans="1:7" x14ac:dyDescent="0.35">
      <c r="E5" s="68"/>
    </row>
    <row r="9" spans="1:7" x14ac:dyDescent="0.35">
      <c r="E9" s="1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CF0D-A4D7-4C52-9094-650A2CD28509}">
  <sheetPr>
    <tabColor rgb="FFE2EFD9"/>
  </sheetPr>
  <dimension ref="B1:P1000"/>
  <sheetViews>
    <sheetView topLeftCell="A10" zoomScale="70" zoomScaleNormal="70" workbookViewId="0">
      <selection activeCell="L22" sqref="L22"/>
    </sheetView>
  </sheetViews>
  <sheetFormatPr defaultColWidth="14.453125" defaultRowHeight="15" customHeight="1" x14ac:dyDescent="0.35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 thickBot="1" x14ac:dyDescent="0.4">
      <c r="O1" s="1"/>
    </row>
    <row r="2" spans="2:16" ht="14.25" customHeight="1" x14ac:dyDescent="0.45">
      <c r="B2" s="199" t="s">
        <v>0</v>
      </c>
      <c r="C2" s="200"/>
      <c r="D2" s="2" t="s">
        <v>1</v>
      </c>
      <c r="E2" s="3"/>
      <c r="I2" s="4"/>
      <c r="O2" s="1"/>
    </row>
    <row r="3" spans="2:16" ht="14.25" customHeight="1" x14ac:dyDescent="0.45">
      <c r="B3" s="198" t="s">
        <v>2</v>
      </c>
      <c r="C3" s="186"/>
      <c r="D3" s="5">
        <f ca="1">TODAY()</f>
        <v>45853</v>
      </c>
      <c r="I3" s="4"/>
      <c r="O3" s="1"/>
    </row>
    <row r="4" spans="2:16" ht="14.25" customHeight="1" x14ac:dyDescent="0.45">
      <c r="B4" s="198" t="s">
        <v>3</v>
      </c>
      <c r="C4" s="186"/>
      <c r="D4" s="6">
        <v>3</v>
      </c>
      <c r="E4" s="3"/>
      <c r="O4" s="1"/>
    </row>
    <row r="5" spans="2:16" ht="14.25" customHeight="1" x14ac:dyDescent="0.45">
      <c r="B5" s="198" t="s">
        <v>4</v>
      </c>
      <c r="C5" s="186"/>
      <c r="D5" s="7">
        <v>0.1</v>
      </c>
      <c r="E5" s="3"/>
      <c r="O5" s="1"/>
    </row>
    <row r="6" spans="2:16" ht="14.25" customHeight="1" x14ac:dyDescent="0.45">
      <c r="B6" s="198" t="s">
        <v>5</v>
      </c>
      <c r="C6" s="186"/>
      <c r="D6" s="8">
        <v>0.05</v>
      </c>
      <c r="E6" s="3"/>
      <c r="O6" s="1"/>
    </row>
    <row r="7" spans="2:16" ht="14.25" customHeight="1" x14ac:dyDescent="0.45">
      <c r="B7" s="198" t="s">
        <v>6</v>
      </c>
      <c r="C7" s="186"/>
      <c r="D7" s="9">
        <v>120000</v>
      </c>
      <c r="E7" s="3"/>
      <c r="O7" s="10"/>
      <c r="P7" s="11"/>
    </row>
    <row r="8" spans="2:16" ht="14.25" customHeight="1" x14ac:dyDescent="0.45">
      <c r="B8" s="185"/>
      <c r="C8" s="186"/>
      <c r="D8" s="12"/>
      <c r="E8" s="3"/>
      <c r="I8" s="187"/>
      <c r="J8" s="186"/>
      <c r="K8" s="13"/>
      <c r="O8" s="10"/>
      <c r="P8" s="11"/>
    </row>
    <row r="9" spans="2:16" ht="14.25" customHeight="1" thickBot="1" x14ac:dyDescent="0.5">
      <c r="B9" s="188" t="s">
        <v>7</v>
      </c>
      <c r="C9" s="189"/>
      <c r="D9" s="14">
        <v>200000</v>
      </c>
      <c r="E9" s="3"/>
      <c r="F9" s="15"/>
      <c r="G9" s="16"/>
      <c r="H9" s="16"/>
      <c r="I9" s="187"/>
      <c r="J9" s="186"/>
      <c r="K9" s="17"/>
      <c r="O9" s="1"/>
      <c r="P9" s="11"/>
    </row>
    <row r="10" spans="2:16" ht="14.25" customHeight="1" thickBot="1" x14ac:dyDescent="0.4">
      <c r="O10" s="1"/>
      <c r="P10" s="11"/>
    </row>
    <row r="11" spans="2:16" ht="43.5" customHeight="1" thickBot="1" x14ac:dyDescent="0.4">
      <c r="B11" s="4"/>
      <c r="C11" s="4"/>
      <c r="D11" s="4"/>
      <c r="E11" s="4"/>
      <c r="F11" s="190" t="s">
        <v>8</v>
      </c>
      <c r="G11" s="191"/>
      <c r="H11" s="191"/>
      <c r="I11" s="191"/>
      <c r="J11" s="191"/>
      <c r="K11" s="192"/>
      <c r="O11" s="1"/>
    </row>
    <row r="12" spans="2:16" ht="49.5" customHeight="1" thickBot="1" x14ac:dyDescent="0.4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 x14ac:dyDescent="0.35">
      <c r="B13" s="193" t="s">
        <v>19</v>
      </c>
      <c r="C13" s="194" t="s">
        <v>20</v>
      </c>
      <c r="D13" s="24" t="s">
        <v>20</v>
      </c>
      <c r="E13" s="25" t="s">
        <v>21</v>
      </c>
      <c r="F13" s="26">
        <f>'Hardware List-BLE'!D7</f>
        <v>9202800</v>
      </c>
      <c r="G13" s="27"/>
      <c r="H13" s="28">
        <f>F13</f>
        <v>9202800</v>
      </c>
      <c r="I13" s="29">
        <v>0.25</v>
      </c>
      <c r="J13" s="30">
        <f>H13/(1-I13)</f>
        <v>12270400</v>
      </c>
      <c r="K13" s="28">
        <f t="shared" ref="K13:K15" si="0">H13/(1-I13)</f>
        <v>12270400</v>
      </c>
      <c r="O13" s="1"/>
    </row>
    <row r="14" spans="2:16" ht="18" customHeight="1" x14ac:dyDescent="0.35">
      <c r="B14" s="182"/>
      <c r="C14" s="195"/>
      <c r="D14" s="31" t="s">
        <v>22</v>
      </c>
      <c r="E14" s="32" t="s">
        <v>21</v>
      </c>
      <c r="F14" s="33">
        <v>0</v>
      </c>
      <c r="G14" s="27"/>
      <c r="H14" s="34">
        <v>0</v>
      </c>
      <c r="I14" s="29">
        <v>0.25</v>
      </c>
      <c r="J14" s="30">
        <f t="shared" ref="J14" si="1">H14/(1-I14)</f>
        <v>0</v>
      </c>
      <c r="K14" s="34">
        <f t="shared" si="0"/>
        <v>0</v>
      </c>
      <c r="O14" s="1"/>
    </row>
    <row r="15" spans="2:16" ht="18" customHeight="1" x14ac:dyDescent="0.35">
      <c r="B15" s="182"/>
      <c r="C15" s="195"/>
      <c r="D15" s="35" t="s">
        <v>23</v>
      </c>
      <c r="E15" s="36" t="s">
        <v>21</v>
      </c>
      <c r="F15" s="34">
        <f>(SUM(F13:F14)*$D$6)</f>
        <v>460140</v>
      </c>
      <c r="G15" s="37"/>
      <c r="H15" s="34">
        <f>(SUM(H13:H14)*$D$6)</f>
        <v>460140</v>
      </c>
      <c r="I15" s="29">
        <v>0.25</v>
      </c>
      <c r="J15" s="30">
        <f>H15/(1-I15)</f>
        <v>613520</v>
      </c>
      <c r="K15" s="34">
        <f t="shared" si="0"/>
        <v>613520</v>
      </c>
      <c r="O15" s="1"/>
    </row>
    <row r="16" spans="2:16" ht="18" customHeight="1" x14ac:dyDescent="0.35">
      <c r="B16" s="182"/>
      <c r="C16" s="196"/>
      <c r="D16" s="38" t="s">
        <v>24</v>
      </c>
      <c r="E16" s="39"/>
      <c r="F16" s="38"/>
      <c r="G16" s="38"/>
      <c r="H16" s="40">
        <f>SUM(H13:H15)</f>
        <v>9662940</v>
      </c>
      <c r="I16" s="39"/>
      <c r="J16" s="39"/>
      <c r="K16" s="40">
        <f>SUM(K13:K15)</f>
        <v>12883920</v>
      </c>
      <c r="O16" s="1"/>
    </row>
    <row r="17" spans="2:16" ht="18" customHeight="1" x14ac:dyDescent="0.35">
      <c r="B17" s="182"/>
      <c r="C17" s="197" t="s">
        <v>25</v>
      </c>
      <c r="D17" s="35" t="s">
        <v>26</v>
      </c>
      <c r="E17" s="36" t="s">
        <v>21</v>
      </c>
      <c r="F17" s="41">
        <v>2000000</v>
      </c>
      <c r="G17" s="37"/>
      <c r="H17" s="34">
        <f t="shared" ref="H17:H18" si="2">F17</f>
        <v>2000000</v>
      </c>
      <c r="I17" s="29">
        <v>0.25</v>
      </c>
      <c r="J17" s="30">
        <f t="shared" ref="J17:J18" si="3">H17/(1-I17)</f>
        <v>2666666.6666666665</v>
      </c>
      <c r="K17" s="34">
        <f t="shared" ref="K17:K18" si="4">H17/(1-I17)</f>
        <v>2666666.6666666665</v>
      </c>
      <c r="O17" s="1"/>
    </row>
    <row r="18" spans="2:16" ht="18" customHeight="1" x14ac:dyDescent="0.35">
      <c r="B18" s="182"/>
      <c r="C18" s="195"/>
      <c r="D18" s="43" t="s">
        <v>7</v>
      </c>
      <c r="E18" s="32" t="s">
        <v>21</v>
      </c>
      <c r="F18" s="44">
        <f>D9</f>
        <v>200000</v>
      </c>
      <c r="G18" s="37"/>
      <c r="H18" s="34">
        <f t="shared" si="2"/>
        <v>200000</v>
      </c>
      <c r="I18" s="29">
        <v>0.25</v>
      </c>
      <c r="J18" s="30">
        <f t="shared" si="3"/>
        <v>266666.66666666669</v>
      </c>
      <c r="K18" s="34">
        <f t="shared" si="4"/>
        <v>266666.66666666669</v>
      </c>
      <c r="O18" s="1"/>
    </row>
    <row r="19" spans="2:16" ht="18" customHeight="1" x14ac:dyDescent="0.35">
      <c r="B19" s="182"/>
      <c r="C19" s="196"/>
      <c r="D19" s="38" t="s">
        <v>27</v>
      </c>
      <c r="E19" s="39"/>
      <c r="F19" s="38"/>
      <c r="G19" s="38"/>
      <c r="H19" s="40">
        <f>SUM(H17:H18)</f>
        <v>2200000</v>
      </c>
      <c r="I19" s="39"/>
      <c r="J19" s="45"/>
      <c r="K19" s="40">
        <f>SUM(K17:K18)</f>
        <v>2933333.333333333</v>
      </c>
      <c r="O19" s="1"/>
    </row>
    <row r="20" spans="2:16" ht="18" customHeight="1" x14ac:dyDescent="0.35">
      <c r="B20" s="183"/>
      <c r="D20" s="46"/>
      <c r="E20" s="47"/>
      <c r="F20" s="46"/>
      <c r="G20" s="48" t="s">
        <v>28</v>
      </c>
      <c r="H20" s="49">
        <f>H16+H19</f>
        <v>11862940</v>
      </c>
      <c r="I20" s="50"/>
      <c r="J20" s="51"/>
      <c r="K20" s="49">
        <f>K16+K19</f>
        <v>15817253.333333332</v>
      </c>
      <c r="N20" s="11"/>
      <c r="O20" s="1"/>
      <c r="P20" s="52"/>
    </row>
    <row r="21" spans="2:16" ht="18" customHeight="1" x14ac:dyDescent="0.35">
      <c r="B21" s="181" t="s">
        <v>29</v>
      </c>
      <c r="C21" s="36" t="s">
        <v>30</v>
      </c>
      <c r="D21" s="43" t="s">
        <v>31</v>
      </c>
      <c r="E21" s="32" t="s">
        <v>32</v>
      </c>
      <c r="F21" s="34">
        <f>'Manpower Cost New'!S8+'Manpower Cost New'!U26</f>
        <v>1086000</v>
      </c>
      <c r="G21" s="53">
        <f t="shared" ref="G21:G22" si="5">$D$4</f>
        <v>3</v>
      </c>
      <c r="H21" s="34">
        <f>F21</f>
        <v>1086000</v>
      </c>
      <c r="I21" s="42">
        <v>0</v>
      </c>
      <c r="J21" s="30">
        <f>H21</f>
        <v>1086000</v>
      </c>
      <c r="K21" s="34">
        <f>J21</f>
        <v>1086000</v>
      </c>
      <c r="L21" s="52"/>
      <c r="N21" s="11"/>
      <c r="O21" s="1"/>
      <c r="P21" s="52"/>
    </row>
    <row r="22" spans="2:16" ht="18" customHeight="1" x14ac:dyDescent="0.35">
      <c r="B22" s="182"/>
      <c r="C22" s="36" t="s">
        <v>33</v>
      </c>
      <c r="D22" s="54" t="s">
        <v>34</v>
      </c>
      <c r="E22" s="32" t="s">
        <v>32</v>
      </c>
      <c r="F22" s="34">
        <f>D7*12</f>
        <v>1440000</v>
      </c>
      <c r="G22" s="53">
        <f t="shared" si="5"/>
        <v>3</v>
      </c>
      <c r="H22" s="34">
        <f>F22*G22</f>
        <v>4320000</v>
      </c>
      <c r="I22" s="42"/>
      <c r="J22" s="55">
        <v>0</v>
      </c>
      <c r="K22" s="34">
        <f>H22</f>
        <v>4320000</v>
      </c>
      <c r="N22" s="11"/>
      <c r="O22" s="1"/>
      <c r="P22" s="52"/>
    </row>
    <row r="23" spans="2:16" ht="18" customHeight="1" x14ac:dyDescent="0.35">
      <c r="B23" s="183"/>
      <c r="D23" s="46"/>
      <c r="E23" s="47"/>
      <c r="F23" s="56"/>
      <c r="G23" s="48" t="s">
        <v>35</v>
      </c>
      <c r="H23" s="49">
        <f>SUM(H21:H22)</f>
        <v>5406000</v>
      </c>
      <c r="I23" s="50"/>
      <c r="J23" s="51"/>
      <c r="K23" s="136">
        <f>SUM(K21:K22)</f>
        <v>5406000</v>
      </c>
      <c r="L23" s="52"/>
      <c r="O23" s="1"/>
    </row>
    <row r="24" spans="2:16" ht="18" customHeight="1" x14ac:dyDescent="0.35">
      <c r="B24" s="184" t="s">
        <v>36</v>
      </c>
      <c r="C24" s="36" t="s">
        <v>36</v>
      </c>
      <c r="D24" s="54" t="s">
        <v>37</v>
      </c>
      <c r="E24" s="32" t="s">
        <v>32</v>
      </c>
      <c r="F24" s="34">
        <f>SUM(F13:F15)*$D$5</f>
        <v>966294</v>
      </c>
      <c r="G24" s="53">
        <f>G21-1</f>
        <v>2</v>
      </c>
      <c r="H24" s="34">
        <f>F24*G24</f>
        <v>1932588</v>
      </c>
      <c r="I24" s="29">
        <v>0.25</v>
      </c>
      <c r="J24" s="30">
        <f>H24/(1-I24)</f>
        <v>2576784</v>
      </c>
      <c r="K24" s="34">
        <f>J24</f>
        <v>2576784</v>
      </c>
      <c r="N24" s="11"/>
      <c r="O24" s="1"/>
      <c r="P24" s="52"/>
    </row>
    <row r="25" spans="2:16" ht="18" customHeight="1" x14ac:dyDescent="0.35">
      <c r="B25" s="183"/>
      <c r="C25" s="57" t="s">
        <v>38</v>
      </c>
      <c r="D25" s="46"/>
      <c r="E25" s="46"/>
      <c r="F25" s="46"/>
      <c r="G25" s="48" t="s">
        <v>38</v>
      </c>
      <c r="H25" s="49">
        <f>SUM(H24)</f>
        <v>1932588</v>
      </c>
      <c r="I25" s="50"/>
      <c r="J25" s="51"/>
      <c r="K25" s="49">
        <f>K24</f>
        <v>2576784</v>
      </c>
      <c r="O25" s="1"/>
      <c r="P25" s="52"/>
    </row>
    <row r="26" spans="2:16" ht="38.25" customHeight="1" thickBot="1" x14ac:dyDescent="0.4">
      <c r="B26" s="58"/>
      <c r="C26" s="59"/>
      <c r="D26" s="59"/>
      <c r="E26" s="59"/>
      <c r="F26" s="59"/>
      <c r="G26" s="60" t="s">
        <v>142</v>
      </c>
      <c r="H26" s="61">
        <f>H20+H23+H25</f>
        <v>19201528</v>
      </c>
      <c r="I26" s="62">
        <f>1-H26/K26</f>
        <v>0.19321437478977621</v>
      </c>
      <c r="J26" s="63"/>
      <c r="K26" s="61">
        <f>K20+K23+K24</f>
        <v>23800037.333333332</v>
      </c>
      <c r="O26" s="1"/>
    </row>
    <row r="27" spans="2:16" ht="14.25" customHeight="1" x14ac:dyDescent="0.35">
      <c r="H27" s="52"/>
      <c r="O27" s="1"/>
    </row>
    <row r="28" spans="2:16" ht="14.25" customHeight="1" x14ac:dyDescent="0.35">
      <c r="L28" s="11"/>
      <c r="O28" s="1"/>
    </row>
    <row r="29" spans="2:16" ht="14.25" customHeight="1" x14ac:dyDescent="0.35">
      <c r="D29" s="52"/>
      <c r="L29" s="64"/>
      <c r="M29" s="64"/>
      <c r="O29" s="1"/>
    </row>
    <row r="30" spans="2:16" ht="14.25" customHeight="1" x14ac:dyDescent="0.35">
      <c r="L30" s="64"/>
      <c r="M30" s="64"/>
      <c r="O30" s="1"/>
    </row>
    <row r="31" spans="2:16" ht="14.25" customHeight="1" x14ac:dyDescent="0.35">
      <c r="O31" s="1"/>
    </row>
    <row r="32" spans="2:16" ht="14.25" customHeight="1" x14ac:dyDescent="0.35">
      <c r="H32" s="52"/>
      <c r="O32" s="1"/>
    </row>
    <row r="33" spans="15:15" ht="14.25" customHeight="1" x14ac:dyDescent="0.35">
      <c r="O33" s="1"/>
    </row>
    <row r="34" spans="15:15" ht="14.25" customHeight="1" x14ac:dyDescent="0.35">
      <c r="O34" s="1"/>
    </row>
    <row r="35" spans="15:15" ht="14.25" customHeight="1" x14ac:dyDescent="0.35">
      <c r="O35" s="1"/>
    </row>
    <row r="36" spans="15:15" ht="14.25" customHeight="1" x14ac:dyDescent="0.35">
      <c r="O36" s="1"/>
    </row>
    <row r="37" spans="15:15" ht="14.25" customHeight="1" x14ac:dyDescent="0.35">
      <c r="O37" s="1"/>
    </row>
    <row r="38" spans="15:15" ht="14.25" customHeight="1" x14ac:dyDescent="0.35">
      <c r="O38" s="1"/>
    </row>
    <row r="39" spans="15:15" ht="14.25" customHeight="1" x14ac:dyDescent="0.35">
      <c r="O39" s="1"/>
    </row>
    <row r="40" spans="15:15" ht="14.25" customHeight="1" x14ac:dyDescent="0.35">
      <c r="O40" s="1"/>
    </row>
    <row r="41" spans="15:15" ht="14.25" customHeight="1" x14ac:dyDescent="0.35">
      <c r="O41" s="1"/>
    </row>
    <row r="42" spans="15:15" ht="14.25" customHeight="1" x14ac:dyDescent="0.35">
      <c r="O42" s="1"/>
    </row>
    <row r="43" spans="15:15" ht="14.25" customHeight="1" x14ac:dyDescent="0.35">
      <c r="O43" s="1"/>
    </row>
    <row r="44" spans="15:15" ht="14.25" customHeight="1" x14ac:dyDescent="0.35">
      <c r="O44" s="1"/>
    </row>
    <row r="45" spans="15:15" ht="14.25" customHeight="1" x14ac:dyDescent="0.35">
      <c r="O45" s="1"/>
    </row>
    <row r="46" spans="15:15" ht="14.25" customHeight="1" x14ac:dyDescent="0.35">
      <c r="O46" s="1"/>
    </row>
    <row r="47" spans="15:15" ht="14.25" customHeight="1" x14ac:dyDescent="0.35">
      <c r="O47" s="1"/>
    </row>
    <row r="48" spans="15:15" ht="14.25" customHeight="1" x14ac:dyDescent="0.35">
      <c r="O48" s="1"/>
    </row>
    <row r="49" spans="15:15" ht="14.25" customHeight="1" x14ac:dyDescent="0.35">
      <c r="O49" s="1"/>
    </row>
    <row r="50" spans="15:15" ht="14.25" customHeight="1" x14ac:dyDescent="0.35">
      <c r="O50" s="1"/>
    </row>
    <row r="51" spans="15:15" ht="14.25" customHeight="1" x14ac:dyDescent="0.35">
      <c r="O51" s="1"/>
    </row>
    <row r="52" spans="15:15" ht="14.25" customHeight="1" x14ac:dyDescent="0.35">
      <c r="O52" s="1"/>
    </row>
    <row r="53" spans="15:15" ht="14.25" customHeight="1" x14ac:dyDescent="0.35">
      <c r="O53" s="1"/>
    </row>
    <row r="54" spans="15:15" ht="14.25" customHeight="1" x14ac:dyDescent="0.35">
      <c r="O54" s="1"/>
    </row>
    <row r="55" spans="15:15" ht="14.25" customHeight="1" x14ac:dyDescent="0.35">
      <c r="O55" s="1"/>
    </row>
    <row r="56" spans="15:15" ht="14.25" customHeight="1" x14ac:dyDescent="0.35">
      <c r="O56" s="1"/>
    </row>
    <row r="57" spans="15:15" ht="14.25" customHeight="1" x14ac:dyDescent="0.35">
      <c r="O57" s="1"/>
    </row>
    <row r="58" spans="15:15" ht="14.25" customHeight="1" x14ac:dyDescent="0.35">
      <c r="O58" s="1"/>
    </row>
    <row r="59" spans="15:15" ht="14.25" customHeight="1" x14ac:dyDescent="0.35">
      <c r="O59" s="1"/>
    </row>
    <row r="60" spans="15:15" ht="14.25" customHeight="1" x14ac:dyDescent="0.35">
      <c r="O60" s="1"/>
    </row>
    <row r="61" spans="15:15" ht="14.25" customHeight="1" x14ac:dyDescent="0.35">
      <c r="O61" s="1"/>
    </row>
    <row r="62" spans="15:15" ht="14.25" customHeight="1" x14ac:dyDescent="0.35">
      <c r="O62" s="1"/>
    </row>
    <row r="63" spans="15:15" ht="14.25" customHeight="1" x14ac:dyDescent="0.35">
      <c r="O63" s="1"/>
    </row>
    <row r="64" spans="15:15" ht="14.25" customHeight="1" x14ac:dyDescent="0.35">
      <c r="O64" s="1"/>
    </row>
    <row r="65" spans="15:15" ht="14.25" customHeight="1" x14ac:dyDescent="0.35">
      <c r="O65" s="1"/>
    </row>
    <row r="66" spans="15:15" ht="14.25" customHeight="1" x14ac:dyDescent="0.35">
      <c r="O66" s="1"/>
    </row>
    <row r="67" spans="15:15" ht="14.25" customHeight="1" x14ac:dyDescent="0.35">
      <c r="O67" s="1"/>
    </row>
    <row r="68" spans="15:15" ht="14.25" customHeight="1" x14ac:dyDescent="0.35">
      <c r="O68" s="1"/>
    </row>
    <row r="69" spans="15:15" ht="14.25" customHeight="1" x14ac:dyDescent="0.35">
      <c r="O69" s="1"/>
    </row>
    <row r="70" spans="15:15" ht="14.25" customHeight="1" x14ac:dyDescent="0.35">
      <c r="O70" s="1"/>
    </row>
    <row r="71" spans="15:15" ht="14.25" customHeight="1" x14ac:dyDescent="0.35">
      <c r="O71" s="1"/>
    </row>
    <row r="72" spans="15:15" ht="14.25" customHeight="1" x14ac:dyDescent="0.35">
      <c r="O72" s="1"/>
    </row>
    <row r="73" spans="15:15" ht="14.25" customHeight="1" x14ac:dyDescent="0.35">
      <c r="O73" s="1"/>
    </row>
    <row r="74" spans="15:15" ht="14.25" customHeight="1" x14ac:dyDescent="0.35">
      <c r="O74" s="1"/>
    </row>
    <row r="75" spans="15:15" ht="14.25" customHeight="1" x14ac:dyDescent="0.35">
      <c r="O75" s="1"/>
    </row>
    <row r="76" spans="15:15" ht="14.25" customHeight="1" x14ac:dyDescent="0.35">
      <c r="O76" s="1"/>
    </row>
    <row r="77" spans="15:15" ht="14.25" customHeight="1" x14ac:dyDescent="0.35">
      <c r="O77" s="1"/>
    </row>
    <row r="78" spans="15:15" ht="14.25" customHeight="1" x14ac:dyDescent="0.35">
      <c r="O78" s="1"/>
    </row>
    <row r="79" spans="15:15" ht="14.25" customHeight="1" x14ac:dyDescent="0.35">
      <c r="O79" s="1"/>
    </row>
    <row r="80" spans="15:15" ht="14.25" customHeight="1" x14ac:dyDescent="0.35">
      <c r="O80" s="1"/>
    </row>
    <row r="81" spans="15:15" ht="14.25" customHeight="1" x14ac:dyDescent="0.35">
      <c r="O81" s="1"/>
    </row>
    <row r="82" spans="15:15" ht="14.25" customHeight="1" x14ac:dyDescent="0.35">
      <c r="O82" s="1"/>
    </row>
    <row r="83" spans="15:15" ht="14.25" customHeight="1" x14ac:dyDescent="0.35">
      <c r="O83" s="1"/>
    </row>
    <row r="84" spans="15:15" ht="14.25" customHeight="1" x14ac:dyDescent="0.35">
      <c r="O84" s="1"/>
    </row>
    <row r="85" spans="15:15" ht="14.25" customHeight="1" x14ac:dyDescent="0.35">
      <c r="O85" s="1"/>
    </row>
    <row r="86" spans="15:15" ht="14.25" customHeight="1" x14ac:dyDescent="0.35">
      <c r="O86" s="1"/>
    </row>
    <row r="87" spans="15:15" ht="14.25" customHeight="1" x14ac:dyDescent="0.35">
      <c r="O87" s="1"/>
    </row>
    <row r="88" spans="15:15" ht="14.25" customHeight="1" x14ac:dyDescent="0.35">
      <c r="O88" s="1"/>
    </row>
    <row r="89" spans="15:15" ht="14.25" customHeight="1" x14ac:dyDescent="0.35">
      <c r="O89" s="1"/>
    </row>
    <row r="90" spans="15:15" ht="14.25" customHeight="1" x14ac:dyDescent="0.35">
      <c r="O90" s="1"/>
    </row>
    <row r="91" spans="15:15" ht="14.25" customHeight="1" x14ac:dyDescent="0.35">
      <c r="O91" s="1"/>
    </row>
    <row r="92" spans="15:15" ht="14.25" customHeight="1" x14ac:dyDescent="0.35">
      <c r="O92" s="1"/>
    </row>
    <row r="93" spans="15:15" ht="14.25" customHeight="1" x14ac:dyDescent="0.35">
      <c r="O93" s="1"/>
    </row>
    <row r="94" spans="15:15" ht="14.25" customHeight="1" x14ac:dyDescent="0.35">
      <c r="O94" s="1"/>
    </row>
    <row r="95" spans="15:15" ht="14.25" customHeight="1" x14ac:dyDescent="0.35">
      <c r="O95" s="1"/>
    </row>
    <row r="96" spans="15:15" ht="14.25" customHeight="1" x14ac:dyDescent="0.35">
      <c r="O96" s="1"/>
    </row>
    <row r="97" spans="15:15" ht="14.25" customHeight="1" x14ac:dyDescent="0.35">
      <c r="O97" s="1"/>
    </row>
    <row r="98" spans="15:15" ht="14.25" customHeight="1" x14ac:dyDescent="0.35">
      <c r="O98" s="1"/>
    </row>
    <row r="99" spans="15:15" ht="14.25" customHeight="1" x14ac:dyDescent="0.35">
      <c r="O99" s="1"/>
    </row>
    <row r="100" spans="15:15" ht="14.25" customHeight="1" x14ac:dyDescent="0.35">
      <c r="O100" s="1"/>
    </row>
    <row r="101" spans="15:15" ht="14.25" customHeight="1" x14ac:dyDescent="0.35">
      <c r="O101" s="1"/>
    </row>
    <row r="102" spans="15:15" ht="14.25" customHeight="1" x14ac:dyDescent="0.35">
      <c r="O102" s="1"/>
    </row>
    <row r="103" spans="15:15" ht="14.25" customHeight="1" x14ac:dyDescent="0.35">
      <c r="O103" s="1"/>
    </row>
    <row r="104" spans="15:15" ht="14.25" customHeight="1" x14ac:dyDescent="0.35">
      <c r="O104" s="1"/>
    </row>
    <row r="105" spans="15:15" ht="14.25" customHeight="1" x14ac:dyDescent="0.35">
      <c r="O105" s="1"/>
    </row>
    <row r="106" spans="15:15" ht="14.25" customHeight="1" x14ac:dyDescent="0.35">
      <c r="O106" s="1"/>
    </row>
    <row r="107" spans="15:15" ht="14.25" customHeight="1" x14ac:dyDescent="0.35">
      <c r="O107" s="1"/>
    </row>
    <row r="108" spans="15:15" ht="14.25" customHeight="1" x14ac:dyDescent="0.35">
      <c r="O108" s="1"/>
    </row>
    <row r="109" spans="15:15" ht="14.25" customHeight="1" x14ac:dyDescent="0.35">
      <c r="O109" s="1"/>
    </row>
    <row r="110" spans="15:15" ht="14.25" customHeight="1" x14ac:dyDescent="0.35">
      <c r="O110" s="1"/>
    </row>
    <row r="111" spans="15:15" ht="14.25" customHeight="1" x14ac:dyDescent="0.35">
      <c r="O111" s="1"/>
    </row>
    <row r="112" spans="15:15" ht="14.25" customHeight="1" x14ac:dyDescent="0.35">
      <c r="O112" s="1"/>
    </row>
    <row r="113" spans="15:15" ht="14.25" customHeight="1" x14ac:dyDescent="0.35">
      <c r="O113" s="1"/>
    </row>
    <row r="114" spans="15:15" ht="14.25" customHeight="1" x14ac:dyDescent="0.35">
      <c r="O114" s="1"/>
    </row>
    <row r="115" spans="15:15" ht="14.25" customHeight="1" x14ac:dyDescent="0.35">
      <c r="O115" s="1"/>
    </row>
    <row r="116" spans="15:15" ht="14.25" customHeight="1" x14ac:dyDescent="0.35">
      <c r="O116" s="1"/>
    </row>
    <row r="117" spans="15:15" ht="14.25" customHeight="1" x14ac:dyDescent="0.35">
      <c r="O117" s="1"/>
    </row>
    <row r="118" spans="15:15" ht="14.25" customHeight="1" x14ac:dyDescent="0.35">
      <c r="O118" s="1"/>
    </row>
    <row r="119" spans="15:15" ht="14.25" customHeight="1" x14ac:dyDescent="0.35">
      <c r="O119" s="1"/>
    </row>
    <row r="120" spans="15:15" ht="14.25" customHeight="1" x14ac:dyDescent="0.35">
      <c r="O120" s="1"/>
    </row>
    <row r="121" spans="15:15" ht="14.25" customHeight="1" x14ac:dyDescent="0.35">
      <c r="O121" s="1"/>
    </row>
    <row r="122" spans="15:15" ht="14.25" customHeight="1" x14ac:dyDescent="0.35">
      <c r="O122" s="1"/>
    </row>
    <row r="123" spans="15:15" ht="14.25" customHeight="1" x14ac:dyDescent="0.35">
      <c r="O123" s="1"/>
    </row>
    <row r="124" spans="15:15" ht="14.25" customHeight="1" x14ac:dyDescent="0.35">
      <c r="O124" s="1"/>
    </row>
    <row r="125" spans="15:15" ht="14.25" customHeight="1" x14ac:dyDescent="0.35">
      <c r="O125" s="1"/>
    </row>
    <row r="126" spans="15:15" ht="14.25" customHeight="1" x14ac:dyDescent="0.35">
      <c r="O126" s="1"/>
    </row>
    <row r="127" spans="15:15" ht="14.25" customHeight="1" x14ac:dyDescent="0.35">
      <c r="O127" s="1"/>
    </row>
    <row r="128" spans="15:15" ht="14.25" customHeight="1" x14ac:dyDescent="0.35">
      <c r="O128" s="1"/>
    </row>
    <row r="129" spans="15:15" ht="14.25" customHeight="1" x14ac:dyDescent="0.35">
      <c r="O129" s="1"/>
    </row>
    <row r="130" spans="15:15" ht="14.25" customHeight="1" x14ac:dyDescent="0.35">
      <c r="O130" s="1"/>
    </row>
    <row r="131" spans="15:15" ht="14.25" customHeight="1" x14ac:dyDescent="0.35">
      <c r="O131" s="1"/>
    </row>
    <row r="132" spans="15:15" ht="14.25" customHeight="1" x14ac:dyDescent="0.35">
      <c r="O132" s="1"/>
    </row>
    <row r="133" spans="15:15" ht="14.25" customHeight="1" x14ac:dyDescent="0.35">
      <c r="O133" s="1"/>
    </row>
    <row r="134" spans="15:15" ht="14.25" customHeight="1" x14ac:dyDescent="0.35">
      <c r="O134" s="1"/>
    </row>
    <row r="135" spans="15:15" ht="14.25" customHeight="1" x14ac:dyDescent="0.35">
      <c r="O135" s="1"/>
    </row>
    <row r="136" spans="15:15" ht="14.25" customHeight="1" x14ac:dyDescent="0.35">
      <c r="O136" s="1"/>
    </row>
    <row r="137" spans="15:15" ht="14.25" customHeight="1" x14ac:dyDescent="0.35">
      <c r="O137" s="1"/>
    </row>
    <row r="138" spans="15:15" ht="14.25" customHeight="1" x14ac:dyDescent="0.35">
      <c r="O138" s="1"/>
    </row>
    <row r="139" spans="15:15" ht="14.25" customHeight="1" x14ac:dyDescent="0.35">
      <c r="O139" s="1"/>
    </row>
    <row r="140" spans="15:15" ht="14.25" customHeight="1" x14ac:dyDescent="0.35">
      <c r="O140" s="1"/>
    </row>
    <row r="141" spans="15:15" ht="14.25" customHeight="1" x14ac:dyDescent="0.35">
      <c r="O141" s="1"/>
    </row>
    <row r="142" spans="15:15" ht="14.25" customHeight="1" x14ac:dyDescent="0.35">
      <c r="O142" s="1"/>
    </row>
    <row r="143" spans="15:15" ht="14.25" customHeight="1" x14ac:dyDescent="0.35">
      <c r="O143" s="1"/>
    </row>
    <row r="144" spans="15:15" ht="14.25" customHeight="1" x14ac:dyDescent="0.35">
      <c r="O144" s="1"/>
    </row>
    <row r="145" spans="15:15" ht="14.25" customHeight="1" x14ac:dyDescent="0.35">
      <c r="O145" s="1"/>
    </row>
    <row r="146" spans="15:15" ht="14.25" customHeight="1" x14ac:dyDescent="0.35">
      <c r="O146" s="1"/>
    </row>
    <row r="147" spans="15:15" ht="14.25" customHeight="1" x14ac:dyDescent="0.35">
      <c r="O147" s="1"/>
    </row>
    <row r="148" spans="15:15" ht="14.25" customHeight="1" x14ac:dyDescent="0.35">
      <c r="O148" s="1"/>
    </row>
    <row r="149" spans="15:15" ht="14.25" customHeight="1" x14ac:dyDescent="0.35">
      <c r="O149" s="1"/>
    </row>
    <row r="150" spans="15:15" ht="14.25" customHeight="1" x14ac:dyDescent="0.35">
      <c r="O150" s="1"/>
    </row>
    <row r="151" spans="15:15" ht="14.25" customHeight="1" x14ac:dyDescent="0.35">
      <c r="O151" s="1"/>
    </row>
    <row r="152" spans="15:15" ht="14.25" customHeight="1" x14ac:dyDescent="0.35">
      <c r="O152" s="1"/>
    </row>
    <row r="153" spans="15:15" ht="14.25" customHeight="1" x14ac:dyDescent="0.35">
      <c r="O153" s="1"/>
    </row>
    <row r="154" spans="15:15" ht="14.25" customHeight="1" x14ac:dyDescent="0.35">
      <c r="O154" s="1"/>
    </row>
    <row r="155" spans="15:15" ht="14.25" customHeight="1" x14ac:dyDescent="0.35">
      <c r="O155" s="1"/>
    </row>
    <row r="156" spans="15:15" ht="14.25" customHeight="1" x14ac:dyDescent="0.35">
      <c r="O156" s="1"/>
    </row>
    <row r="157" spans="15:15" ht="14.25" customHeight="1" x14ac:dyDescent="0.35">
      <c r="O157" s="1"/>
    </row>
    <row r="158" spans="15:15" ht="14.25" customHeight="1" x14ac:dyDescent="0.35">
      <c r="O158" s="1"/>
    </row>
    <row r="159" spans="15:15" ht="14.25" customHeight="1" x14ac:dyDescent="0.35">
      <c r="O159" s="1"/>
    </row>
    <row r="160" spans="15:15" ht="14.25" customHeight="1" x14ac:dyDescent="0.35">
      <c r="O160" s="1"/>
    </row>
    <row r="161" spans="15:15" ht="14.25" customHeight="1" x14ac:dyDescent="0.35">
      <c r="O161" s="1"/>
    </row>
    <row r="162" spans="15:15" ht="14.25" customHeight="1" x14ac:dyDescent="0.35">
      <c r="O162" s="1"/>
    </row>
    <row r="163" spans="15:15" ht="14.25" customHeight="1" x14ac:dyDescent="0.35">
      <c r="O163" s="1"/>
    </row>
    <row r="164" spans="15:15" ht="14.25" customHeight="1" x14ac:dyDescent="0.35">
      <c r="O164" s="1"/>
    </row>
    <row r="165" spans="15:15" ht="14.25" customHeight="1" x14ac:dyDescent="0.35">
      <c r="O165" s="1"/>
    </row>
    <row r="166" spans="15:15" ht="14.25" customHeight="1" x14ac:dyDescent="0.35">
      <c r="O166" s="1"/>
    </row>
    <row r="167" spans="15:15" ht="14.25" customHeight="1" x14ac:dyDescent="0.35">
      <c r="O167" s="1"/>
    </row>
    <row r="168" spans="15:15" ht="14.25" customHeight="1" x14ac:dyDescent="0.35">
      <c r="O168" s="1"/>
    </row>
    <row r="169" spans="15:15" ht="14.25" customHeight="1" x14ac:dyDescent="0.35">
      <c r="O169" s="1"/>
    </row>
    <row r="170" spans="15:15" ht="14.25" customHeight="1" x14ac:dyDescent="0.35">
      <c r="O170" s="1"/>
    </row>
    <row r="171" spans="15:15" ht="14.25" customHeight="1" x14ac:dyDescent="0.35">
      <c r="O171" s="1"/>
    </row>
    <row r="172" spans="15:15" ht="14.25" customHeight="1" x14ac:dyDescent="0.35">
      <c r="O172" s="1"/>
    </row>
    <row r="173" spans="15:15" ht="14.25" customHeight="1" x14ac:dyDescent="0.35">
      <c r="O173" s="1"/>
    </row>
    <row r="174" spans="15:15" ht="14.25" customHeight="1" x14ac:dyDescent="0.35">
      <c r="O174" s="1"/>
    </row>
    <row r="175" spans="15:15" ht="14.25" customHeight="1" x14ac:dyDescent="0.35">
      <c r="O175" s="1"/>
    </row>
    <row r="176" spans="15:15" ht="14.25" customHeight="1" x14ac:dyDescent="0.35">
      <c r="O176" s="1"/>
    </row>
    <row r="177" spans="15:15" ht="14.25" customHeight="1" x14ac:dyDescent="0.35">
      <c r="O177" s="1"/>
    </row>
    <row r="178" spans="15:15" ht="14.25" customHeight="1" x14ac:dyDescent="0.35">
      <c r="O178" s="1"/>
    </row>
    <row r="179" spans="15:15" ht="14.25" customHeight="1" x14ac:dyDescent="0.35">
      <c r="O179" s="1"/>
    </row>
    <row r="180" spans="15:15" ht="14.25" customHeight="1" x14ac:dyDescent="0.35">
      <c r="O180" s="1"/>
    </row>
    <row r="181" spans="15:15" ht="14.25" customHeight="1" x14ac:dyDescent="0.35">
      <c r="O181" s="1"/>
    </row>
    <row r="182" spans="15:15" ht="14.25" customHeight="1" x14ac:dyDescent="0.35">
      <c r="O182" s="1"/>
    </row>
    <row r="183" spans="15:15" ht="14.25" customHeight="1" x14ac:dyDescent="0.35">
      <c r="O183" s="1"/>
    </row>
    <row r="184" spans="15:15" ht="14.25" customHeight="1" x14ac:dyDescent="0.35">
      <c r="O184" s="1"/>
    </row>
    <row r="185" spans="15:15" ht="14.25" customHeight="1" x14ac:dyDescent="0.35">
      <c r="O185" s="1"/>
    </row>
    <row r="186" spans="15:15" ht="14.25" customHeight="1" x14ac:dyDescent="0.35">
      <c r="O186" s="1"/>
    </row>
    <row r="187" spans="15:15" ht="14.25" customHeight="1" x14ac:dyDescent="0.35">
      <c r="O187" s="1"/>
    </row>
    <row r="188" spans="15:15" ht="14.25" customHeight="1" x14ac:dyDescent="0.35">
      <c r="O188" s="1"/>
    </row>
    <row r="189" spans="15:15" ht="14.25" customHeight="1" x14ac:dyDescent="0.35">
      <c r="O189" s="1"/>
    </row>
    <row r="190" spans="15:15" ht="14.25" customHeight="1" x14ac:dyDescent="0.35">
      <c r="O190" s="1"/>
    </row>
    <row r="191" spans="15:15" ht="14.25" customHeight="1" x14ac:dyDescent="0.35">
      <c r="O191" s="1"/>
    </row>
    <row r="192" spans="15:15" ht="14.25" customHeight="1" x14ac:dyDescent="0.35">
      <c r="O192" s="1"/>
    </row>
    <row r="193" spans="15:15" ht="14.25" customHeight="1" x14ac:dyDescent="0.35">
      <c r="O193" s="1"/>
    </row>
    <row r="194" spans="15:15" ht="14.25" customHeight="1" x14ac:dyDescent="0.35">
      <c r="O194" s="1"/>
    </row>
    <row r="195" spans="15:15" ht="14.25" customHeight="1" x14ac:dyDescent="0.35">
      <c r="O195" s="1"/>
    </row>
    <row r="196" spans="15:15" ht="14.25" customHeight="1" x14ac:dyDescent="0.35">
      <c r="O196" s="1"/>
    </row>
    <row r="197" spans="15:15" ht="14.25" customHeight="1" x14ac:dyDescent="0.35">
      <c r="O197" s="1"/>
    </row>
    <row r="198" spans="15:15" ht="14.25" customHeight="1" x14ac:dyDescent="0.35">
      <c r="O198" s="1"/>
    </row>
    <row r="199" spans="15:15" ht="14.25" customHeight="1" x14ac:dyDescent="0.35">
      <c r="O199" s="1"/>
    </row>
    <row r="200" spans="15:15" ht="14.25" customHeight="1" x14ac:dyDescent="0.35">
      <c r="O200" s="1"/>
    </row>
    <row r="201" spans="15:15" ht="14.25" customHeight="1" x14ac:dyDescent="0.35">
      <c r="O201" s="1"/>
    </row>
    <row r="202" spans="15:15" ht="14.25" customHeight="1" x14ac:dyDescent="0.35">
      <c r="O202" s="1"/>
    </row>
    <row r="203" spans="15:15" ht="14.25" customHeight="1" x14ac:dyDescent="0.35">
      <c r="O203" s="1"/>
    </row>
    <row r="204" spans="15:15" ht="14.25" customHeight="1" x14ac:dyDescent="0.35">
      <c r="O204" s="1"/>
    </row>
    <row r="205" spans="15:15" ht="14.25" customHeight="1" x14ac:dyDescent="0.35">
      <c r="O205" s="1"/>
    </row>
    <row r="206" spans="15:15" ht="14.25" customHeight="1" x14ac:dyDescent="0.35">
      <c r="O206" s="1"/>
    </row>
    <row r="207" spans="15:15" ht="14.25" customHeight="1" x14ac:dyDescent="0.35">
      <c r="O207" s="1"/>
    </row>
    <row r="208" spans="15:15" ht="14.25" customHeight="1" x14ac:dyDescent="0.35">
      <c r="O208" s="1"/>
    </row>
    <row r="209" spans="15:15" ht="14.25" customHeight="1" x14ac:dyDescent="0.35">
      <c r="O209" s="1"/>
    </row>
    <row r="210" spans="15:15" ht="14.25" customHeight="1" x14ac:dyDescent="0.35">
      <c r="O210" s="1"/>
    </row>
    <row r="211" spans="15:15" ht="14.25" customHeight="1" x14ac:dyDescent="0.35">
      <c r="O211" s="1"/>
    </row>
    <row r="212" spans="15:15" ht="14.25" customHeight="1" x14ac:dyDescent="0.35">
      <c r="O212" s="1"/>
    </row>
    <row r="213" spans="15:15" ht="14.25" customHeight="1" x14ac:dyDescent="0.35">
      <c r="O213" s="1"/>
    </row>
    <row r="214" spans="15:15" ht="14.25" customHeight="1" x14ac:dyDescent="0.35">
      <c r="O214" s="1"/>
    </row>
    <row r="215" spans="15:15" ht="14.25" customHeight="1" x14ac:dyDescent="0.35">
      <c r="O215" s="1"/>
    </row>
    <row r="216" spans="15:15" ht="14.25" customHeight="1" x14ac:dyDescent="0.35">
      <c r="O216" s="1"/>
    </row>
    <row r="217" spans="15:15" ht="14.25" customHeight="1" x14ac:dyDescent="0.35">
      <c r="O217" s="1"/>
    </row>
    <row r="218" spans="15:15" ht="14.25" customHeight="1" x14ac:dyDescent="0.35">
      <c r="O218" s="1"/>
    </row>
    <row r="219" spans="15:15" ht="14.25" customHeight="1" x14ac:dyDescent="0.35">
      <c r="O219" s="1"/>
    </row>
    <row r="220" spans="15:15" ht="14.25" customHeight="1" x14ac:dyDescent="0.35">
      <c r="O220" s="1"/>
    </row>
    <row r="221" spans="15:15" ht="14.25" customHeight="1" x14ac:dyDescent="0.35">
      <c r="O221" s="1"/>
    </row>
    <row r="222" spans="15:15" ht="14.25" customHeight="1" x14ac:dyDescent="0.35">
      <c r="O222" s="1"/>
    </row>
    <row r="223" spans="15:15" ht="14.25" customHeight="1" x14ac:dyDescent="0.35">
      <c r="O223" s="1"/>
    </row>
    <row r="224" spans="15:15" ht="14.25" customHeight="1" x14ac:dyDescent="0.35">
      <c r="O224" s="1"/>
    </row>
    <row r="225" spans="15:15" ht="14.25" customHeight="1" x14ac:dyDescent="0.35">
      <c r="O225" s="1"/>
    </row>
    <row r="226" spans="15:15" ht="14.25" customHeight="1" x14ac:dyDescent="0.35">
      <c r="O226" s="1"/>
    </row>
    <row r="227" spans="15:15" ht="14.25" customHeight="1" x14ac:dyDescent="0.35">
      <c r="O227" s="1"/>
    </row>
    <row r="228" spans="15:15" ht="14.25" customHeight="1" x14ac:dyDescent="0.35">
      <c r="O228" s="1"/>
    </row>
    <row r="229" spans="15:15" ht="14.25" customHeight="1" x14ac:dyDescent="0.35">
      <c r="O229" s="1"/>
    </row>
    <row r="230" spans="15:15" ht="14.25" customHeight="1" x14ac:dyDescent="0.35">
      <c r="O230" s="1"/>
    </row>
    <row r="231" spans="15:15" ht="14.25" customHeight="1" x14ac:dyDescent="0.35">
      <c r="O231" s="1"/>
    </row>
    <row r="232" spans="15:15" ht="14.25" customHeight="1" x14ac:dyDescent="0.35">
      <c r="O232" s="1"/>
    </row>
    <row r="233" spans="15:15" ht="14.25" customHeight="1" x14ac:dyDescent="0.35">
      <c r="O233" s="1"/>
    </row>
    <row r="234" spans="15:15" ht="14.25" customHeight="1" x14ac:dyDescent="0.35">
      <c r="O234" s="1"/>
    </row>
    <row r="235" spans="15:15" ht="14.25" customHeight="1" x14ac:dyDescent="0.35">
      <c r="O235" s="1"/>
    </row>
    <row r="236" spans="15:15" ht="14.25" customHeight="1" x14ac:dyDescent="0.35">
      <c r="O236" s="1"/>
    </row>
    <row r="237" spans="15:15" ht="14.25" customHeight="1" x14ac:dyDescent="0.35">
      <c r="O237" s="1"/>
    </row>
    <row r="238" spans="15:15" ht="14.25" customHeight="1" x14ac:dyDescent="0.35">
      <c r="O238" s="1"/>
    </row>
    <row r="239" spans="15:15" ht="14.25" customHeight="1" x14ac:dyDescent="0.35">
      <c r="O239" s="1"/>
    </row>
    <row r="240" spans="15:15" ht="14.25" customHeight="1" x14ac:dyDescent="0.35">
      <c r="O240" s="1"/>
    </row>
    <row r="241" spans="15:15" ht="14.25" customHeight="1" x14ac:dyDescent="0.35">
      <c r="O241" s="1"/>
    </row>
    <row r="242" spans="15:15" ht="14.25" customHeight="1" x14ac:dyDescent="0.35">
      <c r="O242" s="1"/>
    </row>
    <row r="243" spans="15:15" ht="14.25" customHeight="1" x14ac:dyDescent="0.35">
      <c r="O243" s="1"/>
    </row>
    <row r="244" spans="15:15" ht="14.25" customHeight="1" x14ac:dyDescent="0.35">
      <c r="O244" s="1"/>
    </row>
    <row r="245" spans="15:15" ht="14.25" customHeight="1" x14ac:dyDescent="0.35">
      <c r="O245" s="1"/>
    </row>
    <row r="246" spans="15:15" ht="14.25" customHeight="1" x14ac:dyDescent="0.35">
      <c r="O246" s="1"/>
    </row>
    <row r="247" spans="15:15" ht="14.25" customHeight="1" x14ac:dyDescent="0.35">
      <c r="O247" s="1"/>
    </row>
    <row r="248" spans="15:15" ht="14.25" customHeight="1" x14ac:dyDescent="0.35">
      <c r="O248" s="1"/>
    </row>
    <row r="249" spans="15:15" ht="14.25" customHeight="1" x14ac:dyDescent="0.35">
      <c r="O249" s="1"/>
    </row>
    <row r="250" spans="15:15" ht="14.25" customHeight="1" x14ac:dyDescent="0.35">
      <c r="O250" s="1"/>
    </row>
    <row r="251" spans="15:15" ht="14.25" customHeight="1" x14ac:dyDescent="0.35">
      <c r="O251" s="1"/>
    </row>
    <row r="252" spans="15:15" ht="14.25" customHeight="1" x14ac:dyDescent="0.35">
      <c r="O252" s="1"/>
    </row>
    <row r="253" spans="15:15" ht="14.25" customHeight="1" x14ac:dyDescent="0.35">
      <c r="O253" s="1"/>
    </row>
    <row r="254" spans="15:15" ht="14.25" customHeight="1" x14ac:dyDescent="0.35">
      <c r="O254" s="1"/>
    </row>
    <row r="255" spans="15:15" ht="14.25" customHeight="1" x14ac:dyDescent="0.35">
      <c r="O255" s="1"/>
    </row>
    <row r="256" spans="15:15" ht="14.25" customHeight="1" x14ac:dyDescent="0.35">
      <c r="O256" s="1"/>
    </row>
    <row r="257" spans="15:15" ht="14.25" customHeight="1" x14ac:dyDescent="0.35">
      <c r="O257" s="1"/>
    </row>
    <row r="258" spans="15:15" ht="14.25" customHeight="1" x14ac:dyDescent="0.35">
      <c r="O258" s="1"/>
    </row>
    <row r="259" spans="15:15" ht="14.25" customHeight="1" x14ac:dyDescent="0.35">
      <c r="O259" s="1"/>
    </row>
    <row r="260" spans="15:15" ht="14.25" customHeight="1" x14ac:dyDescent="0.35">
      <c r="O260" s="1"/>
    </row>
    <row r="261" spans="15:15" ht="14.25" customHeight="1" x14ac:dyDescent="0.35">
      <c r="O261" s="1"/>
    </row>
    <row r="262" spans="15:15" ht="14.25" customHeight="1" x14ac:dyDescent="0.35">
      <c r="O262" s="1"/>
    </row>
    <row r="263" spans="15:15" ht="14.25" customHeight="1" x14ac:dyDescent="0.35">
      <c r="O263" s="1"/>
    </row>
    <row r="264" spans="15:15" ht="14.25" customHeight="1" x14ac:dyDescent="0.35">
      <c r="O264" s="1"/>
    </row>
    <row r="265" spans="15:15" ht="14.25" customHeight="1" x14ac:dyDescent="0.35">
      <c r="O265" s="1"/>
    </row>
    <row r="266" spans="15:15" ht="14.25" customHeight="1" x14ac:dyDescent="0.35">
      <c r="O266" s="1"/>
    </row>
    <row r="267" spans="15:15" ht="14.25" customHeight="1" x14ac:dyDescent="0.35">
      <c r="O267" s="1"/>
    </row>
    <row r="268" spans="15:15" ht="14.25" customHeight="1" x14ac:dyDescent="0.35">
      <c r="O268" s="1"/>
    </row>
    <row r="269" spans="15:15" ht="14.25" customHeight="1" x14ac:dyDescent="0.35">
      <c r="O269" s="1"/>
    </row>
    <row r="270" spans="15:15" ht="14.25" customHeight="1" x14ac:dyDescent="0.35">
      <c r="O270" s="1"/>
    </row>
    <row r="271" spans="15:15" ht="14.25" customHeight="1" x14ac:dyDescent="0.35">
      <c r="O271" s="1"/>
    </row>
    <row r="272" spans="15:15" ht="14.25" customHeight="1" x14ac:dyDescent="0.35">
      <c r="O272" s="1"/>
    </row>
    <row r="273" spans="15:15" ht="14.25" customHeight="1" x14ac:dyDescent="0.35">
      <c r="O273" s="1"/>
    </row>
    <row r="274" spans="15:15" ht="14.25" customHeight="1" x14ac:dyDescent="0.35">
      <c r="O274" s="1"/>
    </row>
    <row r="275" spans="15:15" ht="14.25" customHeight="1" x14ac:dyDescent="0.35">
      <c r="O275" s="1"/>
    </row>
    <row r="276" spans="15:15" ht="14.25" customHeight="1" x14ac:dyDescent="0.35">
      <c r="O276" s="1"/>
    </row>
    <row r="277" spans="15:15" ht="14.25" customHeight="1" x14ac:dyDescent="0.35">
      <c r="O277" s="1"/>
    </row>
    <row r="278" spans="15:15" ht="14.25" customHeight="1" x14ac:dyDescent="0.35">
      <c r="O278" s="1"/>
    </row>
    <row r="279" spans="15:15" ht="14.25" customHeight="1" x14ac:dyDescent="0.35">
      <c r="O279" s="1"/>
    </row>
    <row r="280" spans="15:15" ht="14.25" customHeight="1" x14ac:dyDescent="0.35">
      <c r="O280" s="1"/>
    </row>
    <row r="281" spans="15:15" ht="14.25" customHeight="1" x14ac:dyDescent="0.35">
      <c r="O281" s="1"/>
    </row>
    <row r="282" spans="15:15" ht="14.25" customHeight="1" x14ac:dyDescent="0.35">
      <c r="O282" s="1"/>
    </row>
    <row r="283" spans="15:15" ht="14.25" customHeight="1" x14ac:dyDescent="0.35">
      <c r="O283" s="1"/>
    </row>
    <row r="284" spans="15:15" ht="14.25" customHeight="1" x14ac:dyDescent="0.35">
      <c r="O284" s="1"/>
    </row>
    <row r="285" spans="15:15" ht="14.25" customHeight="1" x14ac:dyDescent="0.35">
      <c r="O285" s="1"/>
    </row>
    <row r="286" spans="15:15" ht="14.25" customHeight="1" x14ac:dyDescent="0.35">
      <c r="O286" s="1"/>
    </row>
    <row r="287" spans="15:15" ht="14.25" customHeight="1" x14ac:dyDescent="0.35">
      <c r="O287" s="1"/>
    </row>
    <row r="288" spans="15:15" ht="14.25" customHeight="1" x14ac:dyDescent="0.35">
      <c r="O288" s="1"/>
    </row>
    <row r="289" spans="15:15" ht="14.25" customHeight="1" x14ac:dyDescent="0.35">
      <c r="O289" s="1"/>
    </row>
    <row r="290" spans="15:15" ht="14.25" customHeight="1" x14ac:dyDescent="0.35">
      <c r="O290" s="1"/>
    </row>
    <row r="291" spans="15:15" ht="14.25" customHeight="1" x14ac:dyDescent="0.35">
      <c r="O291" s="1"/>
    </row>
    <row r="292" spans="15:15" ht="14.25" customHeight="1" x14ac:dyDescent="0.35">
      <c r="O292" s="1"/>
    </row>
    <row r="293" spans="15:15" ht="14.25" customHeight="1" x14ac:dyDescent="0.35">
      <c r="O293" s="1"/>
    </row>
    <row r="294" spans="15:15" ht="14.25" customHeight="1" x14ac:dyDescent="0.35">
      <c r="O294" s="1"/>
    </row>
    <row r="295" spans="15:15" ht="14.25" customHeight="1" x14ac:dyDescent="0.35">
      <c r="O295" s="1"/>
    </row>
    <row r="296" spans="15:15" ht="14.25" customHeight="1" x14ac:dyDescent="0.35">
      <c r="O296" s="1"/>
    </row>
    <row r="297" spans="15:15" ht="14.25" customHeight="1" x14ac:dyDescent="0.35">
      <c r="O297" s="1"/>
    </row>
    <row r="298" spans="15:15" ht="14.25" customHeight="1" x14ac:dyDescent="0.35">
      <c r="O298" s="1"/>
    </row>
    <row r="299" spans="15:15" ht="14.25" customHeight="1" x14ac:dyDescent="0.35">
      <c r="O299" s="1"/>
    </row>
    <row r="300" spans="15:15" ht="14.25" customHeight="1" x14ac:dyDescent="0.35">
      <c r="O300" s="1"/>
    </row>
    <row r="301" spans="15:15" ht="14.25" customHeight="1" x14ac:dyDescent="0.35">
      <c r="O301" s="1"/>
    </row>
    <row r="302" spans="15:15" ht="14.25" customHeight="1" x14ac:dyDescent="0.35">
      <c r="O302" s="1"/>
    </row>
    <row r="303" spans="15:15" ht="14.25" customHeight="1" x14ac:dyDescent="0.35">
      <c r="O303" s="1"/>
    </row>
    <row r="304" spans="15:15" ht="14.25" customHeight="1" x14ac:dyDescent="0.35">
      <c r="O304" s="1"/>
    </row>
    <row r="305" spans="15:15" ht="14.25" customHeight="1" x14ac:dyDescent="0.35">
      <c r="O305" s="1"/>
    </row>
    <row r="306" spans="15:15" ht="14.25" customHeight="1" x14ac:dyDescent="0.35">
      <c r="O306" s="1"/>
    </row>
    <row r="307" spans="15:15" ht="14.25" customHeight="1" x14ac:dyDescent="0.35">
      <c r="O307" s="1"/>
    </row>
    <row r="308" spans="15:15" ht="14.25" customHeight="1" x14ac:dyDescent="0.35">
      <c r="O308" s="1"/>
    </row>
    <row r="309" spans="15:15" ht="14.25" customHeight="1" x14ac:dyDescent="0.35">
      <c r="O309" s="1"/>
    </row>
    <row r="310" spans="15:15" ht="14.25" customHeight="1" x14ac:dyDescent="0.35">
      <c r="O310" s="1"/>
    </row>
    <row r="311" spans="15:15" ht="14.25" customHeight="1" x14ac:dyDescent="0.35">
      <c r="O311" s="1"/>
    </row>
    <row r="312" spans="15:15" ht="14.25" customHeight="1" x14ac:dyDescent="0.35">
      <c r="O312" s="1"/>
    </row>
    <row r="313" spans="15:15" ht="14.25" customHeight="1" x14ac:dyDescent="0.35">
      <c r="O313" s="1"/>
    </row>
    <row r="314" spans="15:15" ht="14.25" customHeight="1" x14ac:dyDescent="0.35">
      <c r="O314" s="1"/>
    </row>
    <row r="315" spans="15:15" ht="14.25" customHeight="1" x14ac:dyDescent="0.35">
      <c r="O315" s="1"/>
    </row>
    <row r="316" spans="15:15" ht="14.25" customHeight="1" x14ac:dyDescent="0.35">
      <c r="O316" s="1"/>
    </row>
    <row r="317" spans="15:15" ht="14.25" customHeight="1" x14ac:dyDescent="0.35">
      <c r="O317" s="1"/>
    </row>
    <row r="318" spans="15:15" ht="14.25" customHeight="1" x14ac:dyDescent="0.35">
      <c r="O318" s="1"/>
    </row>
    <row r="319" spans="15:15" ht="14.25" customHeight="1" x14ac:dyDescent="0.35">
      <c r="O319" s="1"/>
    </row>
    <row r="320" spans="15:15" ht="14.25" customHeight="1" x14ac:dyDescent="0.35">
      <c r="O320" s="1"/>
    </row>
    <row r="321" spans="15:15" ht="14.25" customHeight="1" x14ac:dyDescent="0.35">
      <c r="O321" s="1"/>
    </row>
    <row r="322" spans="15:15" ht="14.25" customHeight="1" x14ac:dyDescent="0.35">
      <c r="O322" s="1"/>
    </row>
    <row r="323" spans="15:15" ht="14.25" customHeight="1" x14ac:dyDescent="0.35">
      <c r="O323" s="1"/>
    </row>
    <row r="324" spans="15:15" ht="14.25" customHeight="1" x14ac:dyDescent="0.35">
      <c r="O324" s="1"/>
    </row>
    <row r="325" spans="15:15" ht="14.25" customHeight="1" x14ac:dyDescent="0.35">
      <c r="O325" s="1"/>
    </row>
    <row r="326" spans="15:15" ht="14.25" customHeight="1" x14ac:dyDescent="0.35">
      <c r="O326" s="1"/>
    </row>
    <row r="327" spans="15:15" ht="14.25" customHeight="1" x14ac:dyDescent="0.35">
      <c r="O327" s="1"/>
    </row>
    <row r="328" spans="15:15" ht="14.25" customHeight="1" x14ac:dyDescent="0.35">
      <c r="O328" s="1"/>
    </row>
    <row r="329" spans="15:15" ht="14.25" customHeight="1" x14ac:dyDescent="0.35">
      <c r="O329" s="1"/>
    </row>
    <row r="330" spans="15:15" ht="14.25" customHeight="1" x14ac:dyDescent="0.35">
      <c r="O330" s="1"/>
    </row>
    <row r="331" spans="15:15" ht="14.25" customHeight="1" x14ac:dyDescent="0.35">
      <c r="O331" s="1"/>
    </row>
    <row r="332" spans="15:15" ht="14.25" customHeight="1" x14ac:dyDescent="0.35">
      <c r="O332" s="1"/>
    </row>
    <row r="333" spans="15:15" ht="14.25" customHeight="1" x14ac:dyDescent="0.35">
      <c r="O333" s="1"/>
    </row>
    <row r="334" spans="15:15" ht="14.25" customHeight="1" x14ac:dyDescent="0.35">
      <c r="O334" s="1"/>
    </row>
    <row r="335" spans="15:15" ht="14.25" customHeight="1" x14ac:dyDescent="0.35">
      <c r="O335" s="1"/>
    </row>
    <row r="336" spans="15:15" ht="14.25" customHeight="1" x14ac:dyDescent="0.35">
      <c r="O336" s="1"/>
    </row>
    <row r="337" spans="15:15" ht="14.25" customHeight="1" x14ac:dyDescent="0.35">
      <c r="O337" s="1"/>
    </row>
    <row r="338" spans="15:15" ht="14.25" customHeight="1" x14ac:dyDescent="0.35">
      <c r="O338" s="1"/>
    </row>
    <row r="339" spans="15:15" ht="14.25" customHeight="1" x14ac:dyDescent="0.35">
      <c r="O339" s="1"/>
    </row>
    <row r="340" spans="15:15" ht="14.25" customHeight="1" x14ac:dyDescent="0.35">
      <c r="O340" s="1"/>
    </row>
    <row r="341" spans="15:15" ht="14.25" customHeight="1" x14ac:dyDescent="0.35">
      <c r="O341" s="1"/>
    </row>
    <row r="342" spans="15:15" ht="14.25" customHeight="1" x14ac:dyDescent="0.35">
      <c r="O342" s="1"/>
    </row>
    <row r="343" spans="15:15" ht="14.25" customHeight="1" x14ac:dyDescent="0.35">
      <c r="O343" s="1"/>
    </row>
    <row r="344" spans="15:15" ht="14.25" customHeight="1" x14ac:dyDescent="0.35">
      <c r="O344" s="1"/>
    </row>
    <row r="345" spans="15:15" ht="14.25" customHeight="1" x14ac:dyDescent="0.35">
      <c r="O345" s="1"/>
    </row>
    <row r="346" spans="15:15" ht="14.25" customHeight="1" x14ac:dyDescent="0.35">
      <c r="O346" s="1"/>
    </row>
    <row r="347" spans="15:15" ht="14.25" customHeight="1" x14ac:dyDescent="0.35">
      <c r="O347" s="1"/>
    </row>
    <row r="348" spans="15:15" ht="14.25" customHeight="1" x14ac:dyDescent="0.35">
      <c r="O348" s="1"/>
    </row>
    <row r="349" spans="15:15" ht="14.25" customHeight="1" x14ac:dyDescent="0.35">
      <c r="O349" s="1"/>
    </row>
    <row r="350" spans="15:15" ht="14.25" customHeight="1" x14ac:dyDescent="0.35">
      <c r="O350" s="1"/>
    </row>
    <row r="351" spans="15:15" ht="14.25" customHeight="1" x14ac:dyDescent="0.35">
      <c r="O351" s="1"/>
    </row>
    <row r="352" spans="15:15" ht="14.25" customHeight="1" x14ac:dyDescent="0.35">
      <c r="O352" s="1"/>
    </row>
    <row r="353" spans="15:15" ht="14.25" customHeight="1" x14ac:dyDescent="0.35">
      <c r="O353" s="1"/>
    </row>
    <row r="354" spans="15:15" ht="14.25" customHeight="1" x14ac:dyDescent="0.35">
      <c r="O354" s="1"/>
    </row>
    <row r="355" spans="15:15" ht="14.25" customHeight="1" x14ac:dyDescent="0.35">
      <c r="O355" s="1"/>
    </row>
    <row r="356" spans="15:15" ht="14.25" customHeight="1" x14ac:dyDescent="0.35">
      <c r="O356" s="1"/>
    </row>
    <row r="357" spans="15:15" ht="14.25" customHeight="1" x14ac:dyDescent="0.35">
      <c r="O357" s="1"/>
    </row>
    <row r="358" spans="15:15" ht="14.25" customHeight="1" x14ac:dyDescent="0.35">
      <c r="O358" s="1"/>
    </row>
    <row r="359" spans="15:15" ht="14.25" customHeight="1" x14ac:dyDescent="0.35">
      <c r="O359" s="1"/>
    </row>
    <row r="360" spans="15:15" ht="14.25" customHeight="1" x14ac:dyDescent="0.35">
      <c r="O360" s="1"/>
    </row>
    <row r="361" spans="15:15" ht="14.25" customHeight="1" x14ac:dyDescent="0.35">
      <c r="O361" s="1"/>
    </row>
    <row r="362" spans="15:15" ht="14.25" customHeight="1" x14ac:dyDescent="0.35">
      <c r="O362" s="1"/>
    </row>
    <row r="363" spans="15:15" ht="14.25" customHeight="1" x14ac:dyDescent="0.35">
      <c r="O363" s="1"/>
    </row>
    <row r="364" spans="15:15" ht="14.25" customHeight="1" x14ac:dyDescent="0.35">
      <c r="O364" s="1"/>
    </row>
    <row r="365" spans="15:15" ht="14.25" customHeight="1" x14ac:dyDescent="0.35">
      <c r="O365" s="1"/>
    </row>
    <row r="366" spans="15:15" ht="14.25" customHeight="1" x14ac:dyDescent="0.35">
      <c r="O366" s="1"/>
    </row>
    <row r="367" spans="15:15" ht="14.25" customHeight="1" x14ac:dyDescent="0.35">
      <c r="O367" s="1"/>
    </row>
    <row r="368" spans="15:15" ht="14.25" customHeight="1" x14ac:dyDescent="0.35">
      <c r="O368" s="1"/>
    </row>
    <row r="369" spans="15:15" ht="14.25" customHeight="1" x14ac:dyDescent="0.35">
      <c r="O369" s="1"/>
    </row>
    <row r="370" spans="15:15" ht="14.25" customHeight="1" x14ac:dyDescent="0.35">
      <c r="O370" s="1"/>
    </row>
    <row r="371" spans="15:15" ht="14.25" customHeight="1" x14ac:dyDescent="0.35">
      <c r="O371" s="1"/>
    </row>
    <row r="372" spans="15:15" ht="14.25" customHeight="1" x14ac:dyDescent="0.35">
      <c r="O372" s="1"/>
    </row>
    <row r="373" spans="15:15" ht="14.25" customHeight="1" x14ac:dyDescent="0.35">
      <c r="O373" s="1"/>
    </row>
    <row r="374" spans="15:15" ht="14.25" customHeight="1" x14ac:dyDescent="0.35">
      <c r="O374" s="1"/>
    </row>
    <row r="375" spans="15:15" ht="14.25" customHeight="1" x14ac:dyDescent="0.35">
      <c r="O375" s="1"/>
    </row>
    <row r="376" spans="15:15" ht="14.25" customHeight="1" x14ac:dyDescent="0.35">
      <c r="O376" s="1"/>
    </row>
    <row r="377" spans="15:15" ht="14.25" customHeight="1" x14ac:dyDescent="0.35">
      <c r="O377" s="1"/>
    </row>
    <row r="378" spans="15:15" ht="14.25" customHeight="1" x14ac:dyDescent="0.35">
      <c r="O378" s="1"/>
    </row>
    <row r="379" spans="15:15" ht="14.25" customHeight="1" x14ac:dyDescent="0.35">
      <c r="O379" s="1"/>
    </row>
    <row r="380" spans="15:15" ht="14.25" customHeight="1" x14ac:dyDescent="0.35">
      <c r="O380" s="1"/>
    </row>
    <row r="381" spans="15:15" ht="14.25" customHeight="1" x14ac:dyDescent="0.35">
      <c r="O381" s="1"/>
    </row>
    <row r="382" spans="15:15" ht="14.25" customHeight="1" x14ac:dyDescent="0.35">
      <c r="O382" s="1"/>
    </row>
    <row r="383" spans="15:15" ht="14.25" customHeight="1" x14ac:dyDescent="0.35">
      <c r="O383" s="1"/>
    </row>
    <row r="384" spans="15:15" ht="14.25" customHeight="1" x14ac:dyDescent="0.35">
      <c r="O384" s="1"/>
    </row>
    <row r="385" spans="15:15" ht="14.25" customHeight="1" x14ac:dyDescent="0.35">
      <c r="O385" s="1"/>
    </row>
    <row r="386" spans="15:15" ht="14.25" customHeight="1" x14ac:dyDescent="0.35">
      <c r="O386" s="1"/>
    </row>
    <row r="387" spans="15:15" ht="14.25" customHeight="1" x14ac:dyDescent="0.35">
      <c r="O387" s="1"/>
    </row>
    <row r="388" spans="15:15" ht="14.25" customHeight="1" x14ac:dyDescent="0.35">
      <c r="O388" s="1"/>
    </row>
    <row r="389" spans="15:15" ht="14.25" customHeight="1" x14ac:dyDescent="0.35">
      <c r="O389" s="1"/>
    </row>
    <row r="390" spans="15:15" ht="14.25" customHeight="1" x14ac:dyDescent="0.35">
      <c r="O390" s="1"/>
    </row>
    <row r="391" spans="15:15" ht="14.25" customHeight="1" x14ac:dyDescent="0.35">
      <c r="O391" s="1"/>
    </row>
    <row r="392" spans="15:15" ht="14.25" customHeight="1" x14ac:dyDescent="0.35">
      <c r="O392" s="1"/>
    </row>
    <row r="393" spans="15:15" ht="14.25" customHeight="1" x14ac:dyDescent="0.35">
      <c r="O393" s="1"/>
    </row>
    <row r="394" spans="15:15" ht="14.25" customHeight="1" x14ac:dyDescent="0.35">
      <c r="O394" s="1"/>
    </row>
    <row r="395" spans="15:15" ht="14.25" customHeight="1" x14ac:dyDescent="0.35">
      <c r="O395" s="1"/>
    </row>
    <row r="396" spans="15:15" ht="14.25" customHeight="1" x14ac:dyDescent="0.35">
      <c r="O396" s="1"/>
    </row>
    <row r="397" spans="15:15" ht="14.25" customHeight="1" x14ac:dyDescent="0.35">
      <c r="O397" s="1"/>
    </row>
    <row r="398" spans="15:15" ht="14.25" customHeight="1" x14ac:dyDescent="0.35">
      <c r="O398" s="1"/>
    </row>
    <row r="399" spans="15:15" ht="14.25" customHeight="1" x14ac:dyDescent="0.35">
      <c r="O399" s="1"/>
    </row>
    <row r="400" spans="15:15" ht="14.25" customHeight="1" x14ac:dyDescent="0.35">
      <c r="O400" s="1"/>
    </row>
    <row r="401" spans="15:15" ht="14.25" customHeight="1" x14ac:dyDescent="0.35">
      <c r="O401" s="1"/>
    </row>
    <row r="402" spans="15:15" ht="14.25" customHeight="1" x14ac:dyDescent="0.35">
      <c r="O402" s="1"/>
    </row>
    <row r="403" spans="15:15" ht="14.25" customHeight="1" x14ac:dyDescent="0.35">
      <c r="O403" s="1"/>
    </row>
    <row r="404" spans="15:15" ht="14.25" customHeight="1" x14ac:dyDescent="0.35">
      <c r="O404" s="1"/>
    </row>
    <row r="405" spans="15:15" ht="14.25" customHeight="1" x14ac:dyDescent="0.35">
      <c r="O405" s="1"/>
    </row>
    <row r="406" spans="15:15" ht="14.25" customHeight="1" x14ac:dyDescent="0.35">
      <c r="O406" s="1"/>
    </row>
    <row r="407" spans="15:15" ht="14.25" customHeight="1" x14ac:dyDescent="0.35">
      <c r="O407" s="1"/>
    </row>
    <row r="408" spans="15:15" ht="14.25" customHeight="1" x14ac:dyDescent="0.35">
      <c r="O408" s="1"/>
    </row>
    <row r="409" spans="15:15" ht="14.25" customHeight="1" x14ac:dyDescent="0.35">
      <c r="O409" s="1"/>
    </row>
    <row r="410" spans="15:15" ht="14.25" customHeight="1" x14ac:dyDescent="0.35">
      <c r="O410" s="1"/>
    </row>
    <row r="411" spans="15:15" ht="14.25" customHeight="1" x14ac:dyDescent="0.35">
      <c r="O411" s="1"/>
    </row>
    <row r="412" spans="15:15" ht="14.25" customHeight="1" x14ac:dyDescent="0.35">
      <c r="O412" s="1"/>
    </row>
    <row r="413" spans="15:15" ht="14.25" customHeight="1" x14ac:dyDescent="0.35">
      <c r="O413" s="1"/>
    </row>
    <row r="414" spans="15:15" ht="14.25" customHeight="1" x14ac:dyDescent="0.35">
      <c r="O414" s="1"/>
    </row>
    <row r="415" spans="15:15" ht="14.25" customHeight="1" x14ac:dyDescent="0.35">
      <c r="O415" s="1"/>
    </row>
    <row r="416" spans="15:15" ht="14.25" customHeight="1" x14ac:dyDescent="0.35">
      <c r="O416" s="1"/>
    </row>
    <row r="417" spans="15:15" ht="14.25" customHeight="1" x14ac:dyDescent="0.35">
      <c r="O417" s="1"/>
    </row>
    <row r="418" spans="15:15" ht="14.25" customHeight="1" x14ac:dyDescent="0.35">
      <c r="O418" s="1"/>
    </row>
    <row r="419" spans="15:15" ht="14.25" customHeight="1" x14ac:dyDescent="0.35">
      <c r="O419" s="1"/>
    </row>
    <row r="420" spans="15:15" ht="14.25" customHeight="1" x14ac:dyDescent="0.35">
      <c r="O420" s="1"/>
    </row>
    <row r="421" spans="15:15" ht="14.25" customHeight="1" x14ac:dyDescent="0.35">
      <c r="O421" s="1"/>
    </row>
    <row r="422" spans="15:15" ht="14.25" customHeight="1" x14ac:dyDescent="0.35">
      <c r="O422" s="1"/>
    </row>
    <row r="423" spans="15:15" ht="14.25" customHeight="1" x14ac:dyDescent="0.35">
      <c r="O423" s="1"/>
    </row>
    <row r="424" spans="15:15" ht="14.25" customHeight="1" x14ac:dyDescent="0.35">
      <c r="O424" s="1"/>
    </row>
    <row r="425" spans="15:15" ht="14.25" customHeight="1" x14ac:dyDescent="0.35">
      <c r="O425" s="1"/>
    </row>
    <row r="426" spans="15:15" ht="14.25" customHeight="1" x14ac:dyDescent="0.35">
      <c r="O426" s="1"/>
    </row>
    <row r="427" spans="15:15" ht="14.25" customHeight="1" x14ac:dyDescent="0.35">
      <c r="O427" s="1"/>
    </row>
    <row r="428" spans="15:15" ht="14.25" customHeight="1" x14ac:dyDescent="0.35">
      <c r="O428" s="1"/>
    </row>
    <row r="429" spans="15:15" ht="14.25" customHeight="1" x14ac:dyDescent="0.35">
      <c r="O429" s="1"/>
    </row>
    <row r="430" spans="15:15" ht="14.25" customHeight="1" x14ac:dyDescent="0.35">
      <c r="O430" s="1"/>
    </row>
    <row r="431" spans="15:15" ht="14.25" customHeight="1" x14ac:dyDescent="0.35">
      <c r="O431" s="1"/>
    </row>
    <row r="432" spans="15:15" ht="14.25" customHeight="1" x14ac:dyDescent="0.35">
      <c r="O432" s="1"/>
    </row>
    <row r="433" spans="15:15" ht="14.25" customHeight="1" x14ac:dyDescent="0.35">
      <c r="O433" s="1"/>
    </row>
    <row r="434" spans="15:15" ht="14.25" customHeight="1" x14ac:dyDescent="0.35">
      <c r="O434" s="1"/>
    </row>
    <row r="435" spans="15:15" ht="14.25" customHeight="1" x14ac:dyDescent="0.35">
      <c r="O435" s="1"/>
    </row>
    <row r="436" spans="15:15" ht="14.25" customHeight="1" x14ac:dyDescent="0.35">
      <c r="O436" s="1"/>
    </row>
    <row r="437" spans="15:15" ht="14.25" customHeight="1" x14ac:dyDescent="0.35">
      <c r="O437" s="1"/>
    </row>
    <row r="438" spans="15:15" ht="14.25" customHeight="1" x14ac:dyDescent="0.35">
      <c r="O438" s="1"/>
    </row>
    <row r="439" spans="15:15" ht="14.25" customHeight="1" x14ac:dyDescent="0.35">
      <c r="O439" s="1"/>
    </row>
    <row r="440" spans="15:15" ht="14.25" customHeight="1" x14ac:dyDescent="0.35">
      <c r="O440" s="1"/>
    </row>
    <row r="441" spans="15:15" ht="14.25" customHeight="1" x14ac:dyDescent="0.35">
      <c r="O441" s="1"/>
    </row>
    <row r="442" spans="15:15" ht="14.25" customHeight="1" x14ac:dyDescent="0.35">
      <c r="O442" s="1"/>
    </row>
    <row r="443" spans="15:15" ht="14.25" customHeight="1" x14ac:dyDescent="0.35">
      <c r="O443" s="1"/>
    </row>
    <row r="444" spans="15:15" ht="14.25" customHeight="1" x14ac:dyDescent="0.35">
      <c r="O444" s="1"/>
    </row>
    <row r="445" spans="15:15" ht="14.25" customHeight="1" x14ac:dyDescent="0.35">
      <c r="O445" s="1"/>
    </row>
    <row r="446" spans="15:15" ht="14.25" customHeight="1" x14ac:dyDescent="0.35">
      <c r="O446" s="1"/>
    </row>
    <row r="447" spans="15:15" ht="14.25" customHeight="1" x14ac:dyDescent="0.35">
      <c r="O447" s="1"/>
    </row>
    <row r="448" spans="15:15" ht="14.25" customHeight="1" x14ac:dyDescent="0.35">
      <c r="O448" s="1"/>
    </row>
    <row r="449" spans="15:15" ht="14.25" customHeight="1" x14ac:dyDescent="0.35">
      <c r="O449" s="1"/>
    </row>
    <row r="450" spans="15:15" ht="14.25" customHeight="1" x14ac:dyDescent="0.35">
      <c r="O450" s="1"/>
    </row>
    <row r="451" spans="15:15" ht="14.25" customHeight="1" x14ac:dyDescent="0.35">
      <c r="O451" s="1"/>
    </row>
    <row r="452" spans="15:15" ht="14.25" customHeight="1" x14ac:dyDescent="0.35">
      <c r="O452" s="1"/>
    </row>
    <row r="453" spans="15:15" ht="14.25" customHeight="1" x14ac:dyDescent="0.35">
      <c r="O453" s="1"/>
    </row>
    <row r="454" spans="15:15" ht="14.25" customHeight="1" x14ac:dyDescent="0.35">
      <c r="O454" s="1"/>
    </row>
    <row r="455" spans="15:15" ht="14.25" customHeight="1" x14ac:dyDescent="0.35">
      <c r="O455" s="1"/>
    </row>
    <row r="456" spans="15:15" ht="14.25" customHeight="1" x14ac:dyDescent="0.35">
      <c r="O456" s="1"/>
    </row>
    <row r="457" spans="15:15" ht="14.25" customHeight="1" x14ac:dyDescent="0.35">
      <c r="O457" s="1"/>
    </row>
    <row r="458" spans="15:15" ht="14.25" customHeight="1" x14ac:dyDescent="0.35">
      <c r="O458" s="1"/>
    </row>
    <row r="459" spans="15:15" ht="14.25" customHeight="1" x14ac:dyDescent="0.35">
      <c r="O459" s="1"/>
    </row>
    <row r="460" spans="15:15" ht="14.25" customHeight="1" x14ac:dyDescent="0.35">
      <c r="O460" s="1"/>
    </row>
    <row r="461" spans="15:15" ht="14.25" customHeight="1" x14ac:dyDescent="0.35">
      <c r="O461" s="1"/>
    </row>
    <row r="462" spans="15:15" ht="14.25" customHeight="1" x14ac:dyDescent="0.35">
      <c r="O462" s="1"/>
    </row>
    <row r="463" spans="15:15" ht="14.25" customHeight="1" x14ac:dyDescent="0.35">
      <c r="O463" s="1"/>
    </row>
    <row r="464" spans="15:15" ht="14.25" customHeight="1" x14ac:dyDescent="0.35">
      <c r="O464" s="1"/>
    </row>
    <row r="465" spans="15:15" ht="14.25" customHeight="1" x14ac:dyDescent="0.35">
      <c r="O465" s="1"/>
    </row>
    <row r="466" spans="15:15" ht="14.25" customHeight="1" x14ac:dyDescent="0.35">
      <c r="O466" s="1"/>
    </row>
    <row r="467" spans="15:15" ht="14.25" customHeight="1" x14ac:dyDescent="0.35">
      <c r="O467" s="1"/>
    </row>
    <row r="468" spans="15:15" ht="14.25" customHeight="1" x14ac:dyDescent="0.35">
      <c r="O468" s="1"/>
    </row>
    <row r="469" spans="15:15" ht="14.25" customHeight="1" x14ac:dyDescent="0.35">
      <c r="O469" s="1"/>
    </row>
    <row r="470" spans="15:15" ht="14.25" customHeight="1" x14ac:dyDescent="0.35">
      <c r="O470" s="1"/>
    </row>
    <row r="471" spans="15:15" ht="14.25" customHeight="1" x14ac:dyDescent="0.35">
      <c r="O471" s="1"/>
    </row>
    <row r="472" spans="15:15" ht="14.25" customHeight="1" x14ac:dyDescent="0.35">
      <c r="O472" s="1"/>
    </row>
    <row r="473" spans="15:15" ht="14.25" customHeight="1" x14ac:dyDescent="0.35">
      <c r="O473" s="1"/>
    </row>
    <row r="474" spans="15:15" ht="14.25" customHeight="1" x14ac:dyDescent="0.35">
      <c r="O474" s="1"/>
    </row>
    <row r="475" spans="15:15" ht="14.25" customHeight="1" x14ac:dyDescent="0.35">
      <c r="O475" s="1"/>
    </row>
    <row r="476" spans="15:15" ht="14.25" customHeight="1" x14ac:dyDescent="0.35">
      <c r="O476" s="1"/>
    </row>
    <row r="477" spans="15:15" ht="14.25" customHeight="1" x14ac:dyDescent="0.35">
      <c r="O477" s="1"/>
    </row>
    <row r="478" spans="15:15" ht="14.25" customHeight="1" x14ac:dyDescent="0.35">
      <c r="O478" s="1"/>
    </row>
    <row r="479" spans="15:15" ht="14.25" customHeight="1" x14ac:dyDescent="0.35">
      <c r="O479" s="1"/>
    </row>
    <row r="480" spans="15:15" ht="14.25" customHeight="1" x14ac:dyDescent="0.35">
      <c r="O480" s="1"/>
    </row>
    <row r="481" spans="15:15" ht="14.25" customHeight="1" x14ac:dyDescent="0.35">
      <c r="O481" s="1"/>
    </row>
    <row r="482" spans="15:15" ht="14.25" customHeight="1" x14ac:dyDescent="0.35">
      <c r="O482" s="1"/>
    </row>
    <row r="483" spans="15:15" ht="14.25" customHeight="1" x14ac:dyDescent="0.35">
      <c r="O483" s="1"/>
    </row>
    <row r="484" spans="15:15" ht="14.25" customHeight="1" x14ac:dyDescent="0.35">
      <c r="O484" s="1"/>
    </row>
    <row r="485" spans="15:15" ht="14.25" customHeight="1" x14ac:dyDescent="0.35">
      <c r="O485" s="1"/>
    </row>
    <row r="486" spans="15:15" ht="14.25" customHeight="1" x14ac:dyDescent="0.35">
      <c r="O486" s="1"/>
    </row>
    <row r="487" spans="15:15" ht="14.25" customHeight="1" x14ac:dyDescent="0.35">
      <c r="O487" s="1"/>
    </row>
    <row r="488" spans="15:15" ht="14.25" customHeight="1" x14ac:dyDescent="0.35">
      <c r="O488" s="1"/>
    </row>
    <row r="489" spans="15:15" ht="14.25" customHeight="1" x14ac:dyDescent="0.35">
      <c r="O489" s="1"/>
    </row>
    <row r="490" spans="15:15" ht="14.25" customHeight="1" x14ac:dyDescent="0.35">
      <c r="O490" s="1"/>
    </row>
    <row r="491" spans="15:15" ht="14.25" customHeight="1" x14ac:dyDescent="0.35">
      <c r="O491" s="1"/>
    </row>
    <row r="492" spans="15:15" ht="14.25" customHeight="1" x14ac:dyDescent="0.35">
      <c r="O492" s="1"/>
    </row>
    <row r="493" spans="15:15" ht="14.25" customHeight="1" x14ac:dyDescent="0.35">
      <c r="O493" s="1"/>
    </row>
    <row r="494" spans="15:15" ht="14.25" customHeight="1" x14ac:dyDescent="0.35">
      <c r="O494" s="1"/>
    </row>
    <row r="495" spans="15:15" ht="14.25" customHeight="1" x14ac:dyDescent="0.35">
      <c r="O495" s="1"/>
    </row>
    <row r="496" spans="15:15" ht="14.25" customHeight="1" x14ac:dyDescent="0.35">
      <c r="O496" s="1"/>
    </row>
    <row r="497" spans="15:15" ht="14.25" customHeight="1" x14ac:dyDescent="0.35">
      <c r="O497" s="1"/>
    </row>
    <row r="498" spans="15:15" ht="14.25" customHeight="1" x14ac:dyDescent="0.35">
      <c r="O498" s="1"/>
    </row>
    <row r="499" spans="15:15" ht="14.25" customHeight="1" x14ac:dyDescent="0.35">
      <c r="O499" s="1"/>
    </row>
    <row r="500" spans="15:15" ht="14.25" customHeight="1" x14ac:dyDescent="0.35">
      <c r="O500" s="1"/>
    </row>
    <row r="501" spans="15:15" ht="14.25" customHeight="1" x14ac:dyDescent="0.35">
      <c r="O501" s="1"/>
    </row>
    <row r="502" spans="15:15" ht="14.25" customHeight="1" x14ac:dyDescent="0.35">
      <c r="O502" s="1"/>
    </row>
    <row r="503" spans="15:15" ht="14.25" customHeight="1" x14ac:dyDescent="0.35">
      <c r="O503" s="1"/>
    </row>
    <row r="504" spans="15:15" ht="14.25" customHeight="1" x14ac:dyDescent="0.35">
      <c r="O504" s="1"/>
    </row>
    <row r="505" spans="15:15" ht="14.25" customHeight="1" x14ac:dyDescent="0.35">
      <c r="O505" s="1"/>
    </row>
    <row r="506" spans="15:15" ht="14.25" customHeight="1" x14ac:dyDescent="0.35">
      <c r="O506" s="1"/>
    </row>
    <row r="507" spans="15:15" ht="14.25" customHeight="1" x14ac:dyDescent="0.35">
      <c r="O507" s="1"/>
    </row>
    <row r="508" spans="15:15" ht="14.25" customHeight="1" x14ac:dyDescent="0.35">
      <c r="O508" s="1"/>
    </row>
    <row r="509" spans="15:15" ht="14.25" customHeight="1" x14ac:dyDescent="0.35">
      <c r="O509" s="1"/>
    </row>
    <row r="510" spans="15:15" ht="14.25" customHeight="1" x14ac:dyDescent="0.35">
      <c r="O510" s="1"/>
    </row>
    <row r="511" spans="15:15" ht="14.25" customHeight="1" x14ac:dyDescent="0.35">
      <c r="O511" s="1"/>
    </row>
    <row r="512" spans="15:15" ht="14.25" customHeight="1" x14ac:dyDescent="0.35">
      <c r="O512" s="1"/>
    </row>
    <row r="513" spans="15:15" ht="14.25" customHeight="1" x14ac:dyDescent="0.35">
      <c r="O513" s="1"/>
    </row>
    <row r="514" spans="15:15" ht="14.25" customHeight="1" x14ac:dyDescent="0.35">
      <c r="O514" s="1"/>
    </row>
    <row r="515" spans="15:15" ht="14.25" customHeight="1" x14ac:dyDescent="0.35">
      <c r="O515" s="1"/>
    </row>
    <row r="516" spans="15:15" ht="14.25" customHeight="1" x14ac:dyDescent="0.35">
      <c r="O516" s="1"/>
    </row>
    <row r="517" spans="15:15" ht="14.25" customHeight="1" x14ac:dyDescent="0.35">
      <c r="O517" s="1"/>
    </row>
    <row r="518" spans="15:15" ht="14.25" customHeight="1" x14ac:dyDescent="0.35">
      <c r="O518" s="1"/>
    </row>
    <row r="519" spans="15:15" ht="14.25" customHeight="1" x14ac:dyDescent="0.35">
      <c r="O519" s="1"/>
    </row>
    <row r="520" spans="15:15" ht="14.25" customHeight="1" x14ac:dyDescent="0.35">
      <c r="O520" s="1"/>
    </row>
    <row r="521" spans="15:15" ht="14.25" customHeight="1" x14ac:dyDescent="0.35">
      <c r="O521" s="1"/>
    </row>
    <row r="522" spans="15:15" ht="14.25" customHeight="1" x14ac:dyDescent="0.35">
      <c r="O522" s="1"/>
    </row>
    <row r="523" spans="15:15" ht="14.25" customHeight="1" x14ac:dyDescent="0.35">
      <c r="O523" s="1"/>
    </row>
    <row r="524" spans="15:15" ht="14.25" customHeight="1" x14ac:dyDescent="0.35">
      <c r="O524" s="1"/>
    </row>
    <row r="525" spans="15:15" ht="14.25" customHeight="1" x14ac:dyDescent="0.35">
      <c r="O525" s="1"/>
    </row>
    <row r="526" spans="15:15" ht="14.25" customHeight="1" x14ac:dyDescent="0.35">
      <c r="O526" s="1"/>
    </row>
    <row r="527" spans="15:15" ht="14.25" customHeight="1" x14ac:dyDescent="0.35">
      <c r="O527" s="1"/>
    </row>
    <row r="528" spans="15:15" ht="14.25" customHeight="1" x14ac:dyDescent="0.35">
      <c r="O528" s="1"/>
    </row>
    <row r="529" spans="15:15" ht="14.25" customHeight="1" x14ac:dyDescent="0.35">
      <c r="O529" s="1"/>
    </row>
    <row r="530" spans="15:15" ht="14.25" customHeight="1" x14ac:dyDescent="0.35">
      <c r="O530" s="1"/>
    </row>
    <row r="531" spans="15:15" ht="14.25" customHeight="1" x14ac:dyDescent="0.35">
      <c r="O531" s="1"/>
    </row>
    <row r="532" spans="15:15" ht="14.25" customHeight="1" x14ac:dyDescent="0.35">
      <c r="O532" s="1"/>
    </row>
    <row r="533" spans="15:15" ht="14.25" customHeight="1" x14ac:dyDescent="0.35">
      <c r="O533" s="1"/>
    </row>
    <row r="534" spans="15:15" ht="14.25" customHeight="1" x14ac:dyDescent="0.35">
      <c r="O534" s="1"/>
    </row>
    <row r="535" spans="15:15" ht="14.25" customHeight="1" x14ac:dyDescent="0.35">
      <c r="O535" s="1"/>
    </row>
    <row r="536" spans="15:15" ht="14.25" customHeight="1" x14ac:dyDescent="0.35">
      <c r="O536" s="1"/>
    </row>
    <row r="537" spans="15:15" ht="14.25" customHeight="1" x14ac:dyDescent="0.35">
      <c r="O537" s="1"/>
    </row>
    <row r="538" spans="15:15" ht="14.25" customHeight="1" x14ac:dyDescent="0.35">
      <c r="O538" s="1"/>
    </row>
    <row r="539" spans="15:15" ht="14.25" customHeight="1" x14ac:dyDescent="0.35">
      <c r="O539" s="1"/>
    </row>
    <row r="540" spans="15:15" ht="14.25" customHeight="1" x14ac:dyDescent="0.35">
      <c r="O540" s="1"/>
    </row>
    <row r="541" spans="15:15" ht="14.25" customHeight="1" x14ac:dyDescent="0.35">
      <c r="O541" s="1"/>
    </row>
    <row r="542" spans="15:15" ht="14.25" customHeight="1" x14ac:dyDescent="0.35">
      <c r="O542" s="1"/>
    </row>
    <row r="543" spans="15:15" ht="14.25" customHeight="1" x14ac:dyDescent="0.35">
      <c r="O543" s="1"/>
    </row>
    <row r="544" spans="15:15" ht="14.25" customHeight="1" x14ac:dyDescent="0.35">
      <c r="O544" s="1"/>
    </row>
    <row r="545" spans="15:15" ht="14.25" customHeight="1" x14ac:dyDescent="0.35">
      <c r="O545" s="1"/>
    </row>
    <row r="546" spans="15:15" ht="14.25" customHeight="1" x14ac:dyDescent="0.35">
      <c r="O546" s="1"/>
    </row>
    <row r="547" spans="15:15" ht="14.25" customHeight="1" x14ac:dyDescent="0.35">
      <c r="O547" s="1"/>
    </row>
    <row r="548" spans="15:15" ht="14.25" customHeight="1" x14ac:dyDescent="0.35">
      <c r="O548" s="1"/>
    </row>
    <row r="549" spans="15:15" ht="14.25" customHeight="1" x14ac:dyDescent="0.35">
      <c r="O549" s="1"/>
    </row>
    <row r="550" spans="15:15" ht="14.25" customHeight="1" x14ac:dyDescent="0.35">
      <c r="O550" s="1"/>
    </row>
    <row r="551" spans="15:15" ht="14.25" customHeight="1" x14ac:dyDescent="0.35">
      <c r="O551" s="1"/>
    </row>
    <row r="552" spans="15:15" ht="14.25" customHeight="1" x14ac:dyDescent="0.35">
      <c r="O552" s="1"/>
    </row>
    <row r="553" spans="15:15" ht="14.25" customHeight="1" x14ac:dyDescent="0.35">
      <c r="O553" s="1"/>
    </row>
    <row r="554" spans="15:15" ht="14.25" customHeight="1" x14ac:dyDescent="0.35">
      <c r="O554" s="1"/>
    </row>
    <row r="555" spans="15:15" ht="14.25" customHeight="1" x14ac:dyDescent="0.35">
      <c r="O555" s="1"/>
    </row>
    <row r="556" spans="15:15" ht="14.25" customHeight="1" x14ac:dyDescent="0.35">
      <c r="O556" s="1"/>
    </row>
    <row r="557" spans="15:15" ht="14.25" customHeight="1" x14ac:dyDescent="0.35">
      <c r="O557" s="1"/>
    </row>
    <row r="558" spans="15:15" ht="14.25" customHeight="1" x14ac:dyDescent="0.35">
      <c r="O558" s="1"/>
    </row>
    <row r="559" spans="15:15" ht="14.25" customHeight="1" x14ac:dyDescent="0.35">
      <c r="O559" s="1"/>
    </row>
    <row r="560" spans="15:15" ht="14.25" customHeight="1" x14ac:dyDescent="0.35">
      <c r="O560" s="1"/>
    </row>
    <row r="561" spans="15:15" ht="14.25" customHeight="1" x14ac:dyDescent="0.35">
      <c r="O561" s="1"/>
    </row>
    <row r="562" spans="15:15" ht="14.25" customHeight="1" x14ac:dyDescent="0.35">
      <c r="O562" s="1"/>
    </row>
    <row r="563" spans="15:15" ht="14.25" customHeight="1" x14ac:dyDescent="0.35">
      <c r="O563" s="1"/>
    </row>
    <row r="564" spans="15:15" ht="14.25" customHeight="1" x14ac:dyDescent="0.35">
      <c r="O564" s="1"/>
    </row>
    <row r="565" spans="15:15" ht="14.25" customHeight="1" x14ac:dyDescent="0.35">
      <c r="O565" s="1"/>
    </row>
    <row r="566" spans="15:15" ht="14.25" customHeight="1" x14ac:dyDescent="0.35">
      <c r="O566" s="1"/>
    </row>
    <row r="567" spans="15:15" ht="14.25" customHeight="1" x14ac:dyDescent="0.35">
      <c r="O567" s="1"/>
    </row>
    <row r="568" spans="15:15" ht="14.25" customHeight="1" x14ac:dyDescent="0.35">
      <c r="O568" s="1"/>
    </row>
    <row r="569" spans="15:15" ht="14.25" customHeight="1" x14ac:dyDescent="0.35">
      <c r="O569" s="1"/>
    </row>
    <row r="570" spans="15:15" ht="14.25" customHeight="1" x14ac:dyDescent="0.35">
      <c r="O570" s="1"/>
    </row>
    <row r="571" spans="15:15" ht="14.25" customHeight="1" x14ac:dyDescent="0.35">
      <c r="O571" s="1"/>
    </row>
    <row r="572" spans="15:15" ht="14.25" customHeight="1" x14ac:dyDescent="0.35">
      <c r="O572" s="1"/>
    </row>
    <row r="573" spans="15:15" ht="14.25" customHeight="1" x14ac:dyDescent="0.35">
      <c r="O573" s="1"/>
    </row>
    <row r="574" spans="15:15" ht="14.25" customHeight="1" x14ac:dyDescent="0.35">
      <c r="O574" s="1"/>
    </row>
    <row r="575" spans="15:15" ht="14.25" customHeight="1" x14ac:dyDescent="0.35">
      <c r="O575" s="1"/>
    </row>
    <row r="576" spans="15:15" ht="14.25" customHeight="1" x14ac:dyDescent="0.35">
      <c r="O576" s="1"/>
    </row>
    <row r="577" spans="15:15" ht="14.25" customHeight="1" x14ac:dyDescent="0.35">
      <c r="O577" s="1"/>
    </row>
    <row r="578" spans="15:15" ht="14.25" customHeight="1" x14ac:dyDescent="0.35">
      <c r="O578" s="1"/>
    </row>
    <row r="579" spans="15:15" ht="14.25" customHeight="1" x14ac:dyDescent="0.35">
      <c r="O579" s="1"/>
    </row>
    <row r="580" spans="15:15" ht="14.25" customHeight="1" x14ac:dyDescent="0.35">
      <c r="O580" s="1"/>
    </row>
    <row r="581" spans="15:15" ht="14.25" customHeight="1" x14ac:dyDescent="0.35">
      <c r="O581" s="1"/>
    </row>
    <row r="582" spans="15:15" ht="14.25" customHeight="1" x14ac:dyDescent="0.35">
      <c r="O582" s="1"/>
    </row>
    <row r="583" spans="15:15" ht="14.25" customHeight="1" x14ac:dyDescent="0.35">
      <c r="O583" s="1"/>
    </row>
    <row r="584" spans="15:15" ht="14.25" customHeight="1" x14ac:dyDescent="0.35">
      <c r="O584" s="1"/>
    </row>
    <row r="585" spans="15:15" ht="14.25" customHeight="1" x14ac:dyDescent="0.35">
      <c r="O585" s="1"/>
    </row>
    <row r="586" spans="15:15" ht="14.25" customHeight="1" x14ac:dyDescent="0.35">
      <c r="O586" s="1"/>
    </row>
    <row r="587" spans="15:15" ht="14.25" customHeight="1" x14ac:dyDescent="0.35">
      <c r="O587" s="1"/>
    </row>
    <row r="588" spans="15:15" ht="14.25" customHeight="1" x14ac:dyDescent="0.35">
      <c r="O588" s="1"/>
    </row>
    <row r="589" spans="15:15" ht="14.25" customHeight="1" x14ac:dyDescent="0.35">
      <c r="O589" s="1"/>
    </row>
    <row r="590" spans="15:15" ht="14.25" customHeight="1" x14ac:dyDescent="0.35">
      <c r="O590" s="1"/>
    </row>
    <row r="591" spans="15:15" ht="14.25" customHeight="1" x14ac:dyDescent="0.35">
      <c r="O591" s="1"/>
    </row>
    <row r="592" spans="15:15" ht="14.25" customHeight="1" x14ac:dyDescent="0.35">
      <c r="O592" s="1"/>
    </row>
    <row r="593" spans="15:15" ht="14.25" customHeight="1" x14ac:dyDescent="0.35">
      <c r="O593" s="1"/>
    </row>
    <row r="594" spans="15:15" ht="14.25" customHeight="1" x14ac:dyDescent="0.35">
      <c r="O594" s="1"/>
    </row>
    <row r="595" spans="15:15" ht="14.25" customHeight="1" x14ac:dyDescent="0.35">
      <c r="O595" s="1"/>
    </row>
    <row r="596" spans="15:15" ht="14.25" customHeight="1" x14ac:dyDescent="0.35">
      <c r="O596" s="1"/>
    </row>
    <row r="597" spans="15:15" ht="14.25" customHeight="1" x14ac:dyDescent="0.35">
      <c r="O597" s="1"/>
    </row>
    <row r="598" spans="15:15" ht="14.25" customHeight="1" x14ac:dyDescent="0.35">
      <c r="O598" s="1"/>
    </row>
    <row r="599" spans="15:15" ht="14.25" customHeight="1" x14ac:dyDescent="0.35">
      <c r="O599" s="1"/>
    </row>
    <row r="600" spans="15:15" ht="14.25" customHeight="1" x14ac:dyDescent="0.35">
      <c r="O600" s="1"/>
    </row>
    <row r="601" spans="15:15" ht="14.25" customHeight="1" x14ac:dyDescent="0.35">
      <c r="O601" s="1"/>
    </row>
    <row r="602" spans="15:15" ht="14.25" customHeight="1" x14ac:dyDescent="0.35">
      <c r="O602" s="1"/>
    </row>
    <row r="603" spans="15:15" ht="14.25" customHeight="1" x14ac:dyDescent="0.35">
      <c r="O603" s="1"/>
    </row>
    <row r="604" spans="15:15" ht="14.25" customHeight="1" x14ac:dyDescent="0.35">
      <c r="O604" s="1"/>
    </row>
    <row r="605" spans="15:15" ht="14.25" customHeight="1" x14ac:dyDescent="0.35">
      <c r="O605" s="1"/>
    </row>
    <row r="606" spans="15:15" ht="14.25" customHeight="1" x14ac:dyDescent="0.35">
      <c r="O606" s="1"/>
    </row>
    <row r="607" spans="15:15" ht="14.25" customHeight="1" x14ac:dyDescent="0.35">
      <c r="O607" s="1"/>
    </row>
    <row r="608" spans="15:15" ht="14.25" customHeight="1" x14ac:dyDescent="0.35">
      <c r="O608" s="1"/>
    </row>
    <row r="609" spans="15:15" ht="14.25" customHeight="1" x14ac:dyDescent="0.35">
      <c r="O609" s="1"/>
    </row>
    <row r="610" spans="15:15" ht="14.25" customHeight="1" x14ac:dyDescent="0.35">
      <c r="O610" s="1"/>
    </row>
    <row r="611" spans="15:15" ht="14.25" customHeight="1" x14ac:dyDescent="0.35">
      <c r="O611" s="1"/>
    </row>
    <row r="612" spans="15:15" ht="14.25" customHeight="1" x14ac:dyDescent="0.35">
      <c r="O612" s="1"/>
    </row>
    <row r="613" spans="15:15" ht="14.25" customHeight="1" x14ac:dyDescent="0.35">
      <c r="O613" s="1"/>
    </row>
    <row r="614" spans="15:15" ht="14.25" customHeight="1" x14ac:dyDescent="0.35">
      <c r="O614" s="1"/>
    </row>
    <row r="615" spans="15:15" ht="14.25" customHeight="1" x14ac:dyDescent="0.35">
      <c r="O615" s="1"/>
    </row>
    <row r="616" spans="15:15" ht="14.25" customHeight="1" x14ac:dyDescent="0.35">
      <c r="O616" s="1"/>
    </row>
    <row r="617" spans="15:15" ht="14.25" customHeight="1" x14ac:dyDescent="0.35">
      <c r="O617" s="1"/>
    </row>
    <row r="618" spans="15:15" ht="14.25" customHeight="1" x14ac:dyDescent="0.35">
      <c r="O618" s="1"/>
    </row>
    <row r="619" spans="15:15" ht="14.25" customHeight="1" x14ac:dyDescent="0.35">
      <c r="O619" s="1"/>
    </row>
    <row r="620" spans="15:15" ht="14.25" customHeight="1" x14ac:dyDescent="0.35">
      <c r="O620" s="1"/>
    </row>
    <row r="621" spans="15:15" ht="14.25" customHeight="1" x14ac:dyDescent="0.35">
      <c r="O621" s="1"/>
    </row>
    <row r="622" spans="15:15" ht="14.25" customHeight="1" x14ac:dyDescent="0.35">
      <c r="O622" s="1"/>
    </row>
    <row r="623" spans="15:15" ht="14.25" customHeight="1" x14ac:dyDescent="0.35">
      <c r="O623" s="1"/>
    </row>
    <row r="624" spans="15:15" ht="14.25" customHeight="1" x14ac:dyDescent="0.35">
      <c r="O624" s="1"/>
    </row>
    <row r="625" spans="15:15" ht="14.25" customHeight="1" x14ac:dyDescent="0.35">
      <c r="O625" s="1"/>
    </row>
    <row r="626" spans="15:15" ht="14.25" customHeight="1" x14ac:dyDescent="0.35">
      <c r="O626" s="1"/>
    </row>
    <row r="627" spans="15:15" ht="14.25" customHeight="1" x14ac:dyDescent="0.35">
      <c r="O627" s="1"/>
    </row>
    <row r="628" spans="15:15" ht="14.25" customHeight="1" x14ac:dyDescent="0.35">
      <c r="O628" s="1"/>
    </row>
    <row r="629" spans="15:15" ht="14.25" customHeight="1" x14ac:dyDescent="0.35">
      <c r="O629" s="1"/>
    </row>
    <row r="630" spans="15:15" ht="14.25" customHeight="1" x14ac:dyDescent="0.35">
      <c r="O630" s="1"/>
    </row>
    <row r="631" spans="15:15" ht="14.25" customHeight="1" x14ac:dyDescent="0.35">
      <c r="O631" s="1"/>
    </row>
    <row r="632" spans="15:15" ht="14.25" customHeight="1" x14ac:dyDescent="0.35">
      <c r="O632" s="1"/>
    </row>
    <row r="633" spans="15:15" ht="14.25" customHeight="1" x14ac:dyDescent="0.35">
      <c r="O633" s="1"/>
    </row>
    <row r="634" spans="15:15" ht="14.25" customHeight="1" x14ac:dyDescent="0.35">
      <c r="O634" s="1"/>
    </row>
    <row r="635" spans="15:15" ht="14.25" customHeight="1" x14ac:dyDescent="0.35">
      <c r="O635" s="1"/>
    </row>
    <row r="636" spans="15:15" ht="14.25" customHeight="1" x14ac:dyDescent="0.35">
      <c r="O636" s="1"/>
    </row>
    <row r="637" spans="15:15" ht="14.25" customHeight="1" x14ac:dyDescent="0.35">
      <c r="O637" s="1"/>
    </row>
    <row r="638" spans="15:15" ht="14.25" customHeight="1" x14ac:dyDescent="0.35">
      <c r="O638" s="1"/>
    </row>
    <row r="639" spans="15:15" ht="14.25" customHeight="1" x14ac:dyDescent="0.35">
      <c r="O639" s="1"/>
    </row>
    <row r="640" spans="15:15" ht="14.25" customHeight="1" x14ac:dyDescent="0.35">
      <c r="O640" s="1"/>
    </row>
    <row r="641" spans="15:15" ht="14.25" customHeight="1" x14ac:dyDescent="0.35">
      <c r="O641" s="1"/>
    </row>
    <row r="642" spans="15:15" ht="14.25" customHeight="1" x14ac:dyDescent="0.35">
      <c r="O642" s="1"/>
    </row>
    <row r="643" spans="15:15" ht="14.25" customHeight="1" x14ac:dyDescent="0.35">
      <c r="O643" s="1"/>
    </row>
    <row r="644" spans="15:15" ht="14.25" customHeight="1" x14ac:dyDescent="0.35">
      <c r="O644" s="1"/>
    </row>
    <row r="645" spans="15:15" ht="14.25" customHeight="1" x14ac:dyDescent="0.35">
      <c r="O645" s="1"/>
    </row>
    <row r="646" spans="15:15" ht="14.25" customHeight="1" x14ac:dyDescent="0.35">
      <c r="O646" s="1"/>
    </row>
    <row r="647" spans="15:15" ht="14.25" customHeight="1" x14ac:dyDescent="0.35">
      <c r="O647" s="1"/>
    </row>
    <row r="648" spans="15:15" ht="14.25" customHeight="1" x14ac:dyDescent="0.35">
      <c r="O648" s="1"/>
    </row>
    <row r="649" spans="15:15" ht="14.25" customHeight="1" x14ac:dyDescent="0.35">
      <c r="O649" s="1"/>
    </row>
    <row r="650" spans="15:15" ht="14.25" customHeight="1" x14ac:dyDescent="0.35">
      <c r="O650" s="1"/>
    </row>
    <row r="651" spans="15:15" ht="14.25" customHeight="1" x14ac:dyDescent="0.35">
      <c r="O651" s="1"/>
    </row>
    <row r="652" spans="15:15" ht="14.25" customHeight="1" x14ac:dyDescent="0.35">
      <c r="O652" s="1"/>
    </row>
    <row r="653" spans="15:15" ht="14.25" customHeight="1" x14ac:dyDescent="0.35">
      <c r="O653" s="1"/>
    </row>
    <row r="654" spans="15:15" ht="14.25" customHeight="1" x14ac:dyDescent="0.35">
      <c r="O654" s="1"/>
    </row>
    <row r="655" spans="15:15" ht="14.25" customHeight="1" x14ac:dyDescent="0.35">
      <c r="O655" s="1"/>
    </row>
    <row r="656" spans="15:15" ht="14.25" customHeight="1" x14ac:dyDescent="0.35">
      <c r="O656" s="1"/>
    </row>
    <row r="657" spans="15:15" ht="14.25" customHeight="1" x14ac:dyDescent="0.35">
      <c r="O657" s="1"/>
    </row>
    <row r="658" spans="15:15" ht="14.25" customHeight="1" x14ac:dyDescent="0.35">
      <c r="O658" s="1"/>
    </row>
    <row r="659" spans="15:15" ht="14.25" customHeight="1" x14ac:dyDescent="0.35">
      <c r="O659" s="1"/>
    </row>
    <row r="660" spans="15:15" ht="14.25" customHeight="1" x14ac:dyDescent="0.35">
      <c r="O660" s="1"/>
    </row>
    <row r="661" spans="15:15" ht="14.25" customHeight="1" x14ac:dyDescent="0.35">
      <c r="O661" s="1"/>
    </row>
    <row r="662" spans="15:15" ht="14.25" customHeight="1" x14ac:dyDescent="0.35">
      <c r="O662" s="1"/>
    </row>
    <row r="663" spans="15:15" ht="14.25" customHeight="1" x14ac:dyDescent="0.35">
      <c r="O663" s="1"/>
    </row>
    <row r="664" spans="15:15" ht="14.25" customHeight="1" x14ac:dyDescent="0.35">
      <c r="O664" s="1"/>
    </row>
    <row r="665" spans="15:15" ht="14.25" customHeight="1" x14ac:dyDescent="0.35">
      <c r="O665" s="1"/>
    </row>
    <row r="666" spans="15:15" ht="14.25" customHeight="1" x14ac:dyDescent="0.35">
      <c r="O666" s="1"/>
    </row>
    <row r="667" spans="15:15" ht="14.25" customHeight="1" x14ac:dyDescent="0.35">
      <c r="O667" s="1"/>
    </row>
    <row r="668" spans="15:15" ht="14.25" customHeight="1" x14ac:dyDescent="0.35">
      <c r="O668" s="1"/>
    </row>
    <row r="669" spans="15:15" ht="14.25" customHeight="1" x14ac:dyDescent="0.35">
      <c r="O669" s="1"/>
    </row>
    <row r="670" spans="15:15" ht="14.25" customHeight="1" x14ac:dyDescent="0.35">
      <c r="O670" s="1"/>
    </row>
    <row r="671" spans="15:15" ht="14.25" customHeight="1" x14ac:dyDescent="0.35">
      <c r="O671" s="1"/>
    </row>
    <row r="672" spans="15:15" ht="14.25" customHeight="1" x14ac:dyDescent="0.35">
      <c r="O672" s="1"/>
    </row>
    <row r="673" spans="15:15" ht="14.25" customHeight="1" x14ac:dyDescent="0.35">
      <c r="O673" s="1"/>
    </row>
    <row r="674" spans="15:15" ht="14.25" customHeight="1" x14ac:dyDescent="0.35">
      <c r="O674" s="1"/>
    </row>
    <row r="675" spans="15:15" ht="14.25" customHeight="1" x14ac:dyDescent="0.35">
      <c r="O675" s="1"/>
    </row>
    <row r="676" spans="15:15" ht="14.25" customHeight="1" x14ac:dyDescent="0.35">
      <c r="O676" s="1"/>
    </row>
    <row r="677" spans="15:15" ht="14.25" customHeight="1" x14ac:dyDescent="0.35">
      <c r="O677" s="1"/>
    </row>
    <row r="678" spans="15:15" ht="14.25" customHeight="1" x14ac:dyDescent="0.35">
      <c r="O678" s="1"/>
    </row>
    <row r="679" spans="15:15" ht="14.25" customHeight="1" x14ac:dyDescent="0.35">
      <c r="O679" s="1"/>
    </row>
    <row r="680" spans="15:15" ht="14.25" customHeight="1" x14ac:dyDescent="0.35">
      <c r="O680" s="1"/>
    </row>
    <row r="681" spans="15:15" ht="14.25" customHeight="1" x14ac:dyDescent="0.35">
      <c r="O681" s="1"/>
    </row>
    <row r="682" spans="15:15" ht="14.25" customHeight="1" x14ac:dyDescent="0.35">
      <c r="O682" s="1"/>
    </row>
    <row r="683" spans="15:15" ht="14.25" customHeight="1" x14ac:dyDescent="0.35">
      <c r="O683" s="1"/>
    </row>
    <row r="684" spans="15:15" ht="14.25" customHeight="1" x14ac:dyDescent="0.35">
      <c r="O684" s="1"/>
    </row>
    <row r="685" spans="15:15" ht="14.25" customHeight="1" x14ac:dyDescent="0.35">
      <c r="O685" s="1"/>
    </row>
    <row r="686" spans="15:15" ht="14.25" customHeight="1" x14ac:dyDescent="0.35">
      <c r="O686" s="1"/>
    </row>
    <row r="687" spans="15:15" ht="14.25" customHeight="1" x14ac:dyDescent="0.35">
      <c r="O687" s="1"/>
    </row>
    <row r="688" spans="15:15" ht="14.25" customHeight="1" x14ac:dyDescent="0.35">
      <c r="O688" s="1"/>
    </row>
    <row r="689" spans="15:15" ht="14.25" customHeight="1" x14ac:dyDescent="0.35">
      <c r="O689" s="1"/>
    </row>
    <row r="690" spans="15:15" ht="14.25" customHeight="1" x14ac:dyDescent="0.35">
      <c r="O690" s="1"/>
    </row>
    <row r="691" spans="15:15" ht="14.25" customHeight="1" x14ac:dyDescent="0.35">
      <c r="O691" s="1"/>
    </row>
    <row r="692" spans="15:15" ht="14.25" customHeight="1" x14ac:dyDescent="0.35">
      <c r="O692" s="1"/>
    </row>
    <row r="693" spans="15:15" ht="14.25" customHeight="1" x14ac:dyDescent="0.35">
      <c r="O693" s="1"/>
    </row>
    <row r="694" spans="15:15" ht="14.25" customHeight="1" x14ac:dyDescent="0.35">
      <c r="O694" s="1"/>
    </row>
    <row r="695" spans="15:15" ht="14.25" customHeight="1" x14ac:dyDescent="0.35">
      <c r="O695" s="1"/>
    </row>
    <row r="696" spans="15:15" ht="14.25" customHeight="1" x14ac:dyDescent="0.35">
      <c r="O696" s="1"/>
    </row>
    <row r="697" spans="15:15" ht="14.25" customHeight="1" x14ac:dyDescent="0.35">
      <c r="O697" s="1"/>
    </row>
    <row r="698" spans="15:15" ht="14.25" customHeight="1" x14ac:dyDescent="0.35">
      <c r="O698" s="1"/>
    </row>
    <row r="699" spans="15:15" ht="14.25" customHeight="1" x14ac:dyDescent="0.35">
      <c r="O699" s="1"/>
    </row>
    <row r="700" spans="15:15" ht="14.25" customHeight="1" x14ac:dyDescent="0.35">
      <c r="O700" s="1"/>
    </row>
    <row r="701" spans="15:15" ht="14.25" customHeight="1" x14ac:dyDescent="0.35">
      <c r="O701" s="1"/>
    </row>
    <row r="702" spans="15:15" ht="14.25" customHeight="1" x14ac:dyDescent="0.35">
      <c r="O702" s="1"/>
    </row>
    <row r="703" spans="15:15" ht="14.25" customHeight="1" x14ac:dyDescent="0.35">
      <c r="O703" s="1"/>
    </row>
    <row r="704" spans="15:15" ht="14.25" customHeight="1" x14ac:dyDescent="0.35">
      <c r="O704" s="1"/>
    </row>
    <row r="705" spans="15:15" ht="14.25" customHeight="1" x14ac:dyDescent="0.35">
      <c r="O705" s="1"/>
    </row>
    <row r="706" spans="15:15" ht="14.25" customHeight="1" x14ac:dyDescent="0.35">
      <c r="O706" s="1"/>
    </row>
    <row r="707" spans="15:15" ht="14.25" customHeight="1" x14ac:dyDescent="0.35">
      <c r="O707" s="1"/>
    </row>
    <row r="708" spans="15:15" ht="14.25" customHeight="1" x14ac:dyDescent="0.35">
      <c r="O708" s="1"/>
    </row>
    <row r="709" spans="15:15" ht="14.25" customHeight="1" x14ac:dyDescent="0.35">
      <c r="O709" s="1"/>
    </row>
    <row r="710" spans="15:15" ht="14.25" customHeight="1" x14ac:dyDescent="0.35">
      <c r="O710" s="1"/>
    </row>
    <row r="711" spans="15:15" ht="14.25" customHeight="1" x14ac:dyDescent="0.35">
      <c r="O711" s="1"/>
    </row>
    <row r="712" spans="15:15" ht="14.25" customHeight="1" x14ac:dyDescent="0.35">
      <c r="O712" s="1"/>
    </row>
    <row r="713" spans="15:15" ht="14.25" customHeight="1" x14ac:dyDescent="0.35">
      <c r="O713" s="1"/>
    </row>
    <row r="714" spans="15:15" ht="14.25" customHeight="1" x14ac:dyDescent="0.35">
      <c r="O714" s="1"/>
    </row>
    <row r="715" spans="15:15" ht="14.25" customHeight="1" x14ac:dyDescent="0.35">
      <c r="O715" s="1"/>
    </row>
    <row r="716" spans="15:15" ht="14.25" customHeight="1" x14ac:dyDescent="0.35">
      <c r="O716" s="1"/>
    </row>
    <row r="717" spans="15:15" ht="14.25" customHeight="1" x14ac:dyDescent="0.35">
      <c r="O717" s="1"/>
    </row>
    <row r="718" spans="15:15" ht="14.25" customHeight="1" x14ac:dyDescent="0.35">
      <c r="O718" s="1"/>
    </row>
    <row r="719" spans="15:15" ht="14.25" customHeight="1" x14ac:dyDescent="0.35">
      <c r="O719" s="1"/>
    </row>
    <row r="720" spans="15:15" ht="14.25" customHeight="1" x14ac:dyDescent="0.35">
      <c r="O720" s="1"/>
    </row>
    <row r="721" spans="15:15" ht="14.25" customHeight="1" x14ac:dyDescent="0.35">
      <c r="O721" s="1"/>
    </row>
    <row r="722" spans="15:15" ht="14.25" customHeight="1" x14ac:dyDescent="0.35">
      <c r="O722" s="1"/>
    </row>
    <row r="723" spans="15:15" ht="14.25" customHeight="1" x14ac:dyDescent="0.35">
      <c r="O723" s="1"/>
    </row>
    <row r="724" spans="15:15" ht="14.25" customHeight="1" x14ac:dyDescent="0.35">
      <c r="O724" s="1"/>
    </row>
    <row r="725" spans="15:15" ht="14.25" customHeight="1" x14ac:dyDescent="0.35">
      <c r="O725" s="1"/>
    </row>
    <row r="726" spans="15:15" ht="14.25" customHeight="1" x14ac:dyDescent="0.35">
      <c r="O726" s="1"/>
    </row>
    <row r="727" spans="15:15" ht="14.25" customHeight="1" x14ac:dyDescent="0.35">
      <c r="O727" s="1"/>
    </row>
    <row r="728" spans="15:15" ht="14.25" customHeight="1" x14ac:dyDescent="0.35">
      <c r="O728" s="1"/>
    </row>
    <row r="729" spans="15:15" ht="14.25" customHeight="1" x14ac:dyDescent="0.35">
      <c r="O729" s="1"/>
    </row>
    <row r="730" spans="15:15" ht="14.25" customHeight="1" x14ac:dyDescent="0.35">
      <c r="O730" s="1"/>
    </row>
    <row r="731" spans="15:15" ht="14.25" customHeight="1" x14ac:dyDescent="0.35">
      <c r="O731" s="1"/>
    </row>
    <row r="732" spans="15:15" ht="14.25" customHeight="1" x14ac:dyDescent="0.35">
      <c r="O732" s="1"/>
    </row>
    <row r="733" spans="15:15" ht="14.25" customHeight="1" x14ac:dyDescent="0.35">
      <c r="O733" s="1"/>
    </row>
    <row r="734" spans="15:15" ht="14.25" customHeight="1" x14ac:dyDescent="0.35">
      <c r="O734" s="1"/>
    </row>
    <row r="735" spans="15:15" ht="14.25" customHeight="1" x14ac:dyDescent="0.35">
      <c r="O735" s="1"/>
    </row>
    <row r="736" spans="15:15" ht="14.25" customHeight="1" x14ac:dyDescent="0.35">
      <c r="O736" s="1"/>
    </row>
    <row r="737" spans="15:15" ht="14.25" customHeight="1" x14ac:dyDescent="0.35">
      <c r="O737" s="1"/>
    </row>
    <row r="738" spans="15:15" ht="14.25" customHeight="1" x14ac:dyDescent="0.35">
      <c r="O738" s="1"/>
    </row>
    <row r="739" spans="15:15" ht="14.25" customHeight="1" x14ac:dyDescent="0.35">
      <c r="O739" s="1"/>
    </row>
    <row r="740" spans="15:15" ht="14.25" customHeight="1" x14ac:dyDescent="0.35">
      <c r="O740" s="1"/>
    </row>
    <row r="741" spans="15:15" ht="14.25" customHeight="1" x14ac:dyDescent="0.35">
      <c r="O741" s="1"/>
    </row>
    <row r="742" spans="15:15" ht="14.25" customHeight="1" x14ac:dyDescent="0.35">
      <c r="O742" s="1"/>
    </row>
    <row r="743" spans="15:15" ht="14.25" customHeight="1" x14ac:dyDescent="0.35">
      <c r="O743" s="1"/>
    </row>
    <row r="744" spans="15:15" ht="14.25" customHeight="1" x14ac:dyDescent="0.35">
      <c r="O744" s="1"/>
    </row>
    <row r="745" spans="15:15" ht="14.25" customHeight="1" x14ac:dyDescent="0.35">
      <c r="O745" s="1"/>
    </row>
    <row r="746" spans="15:15" ht="14.25" customHeight="1" x14ac:dyDescent="0.35">
      <c r="O746" s="1"/>
    </row>
    <row r="747" spans="15:15" ht="14.25" customHeight="1" x14ac:dyDescent="0.35">
      <c r="O747" s="1"/>
    </row>
    <row r="748" spans="15:15" ht="14.25" customHeight="1" x14ac:dyDescent="0.35">
      <c r="O748" s="1"/>
    </row>
    <row r="749" spans="15:15" ht="14.25" customHeight="1" x14ac:dyDescent="0.35">
      <c r="O749" s="1"/>
    </row>
    <row r="750" spans="15:15" ht="14.25" customHeight="1" x14ac:dyDescent="0.35">
      <c r="O750" s="1"/>
    </row>
    <row r="751" spans="15:15" ht="14.25" customHeight="1" x14ac:dyDescent="0.35">
      <c r="O751" s="1"/>
    </row>
    <row r="752" spans="15:15" ht="14.25" customHeight="1" x14ac:dyDescent="0.35">
      <c r="O752" s="1"/>
    </row>
    <row r="753" spans="15:15" ht="14.25" customHeight="1" x14ac:dyDescent="0.35">
      <c r="O753" s="1"/>
    </row>
    <row r="754" spans="15:15" ht="14.25" customHeight="1" x14ac:dyDescent="0.35">
      <c r="O754" s="1"/>
    </row>
    <row r="755" spans="15:15" ht="14.25" customHeight="1" x14ac:dyDescent="0.35">
      <c r="O755" s="1"/>
    </row>
    <row r="756" spans="15:15" ht="14.25" customHeight="1" x14ac:dyDescent="0.35">
      <c r="O756" s="1"/>
    </row>
    <row r="757" spans="15:15" ht="14.25" customHeight="1" x14ac:dyDescent="0.35">
      <c r="O757" s="1"/>
    </row>
    <row r="758" spans="15:15" ht="14.25" customHeight="1" x14ac:dyDescent="0.35">
      <c r="O758" s="1"/>
    </row>
    <row r="759" spans="15:15" ht="14.25" customHeight="1" x14ac:dyDescent="0.35">
      <c r="O759" s="1"/>
    </row>
    <row r="760" spans="15:15" ht="14.25" customHeight="1" x14ac:dyDescent="0.35">
      <c r="O760" s="1"/>
    </row>
    <row r="761" spans="15:15" ht="14.25" customHeight="1" x14ac:dyDescent="0.35">
      <c r="O761" s="1"/>
    </row>
    <row r="762" spans="15:15" ht="14.25" customHeight="1" x14ac:dyDescent="0.35">
      <c r="O762" s="1"/>
    </row>
    <row r="763" spans="15:15" ht="14.25" customHeight="1" x14ac:dyDescent="0.35">
      <c r="O763" s="1"/>
    </row>
    <row r="764" spans="15:15" ht="14.25" customHeight="1" x14ac:dyDescent="0.35">
      <c r="O764" s="1"/>
    </row>
    <row r="765" spans="15:15" ht="14.25" customHeight="1" x14ac:dyDescent="0.35">
      <c r="O765" s="1"/>
    </row>
    <row r="766" spans="15:15" ht="14.25" customHeight="1" x14ac:dyDescent="0.35">
      <c r="O766" s="1"/>
    </row>
    <row r="767" spans="15:15" ht="14.25" customHeight="1" x14ac:dyDescent="0.35">
      <c r="O767" s="1"/>
    </row>
    <row r="768" spans="15:15" ht="14.25" customHeight="1" x14ac:dyDescent="0.35">
      <c r="O768" s="1"/>
    </row>
    <row r="769" spans="15:15" ht="14.25" customHeight="1" x14ac:dyDescent="0.35">
      <c r="O769" s="1"/>
    </row>
    <row r="770" spans="15:15" ht="14.25" customHeight="1" x14ac:dyDescent="0.35">
      <c r="O770" s="1"/>
    </row>
    <row r="771" spans="15:15" ht="14.25" customHeight="1" x14ac:dyDescent="0.35">
      <c r="O771" s="1"/>
    </row>
    <row r="772" spans="15:15" ht="14.25" customHeight="1" x14ac:dyDescent="0.35">
      <c r="O772" s="1"/>
    </row>
    <row r="773" spans="15:15" ht="14.25" customHeight="1" x14ac:dyDescent="0.35">
      <c r="O773" s="1"/>
    </row>
    <row r="774" spans="15:15" ht="14.25" customHeight="1" x14ac:dyDescent="0.35">
      <c r="O774" s="1"/>
    </row>
    <row r="775" spans="15:15" ht="14.25" customHeight="1" x14ac:dyDescent="0.35">
      <c r="O775" s="1"/>
    </row>
    <row r="776" spans="15:15" ht="14.25" customHeight="1" x14ac:dyDescent="0.35">
      <c r="O776" s="1"/>
    </row>
    <row r="777" spans="15:15" ht="14.25" customHeight="1" x14ac:dyDescent="0.35">
      <c r="O777" s="1"/>
    </row>
    <row r="778" spans="15:15" ht="14.25" customHeight="1" x14ac:dyDescent="0.35">
      <c r="O778" s="1"/>
    </row>
    <row r="779" spans="15:15" ht="14.25" customHeight="1" x14ac:dyDescent="0.35">
      <c r="O779" s="1"/>
    </row>
    <row r="780" spans="15:15" ht="14.25" customHeight="1" x14ac:dyDescent="0.35">
      <c r="O780" s="1"/>
    </row>
    <row r="781" spans="15:15" ht="14.25" customHeight="1" x14ac:dyDescent="0.35">
      <c r="O781" s="1"/>
    </row>
    <row r="782" spans="15:15" ht="14.25" customHeight="1" x14ac:dyDescent="0.35">
      <c r="O782" s="1"/>
    </row>
    <row r="783" spans="15:15" ht="14.25" customHeight="1" x14ac:dyDescent="0.35">
      <c r="O783" s="1"/>
    </row>
    <row r="784" spans="15:15" ht="14.25" customHeight="1" x14ac:dyDescent="0.35">
      <c r="O784" s="1"/>
    </row>
    <row r="785" spans="15:15" ht="14.25" customHeight="1" x14ac:dyDescent="0.35">
      <c r="O785" s="1"/>
    </row>
    <row r="786" spans="15:15" ht="14.25" customHeight="1" x14ac:dyDescent="0.35">
      <c r="O786" s="1"/>
    </row>
    <row r="787" spans="15:15" ht="14.25" customHeight="1" x14ac:dyDescent="0.35">
      <c r="O787" s="1"/>
    </row>
    <row r="788" spans="15:15" ht="14.25" customHeight="1" x14ac:dyDescent="0.35">
      <c r="O788" s="1"/>
    </row>
    <row r="789" spans="15:15" ht="14.25" customHeight="1" x14ac:dyDescent="0.35">
      <c r="O789" s="1"/>
    </row>
    <row r="790" spans="15:15" ht="14.25" customHeight="1" x14ac:dyDescent="0.35">
      <c r="O790" s="1"/>
    </row>
    <row r="791" spans="15:15" ht="14.25" customHeight="1" x14ac:dyDescent="0.35">
      <c r="O791" s="1"/>
    </row>
    <row r="792" spans="15:15" ht="14.25" customHeight="1" x14ac:dyDescent="0.35">
      <c r="O792" s="1"/>
    </row>
    <row r="793" spans="15:15" ht="14.25" customHeight="1" x14ac:dyDescent="0.35">
      <c r="O793" s="1"/>
    </row>
    <row r="794" spans="15:15" ht="14.25" customHeight="1" x14ac:dyDescent="0.35">
      <c r="O794" s="1"/>
    </row>
    <row r="795" spans="15:15" ht="14.25" customHeight="1" x14ac:dyDescent="0.35">
      <c r="O795" s="1"/>
    </row>
    <row r="796" spans="15:15" ht="14.25" customHeight="1" x14ac:dyDescent="0.35">
      <c r="O796" s="1"/>
    </row>
    <row r="797" spans="15:15" ht="14.25" customHeight="1" x14ac:dyDescent="0.35">
      <c r="O797" s="1"/>
    </row>
    <row r="798" spans="15:15" ht="14.25" customHeight="1" x14ac:dyDescent="0.35">
      <c r="O798" s="1"/>
    </row>
    <row r="799" spans="15:15" ht="14.25" customHeight="1" x14ac:dyDescent="0.35">
      <c r="O799" s="1"/>
    </row>
    <row r="800" spans="15:15" ht="14.25" customHeight="1" x14ac:dyDescent="0.35">
      <c r="O800" s="1"/>
    </row>
    <row r="801" spans="15:15" ht="14.25" customHeight="1" x14ac:dyDescent="0.35">
      <c r="O801" s="1"/>
    </row>
    <row r="802" spans="15:15" ht="14.25" customHeight="1" x14ac:dyDescent="0.35">
      <c r="O802" s="1"/>
    </row>
    <row r="803" spans="15:15" ht="14.25" customHeight="1" x14ac:dyDescent="0.35">
      <c r="O803" s="1"/>
    </row>
    <row r="804" spans="15:15" ht="14.25" customHeight="1" x14ac:dyDescent="0.35">
      <c r="O804" s="1"/>
    </row>
    <row r="805" spans="15:15" ht="14.25" customHeight="1" x14ac:dyDescent="0.35">
      <c r="O805" s="1"/>
    </row>
    <row r="806" spans="15:15" ht="14.25" customHeight="1" x14ac:dyDescent="0.35">
      <c r="O806" s="1"/>
    </row>
    <row r="807" spans="15:15" ht="14.25" customHeight="1" x14ac:dyDescent="0.35">
      <c r="O807" s="1"/>
    </row>
    <row r="808" spans="15:15" ht="14.25" customHeight="1" x14ac:dyDescent="0.35">
      <c r="O808" s="1"/>
    </row>
    <row r="809" spans="15:15" ht="14.25" customHeight="1" x14ac:dyDescent="0.35">
      <c r="O809" s="1"/>
    </row>
    <row r="810" spans="15:15" ht="14.25" customHeight="1" x14ac:dyDescent="0.35">
      <c r="O810" s="1"/>
    </row>
    <row r="811" spans="15:15" ht="14.25" customHeight="1" x14ac:dyDescent="0.35">
      <c r="O811" s="1"/>
    </row>
    <row r="812" spans="15:15" ht="14.25" customHeight="1" x14ac:dyDescent="0.35">
      <c r="O812" s="1"/>
    </row>
    <row r="813" spans="15:15" ht="14.25" customHeight="1" x14ac:dyDescent="0.35">
      <c r="O813" s="1"/>
    </row>
    <row r="814" spans="15:15" ht="14.25" customHeight="1" x14ac:dyDescent="0.35">
      <c r="O814" s="1"/>
    </row>
    <row r="815" spans="15:15" ht="14.25" customHeight="1" x14ac:dyDescent="0.35">
      <c r="O815" s="1"/>
    </row>
    <row r="816" spans="15:15" ht="14.25" customHeight="1" x14ac:dyDescent="0.35">
      <c r="O816" s="1"/>
    </row>
    <row r="817" spans="15:15" ht="14.25" customHeight="1" x14ac:dyDescent="0.35">
      <c r="O817" s="1"/>
    </row>
    <row r="818" spans="15:15" ht="14.25" customHeight="1" x14ac:dyDescent="0.35">
      <c r="O818" s="1"/>
    </row>
    <row r="819" spans="15:15" ht="14.25" customHeight="1" x14ac:dyDescent="0.35">
      <c r="O819" s="1"/>
    </row>
    <row r="820" spans="15:15" ht="14.25" customHeight="1" x14ac:dyDescent="0.35">
      <c r="O820" s="1"/>
    </row>
    <row r="821" spans="15:15" ht="14.25" customHeight="1" x14ac:dyDescent="0.35">
      <c r="O821" s="1"/>
    </row>
    <row r="822" spans="15:15" ht="14.25" customHeight="1" x14ac:dyDescent="0.35">
      <c r="O822" s="1"/>
    </row>
    <row r="823" spans="15:15" ht="14.25" customHeight="1" x14ac:dyDescent="0.35">
      <c r="O823" s="1"/>
    </row>
    <row r="824" spans="15:15" ht="14.25" customHeight="1" x14ac:dyDescent="0.35">
      <c r="O824" s="1"/>
    </row>
    <row r="825" spans="15:15" ht="14.25" customHeight="1" x14ac:dyDescent="0.35">
      <c r="O825" s="1"/>
    </row>
    <row r="826" spans="15:15" ht="14.25" customHeight="1" x14ac:dyDescent="0.35">
      <c r="O826" s="1"/>
    </row>
    <row r="827" spans="15:15" ht="14.25" customHeight="1" x14ac:dyDescent="0.35">
      <c r="O827" s="1"/>
    </row>
    <row r="828" spans="15:15" ht="14.25" customHeight="1" x14ac:dyDescent="0.35">
      <c r="O828" s="1"/>
    </row>
    <row r="829" spans="15:15" ht="14.25" customHeight="1" x14ac:dyDescent="0.35">
      <c r="O829" s="1"/>
    </row>
    <row r="830" spans="15:15" ht="14.25" customHeight="1" x14ac:dyDescent="0.35">
      <c r="O830" s="1"/>
    </row>
    <row r="831" spans="15:15" ht="14.25" customHeight="1" x14ac:dyDescent="0.35">
      <c r="O831" s="1"/>
    </row>
    <row r="832" spans="15:15" ht="14.25" customHeight="1" x14ac:dyDescent="0.35">
      <c r="O832" s="1"/>
    </row>
    <row r="833" spans="15:15" ht="14.25" customHeight="1" x14ac:dyDescent="0.35">
      <c r="O833" s="1"/>
    </row>
    <row r="834" spans="15:15" ht="14.25" customHeight="1" x14ac:dyDescent="0.35">
      <c r="O834" s="1"/>
    </row>
    <row r="835" spans="15:15" ht="14.25" customHeight="1" x14ac:dyDescent="0.35">
      <c r="O835" s="1"/>
    </row>
    <row r="836" spans="15:15" ht="14.25" customHeight="1" x14ac:dyDescent="0.35">
      <c r="O836" s="1"/>
    </row>
    <row r="837" spans="15:15" ht="14.25" customHeight="1" x14ac:dyDescent="0.35">
      <c r="O837" s="1"/>
    </row>
    <row r="838" spans="15:15" ht="14.25" customHeight="1" x14ac:dyDescent="0.35">
      <c r="O838" s="1"/>
    </row>
    <row r="839" spans="15:15" ht="14.25" customHeight="1" x14ac:dyDescent="0.35">
      <c r="O839" s="1"/>
    </row>
    <row r="840" spans="15:15" ht="14.25" customHeight="1" x14ac:dyDescent="0.35">
      <c r="O840" s="1"/>
    </row>
    <row r="841" spans="15:15" ht="14.25" customHeight="1" x14ac:dyDescent="0.35">
      <c r="O841" s="1"/>
    </row>
    <row r="842" spans="15:15" ht="14.25" customHeight="1" x14ac:dyDescent="0.35">
      <c r="O842" s="1"/>
    </row>
    <row r="843" spans="15:15" ht="14.25" customHeight="1" x14ac:dyDescent="0.35">
      <c r="O843" s="1"/>
    </row>
    <row r="844" spans="15:15" ht="14.25" customHeight="1" x14ac:dyDescent="0.35">
      <c r="O844" s="1"/>
    </row>
    <row r="845" spans="15:15" ht="14.25" customHeight="1" x14ac:dyDescent="0.35">
      <c r="O845" s="1"/>
    </row>
    <row r="846" spans="15:15" ht="14.25" customHeight="1" x14ac:dyDescent="0.35">
      <c r="O846" s="1"/>
    </row>
    <row r="847" spans="15:15" ht="14.25" customHeight="1" x14ac:dyDescent="0.35">
      <c r="O847" s="1"/>
    </row>
    <row r="848" spans="15:15" ht="14.25" customHeight="1" x14ac:dyDescent="0.35">
      <c r="O848" s="1"/>
    </row>
    <row r="849" spans="15:15" ht="14.25" customHeight="1" x14ac:dyDescent="0.35">
      <c r="O849" s="1"/>
    </row>
    <row r="850" spans="15:15" ht="14.25" customHeight="1" x14ac:dyDescent="0.35">
      <c r="O850" s="1"/>
    </row>
    <row r="851" spans="15:15" ht="14.25" customHeight="1" x14ac:dyDescent="0.35">
      <c r="O851" s="1"/>
    </row>
    <row r="852" spans="15:15" ht="14.25" customHeight="1" x14ac:dyDescent="0.35">
      <c r="O852" s="1"/>
    </row>
    <row r="853" spans="15:15" ht="14.25" customHeight="1" x14ac:dyDescent="0.35">
      <c r="O853" s="1"/>
    </row>
    <row r="854" spans="15:15" ht="14.25" customHeight="1" x14ac:dyDescent="0.35">
      <c r="O854" s="1"/>
    </row>
    <row r="855" spans="15:15" ht="14.25" customHeight="1" x14ac:dyDescent="0.35">
      <c r="O855" s="1"/>
    </row>
    <row r="856" spans="15:15" ht="14.25" customHeight="1" x14ac:dyDescent="0.35">
      <c r="O856" s="1"/>
    </row>
    <row r="857" spans="15:15" ht="14.25" customHeight="1" x14ac:dyDescent="0.35">
      <c r="O857" s="1"/>
    </row>
    <row r="858" spans="15:15" ht="14.25" customHeight="1" x14ac:dyDescent="0.35">
      <c r="O858" s="1"/>
    </row>
    <row r="859" spans="15:15" ht="14.25" customHeight="1" x14ac:dyDescent="0.35">
      <c r="O859" s="1"/>
    </row>
    <row r="860" spans="15:15" ht="14.25" customHeight="1" x14ac:dyDescent="0.35">
      <c r="O860" s="1"/>
    </row>
    <row r="861" spans="15:15" ht="14.25" customHeight="1" x14ac:dyDescent="0.35">
      <c r="O861" s="1"/>
    </row>
    <row r="862" spans="15:15" ht="14.25" customHeight="1" x14ac:dyDescent="0.35">
      <c r="O862" s="1"/>
    </row>
    <row r="863" spans="15:15" ht="14.25" customHeight="1" x14ac:dyDescent="0.35">
      <c r="O863" s="1"/>
    </row>
    <row r="864" spans="15:15" ht="14.25" customHeight="1" x14ac:dyDescent="0.35">
      <c r="O864" s="1"/>
    </row>
    <row r="865" spans="15:15" ht="14.25" customHeight="1" x14ac:dyDescent="0.35">
      <c r="O865" s="1"/>
    </row>
    <row r="866" spans="15:15" ht="14.25" customHeight="1" x14ac:dyDescent="0.35">
      <c r="O866" s="1"/>
    </row>
    <row r="867" spans="15:15" ht="14.25" customHeight="1" x14ac:dyDescent="0.35">
      <c r="O867" s="1"/>
    </row>
    <row r="868" spans="15:15" ht="14.25" customHeight="1" x14ac:dyDescent="0.35">
      <c r="O868" s="1"/>
    </row>
    <row r="869" spans="15:15" ht="14.25" customHeight="1" x14ac:dyDescent="0.35">
      <c r="O869" s="1"/>
    </row>
    <row r="870" spans="15:15" ht="14.25" customHeight="1" x14ac:dyDescent="0.35">
      <c r="O870" s="1"/>
    </row>
    <row r="871" spans="15:15" ht="14.25" customHeight="1" x14ac:dyDescent="0.35">
      <c r="O871" s="1"/>
    </row>
    <row r="872" spans="15:15" ht="14.25" customHeight="1" x14ac:dyDescent="0.35">
      <c r="O872" s="1"/>
    </row>
    <row r="873" spans="15:15" ht="14.25" customHeight="1" x14ac:dyDescent="0.35">
      <c r="O873" s="1"/>
    </row>
    <row r="874" spans="15:15" ht="14.25" customHeight="1" x14ac:dyDescent="0.35">
      <c r="O874" s="1"/>
    </row>
    <row r="875" spans="15:15" ht="14.25" customHeight="1" x14ac:dyDescent="0.35">
      <c r="O875" s="1"/>
    </row>
    <row r="876" spans="15:15" ht="14.25" customHeight="1" x14ac:dyDescent="0.35">
      <c r="O876" s="1"/>
    </row>
    <row r="877" spans="15:15" ht="14.25" customHeight="1" x14ac:dyDescent="0.35">
      <c r="O877" s="1"/>
    </row>
    <row r="878" spans="15:15" ht="14.25" customHeight="1" x14ac:dyDescent="0.35">
      <c r="O878" s="1"/>
    </row>
    <row r="879" spans="15:15" ht="14.25" customHeight="1" x14ac:dyDescent="0.35">
      <c r="O879" s="1"/>
    </row>
    <row r="880" spans="15:15" ht="14.25" customHeight="1" x14ac:dyDescent="0.35">
      <c r="O880" s="1"/>
    </row>
    <row r="881" spans="15:15" ht="14.25" customHeight="1" x14ac:dyDescent="0.35">
      <c r="O881" s="1"/>
    </row>
    <row r="882" spans="15:15" ht="14.25" customHeight="1" x14ac:dyDescent="0.35">
      <c r="O882" s="1"/>
    </row>
    <row r="883" spans="15:15" ht="14.25" customHeight="1" x14ac:dyDescent="0.35">
      <c r="O883" s="1"/>
    </row>
    <row r="884" spans="15:15" ht="14.25" customHeight="1" x14ac:dyDescent="0.35">
      <c r="O884" s="1"/>
    </row>
    <row r="885" spans="15:15" ht="14.25" customHeight="1" x14ac:dyDescent="0.35">
      <c r="O885" s="1"/>
    </row>
    <row r="886" spans="15:15" ht="14.25" customHeight="1" x14ac:dyDescent="0.35">
      <c r="O886" s="1"/>
    </row>
    <row r="887" spans="15:15" ht="14.25" customHeight="1" x14ac:dyDescent="0.35">
      <c r="O887" s="1"/>
    </row>
    <row r="888" spans="15:15" ht="14.25" customHeight="1" x14ac:dyDescent="0.35">
      <c r="O888" s="1"/>
    </row>
    <row r="889" spans="15:15" ht="14.25" customHeight="1" x14ac:dyDescent="0.35">
      <c r="O889" s="1"/>
    </row>
    <row r="890" spans="15:15" ht="14.25" customHeight="1" x14ac:dyDescent="0.35">
      <c r="O890" s="1"/>
    </row>
    <row r="891" spans="15:15" ht="14.25" customHeight="1" x14ac:dyDescent="0.35">
      <c r="O891" s="1"/>
    </row>
    <row r="892" spans="15:15" ht="14.25" customHeight="1" x14ac:dyDescent="0.35">
      <c r="O892" s="1"/>
    </row>
    <row r="893" spans="15:15" ht="14.25" customHeight="1" x14ac:dyDescent="0.35">
      <c r="O893" s="1"/>
    </row>
    <row r="894" spans="15:15" ht="14.25" customHeight="1" x14ac:dyDescent="0.35">
      <c r="O894" s="1"/>
    </row>
    <row r="895" spans="15:15" ht="14.25" customHeight="1" x14ac:dyDescent="0.35">
      <c r="O895" s="1"/>
    </row>
    <row r="896" spans="15:15" ht="14.25" customHeight="1" x14ac:dyDescent="0.35">
      <c r="O896" s="1"/>
    </row>
    <row r="897" spans="15:15" ht="14.25" customHeight="1" x14ac:dyDescent="0.35">
      <c r="O897" s="1"/>
    </row>
    <row r="898" spans="15:15" ht="14.25" customHeight="1" x14ac:dyDescent="0.35">
      <c r="O898" s="1"/>
    </row>
    <row r="899" spans="15:15" ht="14.25" customHeight="1" x14ac:dyDescent="0.35">
      <c r="O899" s="1"/>
    </row>
    <row r="900" spans="15:15" ht="14.25" customHeight="1" x14ac:dyDescent="0.35">
      <c r="O900" s="1"/>
    </row>
    <row r="901" spans="15:15" ht="14.25" customHeight="1" x14ac:dyDescent="0.35">
      <c r="O901" s="1"/>
    </row>
    <row r="902" spans="15:15" ht="14.25" customHeight="1" x14ac:dyDescent="0.35">
      <c r="O902" s="1"/>
    </row>
    <row r="903" spans="15:15" ht="14.25" customHeight="1" x14ac:dyDescent="0.35">
      <c r="O903" s="1"/>
    </row>
    <row r="904" spans="15:15" ht="14.25" customHeight="1" x14ac:dyDescent="0.35">
      <c r="O904" s="1"/>
    </row>
    <row r="905" spans="15:15" ht="14.25" customHeight="1" x14ac:dyDescent="0.35">
      <c r="O905" s="1"/>
    </row>
    <row r="906" spans="15:15" ht="14.25" customHeight="1" x14ac:dyDescent="0.35">
      <c r="O906" s="1"/>
    </row>
    <row r="907" spans="15:15" ht="14.25" customHeight="1" x14ac:dyDescent="0.35">
      <c r="O907" s="1"/>
    </row>
    <row r="908" spans="15:15" ht="14.25" customHeight="1" x14ac:dyDescent="0.35">
      <c r="O908" s="1"/>
    </row>
    <row r="909" spans="15:15" ht="14.25" customHeight="1" x14ac:dyDescent="0.35">
      <c r="O909" s="1"/>
    </row>
    <row r="910" spans="15:15" ht="14.25" customHeight="1" x14ac:dyDescent="0.35">
      <c r="O910" s="1"/>
    </row>
    <row r="911" spans="15:15" ht="14.25" customHeight="1" x14ac:dyDescent="0.35">
      <c r="O911" s="1"/>
    </row>
    <row r="912" spans="15:15" ht="14.25" customHeight="1" x14ac:dyDescent="0.35">
      <c r="O912" s="1"/>
    </row>
    <row r="913" spans="15:15" ht="14.25" customHeight="1" x14ac:dyDescent="0.35">
      <c r="O913" s="1"/>
    </row>
    <row r="914" spans="15:15" ht="14.25" customHeight="1" x14ac:dyDescent="0.35">
      <c r="O914" s="1"/>
    </row>
    <row r="915" spans="15:15" ht="14.25" customHeight="1" x14ac:dyDescent="0.35">
      <c r="O915" s="1"/>
    </row>
    <row r="916" spans="15:15" ht="14.25" customHeight="1" x14ac:dyDescent="0.35">
      <c r="O916" s="1"/>
    </row>
    <row r="917" spans="15:15" ht="14.25" customHeight="1" x14ac:dyDescent="0.35">
      <c r="O917" s="1"/>
    </row>
    <row r="918" spans="15:15" ht="14.25" customHeight="1" x14ac:dyDescent="0.35">
      <c r="O918" s="1"/>
    </row>
    <row r="919" spans="15:15" ht="14.25" customHeight="1" x14ac:dyDescent="0.35">
      <c r="O919" s="1"/>
    </row>
    <row r="920" spans="15:15" ht="14.25" customHeight="1" x14ac:dyDescent="0.35">
      <c r="O920" s="1"/>
    </row>
    <row r="921" spans="15:15" ht="14.25" customHeight="1" x14ac:dyDescent="0.35">
      <c r="O921" s="1"/>
    </row>
    <row r="922" spans="15:15" ht="14.25" customHeight="1" x14ac:dyDescent="0.35">
      <c r="O922" s="1"/>
    </row>
    <row r="923" spans="15:15" ht="14.25" customHeight="1" x14ac:dyDescent="0.35">
      <c r="O923" s="1"/>
    </row>
    <row r="924" spans="15:15" ht="14.25" customHeight="1" x14ac:dyDescent="0.35">
      <c r="O924" s="1"/>
    </row>
    <row r="925" spans="15:15" ht="14.25" customHeight="1" x14ac:dyDescent="0.35">
      <c r="O925" s="1"/>
    </row>
    <row r="926" spans="15:15" ht="14.25" customHeight="1" x14ac:dyDescent="0.35">
      <c r="O926" s="1"/>
    </row>
    <row r="927" spans="15:15" ht="14.25" customHeight="1" x14ac:dyDescent="0.35">
      <c r="O927" s="1"/>
    </row>
    <row r="928" spans="15:15" ht="14.25" customHeight="1" x14ac:dyDescent="0.35">
      <c r="O928" s="1"/>
    </row>
    <row r="929" spans="15:15" ht="14.25" customHeight="1" x14ac:dyDescent="0.35">
      <c r="O929" s="1"/>
    </row>
    <row r="930" spans="15:15" ht="14.25" customHeight="1" x14ac:dyDescent="0.35">
      <c r="O930" s="1"/>
    </row>
    <row r="931" spans="15:15" ht="14.25" customHeight="1" x14ac:dyDescent="0.35">
      <c r="O931" s="1"/>
    </row>
    <row r="932" spans="15:15" ht="14.25" customHeight="1" x14ac:dyDescent="0.35">
      <c r="O932" s="1"/>
    </row>
    <row r="933" spans="15:15" ht="14.25" customHeight="1" x14ac:dyDescent="0.35">
      <c r="O933" s="1"/>
    </row>
    <row r="934" spans="15:15" ht="14.25" customHeight="1" x14ac:dyDescent="0.35">
      <c r="O934" s="1"/>
    </row>
    <row r="935" spans="15:15" ht="14.25" customHeight="1" x14ac:dyDescent="0.35">
      <c r="O935" s="1"/>
    </row>
    <row r="936" spans="15:15" ht="14.25" customHeight="1" x14ac:dyDescent="0.35">
      <c r="O936" s="1"/>
    </row>
    <row r="937" spans="15:15" ht="14.25" customHeight="1" x14ac:dyDescent="0.35">
      <c r="O937" s="1"/>
    </row>
    <row r="938" spans="15:15" ht="14.25" customHeight="1" x14ac:dyDescent="0.35">
      <c r="O938" s="1"/>
    </row>
    <row r="939" spans="15:15" ht="14.25" customHeight="1" x14ac:dyDescent="0.35">
      <c r="O939" s="1"/>
    </row>
    <row r="940" spans="15:15" ht="14.25" customHeight="1" x14ac:dyDescent="0.35">
      <c r="O940" s="1"/>
    </row>
    <row r="941" spans="15:15" ht="14.25" customHeight="1" x14ac:dyDescent="0.35">
      <c r="O941" s="1"/>
    </row>
    <row r="942" spans="15:15" ht="14.25" customHeight="1" x14ac:dyDescent="0.35">
      <c r="O942" s="1"/>
    </row>
    <row r="943" spans="15:15" ht="14.25" customHeight="1" x14ac:dyDescent="0.35">
      <c r="O943" s="1"/>
    </row>
    <row r="944" spans="15:15" ht="14.25" customHeight="1" x14ac:dyDescent="0.35">
      <c r="O944" s="1"/>
    </row>
    <row r="945" spans="15:15" ht="14.25" customHeight="1" x14ac:dyDescent="0.35">
      <c r="O945" s="1"/>
    </row>
    <row r="946" spans="15:15" ht="14.25" customHeight="1" x14ac:dyDescent="0.35">
      <c r="O946" s="1"/>
    </row>
    <row r="947" spans="15:15" ht="14.25" customHeight="1" x14ac:dyDescent="0.35">
      <c r="O947" s="1"/>
    </row>
    <row r="948" spans="15:15" ht="14.25" customHeight="1" x14ac:dyDescent="0.35">
      <c r="O948" s="1"/>
    </row>
    <row r="949" spans="15:15" ht="14.25" customHeight="1" x14ac:dyDescent="0.35">
      <c r="O949" s="1"/>
    </row>
    <row r="950" spans="15:15" ht="14.25" customHeight="1" x14ac:dyDescent="0.35">
      <c r="O950" s="1"/>
    </row>
    <row r="951" spans="15:15" ht="14.25" customHeight="1" x14ac:dyDescent="0.35">
      <c r="O951" s="1"/>
    </row>
    <row r="952" spans="15:15" ht="14.25" customHeight="1" x14ac:dyDescent="0.35">
      <c r="O952" s="1"/>
    </row>
    <row r="953" spans="15:15" ht="14.25" customHeight="1" x14ac:dyDescent="0.35">
      <c r="O953" s="1"/>
    </row>
    <row r="954" spans="15:15" ht="14.25" customHeight="1" x14ac:dyDescent="0.35">
      <c r="O954" s="1"/>
    </row>
    <row r="955" spans="15:15" ht="14.25" customHeight="1" x14ac:dyDescent="0.35">
      <c r="O955" s="1"/>
    </row>
    <row r="956" spans="15:15" ht="14.25" customHeight="1" x14ac:dyDescent="0.35">
      <c r="O956" s="1"/>
    </row>
    <row r="957" spans="15:15" ht="14.25" customHeight="1" x14ac:dyDescent="0.35">
      <c r="O957" s="1"/>
    </row>
    <row r="958" spans="15:15" ht="14.25" customHeight="1" x14ac:dyDescent="0.35">
      <c r="O958" s="1"/>
    </row>
    <row r="959" spans="15:15" ht="14.25" customHeight="1" x14ac:dyDescent="0.35">
      <c r="O959" s="1"/>
    </row>
    <row r="960" spans="15:15" ht="14.25" customHeight="1" x14ac:dyDescent="0.35">
      <c r="O960" s="1"/>
    </row>
    <row r="961" spans="15:15" ht="14.25" customHeight="1" x14ac:dyDescent="0.35">
      <c r="O961" s="1"/>
    </row>
    <row r="962" spans="15:15" ht="14.25" customHeight="1" x14ac:dyDescent="0.35">
      <c r="O962" s="1"/>
    </row>
    <row r="963" spans="15:15" ht="14.25" customHeight="1" x14ac:dyDescent="0.35">
      <c r="O963" s="1"/>
    </row>
    <row r="964" spans="15:15" ht="14.25" customHeight="1" x14ac:dyDescent="0.35">
      <c r="O964" s="1"/>
    </row>
    <row r="965" spans="15:15" ht="14.25" customHeight="1" x14ac:dyDescent="0.35">
      <c r="O965" s="1"/>
    </row>
    <row r="966" spans="15:15" ht="14.25" customHeight="1" x14ac:dyDescent="0.35">
      <c r="O966" s="1"/>
    </row>
    <row r="967" spans="15:15" ht="14.25" customHeight="1" x14ac:dyDescent="0.35">
      <c r="O967" s="1"/>
    </row>
    <row r="968" spans="15:15" ht="14.25" customHeight="1" x14ac:dyDescent="0.35">
      <c r="O968" s="1"/>
    </row>
    <row r="969" spans="15:15" ht="14.25" customHeight="1" x14ac:dyDescent="0.35">
      <c r="O969" s="1"/>
    </row>
    <row r="970" spans="15:15" ht="14.25" customHeight="1" x14ac:dyDescent="0.35">
      <c r="O970" s="1"/>
    </row>
    <row r="971" spans="15:15" ht="14.25" customHeight="1" x14ac:dyDescent="0.35">
      <c r="O971" s="1"/>
    </row>
    <row r="972" spans="15:15" ht="14.25" customHeight="1" x14ac:dyDescent="0.35">
      <c r="O972" s="1"/>
    </row>
    <row r="973" spans="15:15" ht="14.25" customHeight="1" x14ac:dyDescent="0.35">
      <c r="O973" s="1"/>
    </row>
    <row r="974" spans="15:15" ht="14.25" customHeight="1" x14ac:dyDescent="0.35">
      <c r="O974" s="1"/>
    </row>
    <row r="975" spans="15:15" ht="14.25" customHeight="1" x14ac:dyDescent="0.35">
      <c r="O975" s="1"/>
    </row>
    <row r="976" spans="15:15" ht="14.25" customHeight="1" x14ac:dyDescent="0.35">
      <c r="O976" s="1"/>
    </row>
    <row r="977" spans="15:15" ht="14.25" customHeight="1" x14ac:dyDescent="0.35">
      <c r="O977" s="1"/>
    </row>
    <row r="978" spans="15:15" ht="14.25" customHeight="1" x14ac:dyDescent="0.35">
      <c r="O978" s="1"/>
    </row>
    <row r="979" spans="15:15" ht="14.25" customHeight="1" x14ac:dyDescent="0.35">
      <c r="O979" s="1"/>
    </row>
    <row r="980" spans="15:15" ht="14.25" customHeight="1" x14ac:dyDescent="0.35">
      <c r="O980" s="1"/>
    </row>
    <row r="981" spans="15:15" ht="14.25" customHeight="1" x14ac:dyDescent="0.35">
      <c r="O981" s="1"/>
    </row>
    <row r="982" spans="15:15" ht="14.25" customHeight="1" x14ac:dyDescent="0.35">
      <c r="O982" s="1"/>
    </row>
    <row r="983" spans="15:15" ht="14.25" customHeight="1" x14ac:dyDescent="0.35">
      <c r="O983" s="1"/>
    </row>
    <row r="984" spans="15:15" ht="14.25" customHeight="1" x14ac:dyDescent="0.35">
      <c r="O984" s="1"/>
    </row>
    <row r="985" spans="15:15" ht="14.25" customHeight="1" x14ac:dyDescent="0.35">
      <c r="O985" s="1"/>
    </row>
    <row r="986" spans="15:15" ht="14.25" customHeight="1" x14ac:dyDescent="0.35">
      <c r="O986" s="1"/>
    </row>
    <row r="987" spans="15:15" ht="14.25" customHeight="1" x14ac:dyDescent="0.35">
      <c r="O987" s="1"/>
    </row>
    <row r="988" spans="15:15" ht="14.25" customHeight="1" x14ac:dyDescent="0.35">
      <c r="O988" s="1"/>
    </row>
    <row r="989" spans="15:15" ht="14.25" customHeight="1" x14ac:dyDescent="0.35">
      <c r="O989" s="1"/>
    </row>
    <row r="990" spans="15:15" ht="14.25" customHeight="1" x14ac:dyDescent="0.35">
      <c r="O990" s="1"/>
    </row>
    <row r="991" spans="15:15" ht="14.25" customHeight="1" x14ac:dyDescent="0.35">
      <c r="O991" s="1"/>
    </row>
    <row r="992" spans="15:15" ht="14.25" customHeight="1" x14ac:dyDescent="0.35">
      <c r="O992" s="1"/>
    </row>
    <row r="993" spans="15:15" ht="14.25" customHeight="1" x14ac:dyDescent="0.35">
      <c r="O993" s="1"/>
    </row>
    <row r="994" spans="15:15" ht="14.25" customHeight="1" x14ac:dyDescent="0.35">
      <c r="O994" s="1"/>
    </row>
    <row r="995" spans="15:15" ht="14.25" customHeight="1" x14ac:dyDescent="0.35">
      <c r="O995" s="1"/>
    </row>
    <row r="996" spans="15:15" ht="14.25" customHeight="1" x14ac:dyDescent="0.35">
      <c r="O996" s="1"/>
    </row>
    <row r="997" spans="15:15" ht="14.25" customHeight="1" x14ac:dyDescent="0.35">
      <c r="O997" s="1"/>
    </row>
    <row r="998" spans="15:15" ht="14.25" customHeight="1" x14ac:dyDescent="0.35">
      <c r="O998" s="1"/>
    </row>
    <row r="999" spans="15:15" ht="14.25" customHeight="1" x14ac:dyDescent="0.35">
      <c r="O999" s="1"/>
    </row>
    <row r="1000" spans="15:15" ht="14.25" customHeight="1" x14ac:dyDescent="0.35">
      <c r="O1000" s="1"/>
    </row>
  </sheetData>
  <mergeCells count="16">
    <mergeCell ref="B7:C7"/>
    <mergeCell ref="B2:C2"/>
    <mergeCell ref="B3:C3"/>
    <mergeCell ref="B4:C4"/>
    <mergeCell ref="B5:C5"/>
    <mergeCell ref="B6:C6"/>
    <mergeCell ref="B21:B23"/>
    <mergeCell ref="B24:B25"/>
    <mergeCell ref="B8:C8"/>
    <mergeCell ref="I8:J8"/>
    <mergeCell ref="B9:C9"/>
    <mergeCell ref="I9:J9"/>
    <mergeCell ref="F11:K11"/>
    <mergeCell ref="B13:B20"/>
    <mergeCell ref="C13:C16"/>
    <mergeCell ref="C17:C1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A19B-D2A9-4A53-B279-78B813097EF1}">
  <dimension ref="A1:D6"/>
  <sheetViews>
    <sheetView workbookViewId="0">
      <selection activeCell="E7" sqref="E7"/>
    </sheetView>
  </sheetViews>
  <sheetFormatPr defaultRowHeight="14.5" x14ac:dyDescent="0.35"/>
  <cols>
    <col min="1" max="1" width="21.453125" bestFit="1" customWidth="1"/>
  </cols>
  <sheetData>
    <row r="1" spans="1:4" x14ac:dyDescent="0.35">
      <c r="A1" s="69" t="s">
        <v>40</v>
      </c>
      <c r="B1" s="69" t="s">
        <v>50</v>
      </c>
      <c r="C1" s="69" t="s">
        <v>44</v>
      </c>
      <c r="D1" s="69" t="s">
        <v>43</v>
      </c>
    </row>
    <row r="2" spans="1:4" x14ac:dyDescent="0.35">
      <c r="A2" t="s">
        <v>48</v>
      </c>
      <c r="B2">
        <v>4</v>
      </c>
      <c r="C2" t="e">
        <f>VLOOKUP(A2,#REF!,2,0)</f>
        <v>#REF!</v>
      </c>
      <c r="D2" t="e">
        <f>B2*C2</f>
        <v>#REF!</v>
      </c>
    </row>
    <row r="3" spans="1:4" x14ac:dyDescent="0.35">
      <c r="A3" t="s">
        <v>51</v>
      </c>
      <c r="B3">
        <v>1</v>
      </c>
      <c r="C3" t="e">
        <f>VLOOKUP(A3,#REF!,2,0)</f>
        <v>#REF!</v>
      </c>
      <c r="D3" t="e">
        <f t="shared" ref="D3:D5" si="0">B3*C3</f>
        <v>#REF!</v>
      </c>
    </row>
    <row r="4" spans="1:4" x14ac:dyDescent="0.35">
      <c r="A4" t="s">
        <v>49</v>
      </c>
      <c r="B4">
        <v>1</v>
      </c>
      <c r="C4" t="e">
        <f>VLOOKUP(A4,#REF!,2,0)</f>
        <v>#REF!</v>
      </c>
      <c r="D4" t="e">
        <f t="shared" si="0"/>
        <v>#REF!</v>
      </c>
    </row>
    <row r="5" spans="1:4" x14ac:dyDescent="0.35">
      <c r="A5" t="s">
        <v>52</v>
      </c>
      <c r="B5">
        <v>2</v>
      </c>
      <c r="C5" t="e">
        <f>VLOOKUP(A5,#REF!,2,0)</f>
        <v>#REF!</v>
      </c>
      <c r="D5" t="e">
        <f t="shared" si="0"/>
        <v>#REF!</v>
      </c>
    </row>
    <row r="6" spans="1:4" x14ac:dyDescent="0.35">
      <c r="D6" t="e">
        <f>SUM(D2:D5)</f>
        <v>#REF!</v>
      </c>
    </row>
  </sheetData>
  <dataValidations count="1">
    <dataValidation type="list" allowBlank="1" showInputMessage="1" showErrorMessage="1" sqref="A2:A7" xr:uid="{29E8B7D9-503E-4804-B6DB-65C47ECADD83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C836-4D2C-478F-9AEA-1FE1B5FDC514}">
  <sheetPr>
    <outlinePr summaryBelow="0" summaryRight="0"/>
  </sheetPr>
  <dimension ref="A1:V1002"/>
  <sheetViews>
    <sheetView topLeftCell="J4" workbookViewId="0">
      <selection activeCell="S7" sqref="S7"/>
    </sheetView>
  </sheetViews>
  <sheetFormatPr defaultColWidth="14.453125" defaultRowHeight="15" customHeight="1" x14ac:dyDescent="0.35"/>
  <cols>
    <col min="2" max="2" width="56" customWidth="1"/>
    <col min="3" max="3" width="12.7265625" customWidth="1"/>
    <col min="4" max="4" width="23" customWidth="1"/>
    <col min="5" max="5" width="18.26953125" customWidth="1"/>
    <col min="6" max="6" width="13.81640625" customWidth="1"/>
    <col min="7" max="7" width="13.7265625" customWidth="1"/>
    <col min="8" max="8" width="11.26953125" customWidth="1"/>
    <col min="9" max="9" width="19" customWidth="1"/>
    <col min="10" max="10" width="8.7265625" customWidth="1"/>
    <col min="12" max="12" width="34.54296875" hidden="1" customWidth="1"/>
    <col min="14" max="14" width="51.26953125" customWidth="1"/>
    <col min="15" max="15" width="12.81640625" customWidth="1"/>
    <col min="16" max="16" width="13.54296875" customWidth="1"/>
    <col min="17" max="18" width="13.81640625" customWidth="1"/>
    <col min="19" max="19" width="13.7265625" customWidth="1"/>
    <col min="20" max="20" width="11.26953125" customWidth="1"/>
    <col min="21" max="21" width="10" customWidth="1"/>
    <col min="22" max="22" width="6.08984375" customWidth="1"/>
  </cols>
  <sheetData>
    <row r="1" spans="1:22" ht="14.5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21" x14ac:dyDescent="0.5">
      <c r="A2" s="11"/>
      <c r="B2" s="203" t="s">
        <v>53</v>
      </c>
      <c r="C2" s="202"/>
      <c r="D2" s="202"/>
      <c r="E2" s="202"/>
      <c r="F2" s="202"/>
      <c r="G2" s="186"/>
      <c r="H2" s="11"/>
      <c r="I2" s="11"/>
      <c r="J2" s="11"/>
      <c r="K2" s="11"/>
      <c r="L2" s="76" t="s">
        <v>54</v>
      </c>
      <c r="M2" s="11"/>
      <c r="N2" s="203" t="s">
        <v>55</v>
      </c>
      <c r="O2" s="202"/>
      <c r="P2" s="202"/>
      <c r="Q2" s="202"/>
      <c r="R2" s="202"/>
      <c r="S2" s="186"/>
      <c r="T2" s="11"/>
      <c r="U2" s="11"/>
      <c r="V2" s="11"/>
    </row>
    <row r="3" spans="1:22" ht="21" x14ac:dyDescent="0.5">
      <c r="A3" s="11"/>
      <c r="B3" s="203" t="s">
        <v>56</v>
      </c>
      <c r="C3" s="202"/>
      <c r="D3" s="202"/>
      <c r="E3" s="202"/>
      <c r="F3" s="202"/>
      <c r="G3" s="186"/>
      <c r="H3" s="11"/>
      <c r="I3" s="11"/>
      <c r="J3" s="11"/>
      <c r="K3" s="11"/>
      <c r="L3" s="75" t="s">
        <v>57</v>
      </c>
      <c r="M3" s="11"/>
      <c r="N3" s="203" t="s">
        <v>138</v>
      </c>
      <c r="O3" s="202"/>
      <c r="P3" s="202"/>
      <c r="Q3" s="202"/>
      <c r="R3" s="202"/>
      <c r="S3" s="202"/>
      <c r="T3" s="11"/>
      <c r="U3" s="11"/>
      <c r="V3" s="11"/>
    </row>
    <row r="4" spans="1:22" ht="15.5" x14ac:dyDescent="0.35">
      <c r="A4" s="11"/>
      <c r="B4" s="201" t="s">
        <v>58</v>
      </c>
      <c r="C4" s="202"/>
      <c r="D4" s="202"/>
      <c r="E4" s="202"/>
      <c r="F4" s="202"/>
      <c r="G4" s="186"/>
      <c r="H4" s="11"/>
      <c r="I4" s="11"/>
      <c r="J4" s="11"/>
      <c r="K4" s="11"/>
      <c r="L4" s="77" t="s">
        <v>59</v>
      </c>
      <c r="M4" s="11"/>
      <c r="N4" s="201" t="s">
        <v>60</v>
      </c>
      <c r="O4" s="202"/>
      <c r="P4" s="202"/>
      <c r="Q4" s="202"/>
      <c r="R4" s="202"/>
      <c r="S4" s="186"/>
      <c r="T4" s="11"/>
      <c r="U4" s="11"/>
      <c r="V4" s="11"/>
    </row>
    <row r="5" spans="1:22" ht="46.5" x14ac:dyDescent="0.35">
      <c r="A5" s="11"/>
      <c r="B5" s="78" t="s">
        <v>61</v>
      </c>
      <c r="C5" s="79" t="s">
        <v>62</v>
      </c>
      <c r="D5" s="79" t="s">
        <v>63</v>
      </c>
      <c r="E5" s="79" t="s">
        <v>64</v>
      </c>
      <c r="F5" s="79" t="s">
        <v>65</v>
      </c>
      <c r="G5" s="79" t="s">
        <v>43</v>
      </c>
      <c r="H5" s="11"/>
      <c r="I5" s="11"/>
      <c r="J5" s="11"/>
      <c r="K5" s="11"/>
      <c r="L5" s="80" t="s">
        <v>61</v>
      </c>
      <c r="M5" s="11"/>
      <c r="N5" s="81" t="s">
        <v>61</v>
      </c>
      <c r="O5" s="81" t="s">
        <v>62</v>
      </c>
      <c r="P5" s="81" t="s">
        <v>63</v>
      </c>
      <c r="Q5" s="81" t="s">
        <v>64</v>
      </c>
      <c r="R5" s="81" t="s">
        <v>65</v>
      </c>
      <c r="S5" s="81" t="s">
        <v>43</v>
      </c>
      <c r="T5" s="11"/>
      <c r="U5" s="11"/>
      <c r="V5" s="11"/>
    </row>
    <row r="6" spans="1:22" ht="15.5" x14ac:dyDescent="0.35">
      <c r="A6" s="11"/>
      <c r="B6" s="82" t="s">
        <v>66</v>
      </c>
      <c r="C6" s="83"/>
      <c r="D6" s="83"/>
      <c r="E6" s="84"/>
      <c r="F6" s="83"/>
      <c r="G6" s="84"/>
      <c r="H6" s="11"/>
      <c r="I6" s="11"/>
      <c r="J6" s="11"/>
      <c r="K6" s="11"/>
      <c r="L6" s="82"/>
      <c r="M6" s="11"/>
      <c r="N6" s="82" t="s">
        <v>67</v>
      </c>
      <c r="O6" s="83">
        <v>0</v>
      </c>
      <c r="P6" s="83">
        <v>1</v>
      </c>
      <c r="Q6" s="84">
        <v>50000</v>
      </c>
      <c r="R6" s="83">
        <v>33</v>
      </c>
      <c r="S6" s="84">
        <v>0</v>
      </c>
      <c r="T6" s="11"/>
      <c r="U6" s="11"/>
      <c r="V6" s="11"/>
    </row>
    <row r="7" spans="1:22" ht="15.5" x14ac:dyDescent="0.35">
      <c r="A7" s="11"/>
      <c r="B7" s="82" t="s">
        <v>68</v>
      </c>
      <c r="C7" s="83"/>
      <c r="D7" s="83"/>
      <c r="E7" s="84"/>
      <c r="F7" s="83"/>
      <c r="G7" s="84"/>
      <c r="H7" s="11"/>
      <c r="I7" s="11"/>
      <c r="J7" s="11"/>
      <c r="K7" s="11"/>
      <c r="L7" s="82" t="s">
        <v>66</v>
      </c>
      <c r="M7" s="11"/>
      <c r="N7" s="82" t="s">
        <v>69</v>
      </c>
      <c r="O7" s="83">
        <v>1</v>
      </c>
      <c r="P7" s="83">
        <v>1</v>
      </c>
      <c r="Q7" s="84">
        <v>30000</v>
      </c>
      <c r="R7" s="83">
        <v>33</v>
      </c>
      <c r="S7" s="84">
        <f>Q7*R7</f>
        <v>990000</v>
      </c>
      <c r="T7" s="11"/>
      <c r="U7" s="11"/>
      <c r="V7" s="11"/>
    </row>
    <row r="8" spans="1:22" ht="15.5" x14ac:dyDescent="0.35">
      <c r="A8" s="11"/>
      <c r="B8" s="82" t="s">
        <v>70</v>
      </c>
      <c r="C8" s="83"/>
      <c r="D8" s="83"/>
      <c r="E8" s="84"/>
      <c r="F8" s="83"/>
      <c r="G8" s="84"/>
      <c r="H8" s="11"/>
      <c r="I8" s="11"/>
      <c r="J8" s="11"/>
      <c r="K8" s="11"/>
      <c r="L8" s="82" t="s">
        <v>68</v>
      </c>
      <c r="M8" s="11"/>
      <c r="N8" s="85"/>
      <c r="O8" s="86"/>
      <c r="P8" s="85"/>
      <c r="Q8" s="85"/>
      <c r="R8" s="87"/>
      <c r="S8" s="88">
        <f>SUM(S6:S7)</f>
        <v>990000</v>
      </c>
      <c r="T8" s="11"/>
      <c r="U8" s="11"/>
      <c r="V8" s="11"/>
    </row>
    <row r="9" spans="1:22" ht="15.5" x14ac:dyDescent="0.35">
      <c r="A9" s="11"/>
      <c r="B9" s="85"/>
      <c r="C9" s="89"/>
      <c r="D9" s="85"/>
      <c r="E9" s="85"/>
      <c r="F9" s="87"/>
      <c r="G9" s="88"/>
      <c r="H9" s="11"/>
      <c r="I9" s="11"/>
      <c r="J9" s="11"/>
      <c r="K9" s="11"/>
      <c r="L9" s="82"/>
      <c r="M9" s="11"/>
      <c r="T9" s="11"/>
      <c r="U9" s="11"/>
      <c r="V9" s="11"/>
    </row>
    <row r="10" spans="1:22" ht="15.5" x14ac:dyDescent="0.35">
      <c r="A10" s="11"/>
      <c r="H10" s="11"/>
      <c r="I10" s="11"/>
      <c r="J10" s="11"/>
      <c r="K10" s="11"/>
      <c r="L10" s="82" t="s">
        <v>71</v>
      </c>
      <c r="M10" s="11"/>
      <c r="T10" s="11"/>
      <c r="U10" s="11"/>
      <c r="V10" s="11"/>
    </row>
    <row r="11" spans="1:22" ht="14.5" x14ac:dyDescent="0.35">
      <c r="A11" s="11"/>
      <c r="H11" s="11"/>
      <c r="I11" s="11"/>
      <c r="J11" s="11"/>
      <c r="K11" s="11"/>
      <c r="L11" s="85"/>
      <c r="M11" s="11"/>
      <c r="T11" s="11"/>
      <c r="U11" s="11"/>
      <c r="V11" s="11"/>
    </row>
    <row r="12" spans="1:22" ht="14.5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4.5" hidden="1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4.5" hidden="1" x14ac:dyDescent="0.35">
      <c r="A14" s="11"/>
      <c r="B14" s="90" t="s">
        <v>72</v>
      </c>
      <c r="C14" s="90" t="s">
        <v>73</v>
      </c>
      <c r="D14" s="90" t="s">
        <v>74</v>
      </c>
      <c r="E14" s="90" t="s">
        <v>75</v>
      </c>
      <c r="F14" s="11"/>
      <c r="G14" s="11"/>
      <c r="H14" s="11"/>
      <c r="I14" s="90" t="s">
        <v>76</v>
      </c>
      <c r="J14" s="90" t="s">
        <v>73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4.5" hidden="1" x14ac:dyDescent="0.35">
      <c r="A15" s="11"/>
      <c r="B15" s="85" t="s">
        <v>77</v>
      </c>
      <c r="C15" s="91" t="e">
        <f>SUM(#REF!)</f>
        <v>#REF!</v>
      </c>
      <c r="D15" s="91">
        <v>6</v>
      </c>
      <c r="E15" s="91" t="e">
        <f t="shared" ref="E15:E17" si="0">ROUND(C15/D15,0)</f>
        <v>#REF!</v>
      </c>
      <c r="F15" s="11"/>
      <c r="G15" s="11"/>
      <c r="H15" s="11"/>
      <c r="I15" s="85" t="s">
        <v>77</v>
      </c>
      <c r="J15" s="91" t="e">
        <f>SUM(#REF!)</f>
        <v>#REF!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4.5" hidden="1" x14ac:dyDescent="0.35">
      <c r="A16" s="11"/>
      <c r="B16" s="85" t="s">
        <v>78</v>
      </c>
      <c r="C16" s="91" t="e">
        <f>SUM(#REF!)</f>
        <v>#REF!</v>
      </c>
      <c r="D16" s="91">
        <v>7</v>
      </c>
      <c r="E16" s="91" t="e">
        <f t="shared" si="0"/>
        <v>#REF!</v>
      </c>
      <c r="F16" s="11"/>
      <c r="G16" s="11"/>
      <c r="H16" s="11"/>
      <c r="I16" s="85" t="s">
        <v>78</v>
      </c>
      <c r="J16" s="91" t="e">
        <f>SUM(#REF!)</f>
        <v>#REF!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4.5" hidden="1" x14ac:dyDescent="0.35">
      <c r="A17" s="11"/>
      <c r="B17" s="85" t="s">
        <v>79</v>
      </c>
      <c r="C17" s="92" t="e">
        <f>SUM(#REF!)</f>
        <v>#REF!</v>
      </c>
      <c r="D17" s="93">
        <v>120</v>
      </c>
      <c r="E17" s="94" t="e">
        <f t="shared" si="0"/>
        <v>#REF!</v>
      </c>
      <c r="F17" s="11"/>
      <c r="G17" s="11"/>
      <c r="H17" s="11"/>
      <c r="I17" s="85" t="s">
        <v>79</v>
      </c>
      <c r="J17" s="92" t="e">
        <f>SUM(#REF!)</f>
        <v>#REF!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4.5" hidden="1" x14ac:dyDescent="0.35">
      <c r="A18" s="11"/>
      <c r="B18" s="11"/>
      <c r="C18" s="11"/>
      <c r="D18" s="91" t="s">
        <v>80</v>
      </c>
      <c r="E18" s="95" t="e">
        <f>SUM(E15:E17)</f>
        <v>#REF!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4.5" hidden="1" x14ac:dyDescent="0.35">
      <c r="A19" s="11"/>
      <c r="B19" s="11"/>
      <c r="C19" s="11"/>
      <c r="D19" s="91" t="s">
        <v>81</v>
      </c>
      <c r="E19" s="86" t="e">
        <f>ROUND(E18/8,0)</f>
        <v>#REF!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4.5" hidden="1" x14ac:dyDescent="0.35">
      <c r="A20" s="11"/>
      <c r="B20" s="11"/>
      <c r="C20" s="11"/>
      <c r="D20" s="96" t="s">
        <v>43</v>
      </c>
      <c r="E20" s="97" t="e">
        <f>E18+E19</f>
        <v>#REF!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4.5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52"/>
      <c r="T21" s="11"/>
      <c r="U21" s="11"/>
      <c r="V21" s="11"/>
    </row>
    <row r="22" spans="1:22" ht="15.5" x14ac:dyDescent="0.35">
      <c r="A22" s="11"/>
      <c r="B22" s="201" t="s">
        <v>82</v>
      </c>
      <c r="C22" s="202"/>
      <c r="D22" s="202"/>
      <c r="E22" s="202"/>
      <c r="F22" s="202"/>
      <c r="G22" s="202"/>
      <c r="H22" s="202"/>
      <c r="I22" s="186"/>
      <c r="J22" s="11"/>
      <c r="K22" s="11"/>
      <c r="L22" s="77" t="s">
        <v>83</v>
      </c>
      <c r="M22" s="11"/>
      <c r="N22" s="201" t="s">
        <v>84</v>
      </c>
      <c r="O22" s="202"/>
      <c r="P22" s="202"/>
      <c r="Q22" s="202"/>
      <c r="R22" s="202"/>
      <c r="S22" s="202"/>
      <c r="T22" s="202"/>
      <c r="U22" s="186"/>
      <c r="V22" s="98"/>
    </row>
    <row r="23" spans="1:22" ht="31" x14ac:dyDescent="0.35">
      <c r="A23" s="11"/>
      <c r="B23" s="99" t="s">
        <v>61</v>
      </c>
      <c r="C23" s="81" t="s">
        <v>73</v>
      </c>
      <c r="D23" s="81" t="s">
        <v>85</v>
      </c>
      <c r="E23" s="81" t="s">
        <v>86</v>
      </c>
      <c r="F23" s="81" t="s">
        <v>87</v>
      </c>
      <c r="G23" s="81" t="s">
        <v>88</v>
      </c>
      <c r="H23" s="81" t="s">
        <v>89</v>
      </c>
      <c r="I23" s="81" t="s">
        <v>43</v>
      </c>
      <c r="J23" s="11"/>
      <c r="K23" s="11"/>
      <c r="L23" s="80" t="s">
        <v>61</v>
      </c>
      <c r="M23" s="11"/>
      <c r="N23" s="99" t="s">
        <v>61</v>
      </c>
      <c r="O23" s="81" t="s">
        <v>12</v>
      </c>
      <c r="P23" s="81" t="s">
        <v>85</v>
      </c>
      <c r="Q23" s="81" t="s">
        <v>86</v>
      </c>
      <c r="R23" s="81" t="s">
        <v>87</v>
      </c>
      <c r="S23" s="81" t="s">
        <v>88</v>
      </c>
      <c r="T23" s="81" t="s">
        <v>90</v>
      </c>
      <c r="U23" s="81" t="s">
        <v>43</v>
      </c>
      <c r="V23" s="100"/>
    </row>
    <row r="24" spans="1:22" ht="15.5" x14ac:dyDescent="0.35">
      <c r="A24" s="11"/>
      <c r="B24" s="82" t="s">
        <v>91</v>
      </c>
      <c r="C24" s="83"/>
      <c r="D24" s="101"/>
      <c r="E24" s="101"/>
      <c r="F24" s="101"/>
      <c r="G24" s="83"/>
      <c r="H24" s="83"/>
      <c r="I24" s="84"/>
      <c r="J24" s="11"/>
      <c r="K24" s="11"/>
      <c r="L24" s="82" t="s">
        <v>92</v>
      </c>
      <c r="M24" s="11"/>
      <c r="N24" s="82" t="s">
        <v>93</v>
      </c>
      <c r="O24" s="82" t="s">
        <v>32</v>
      </c>
      <c r="P24" s="101">
        <v>1500</v>
      </c>
      <c r="Q24" s="101">
        <v>20000</v>
      </c>
      <c r="R24" s="101">
        <v>4500</v>
      </c>
      <c r="S24" s="83">
        <v>2</v>
      </c>
      <c r="T24" s="83">
        <v>1</v>
      </c>
      <c r="U24" s="84">
        <f>(P24*S24*T24)+(Q24*T24)+(R24*S24*T24)</f>
        <v>32000</v>
      </c>
      <c r="V24" s="102"/>
    </row>
    <row r="25" spans="1:22" ht="15.5" x14ac:dyDescent="0.35">
      <c r="A25" s="11"/>
      <c r="B25" s="82" t="s">
        <v>68</v>
      </c>
      <c r="C25" s="83"/>
      <c r="D25" s="101"/>
      <c r="E25" s="101"/>
      <c r="F25" s="103"/>
      <c r="G25" s="92"/>
      <c r="H25" s="83"/>
      <c r="I25" s="84"/>
      <c r="J25" s="11"/>
      <c r="K25" s="11"/>
      <c r="L25" s="82" t="s">
        <v>94</v>
      </c>
      <c r="M25" s="11"/>
      <c r="N25" s="82" t="s">
        <v>139</v>
      </c>
      <c r="O25" s="82" t="s">
        <v>32</v>
      </c>
      <c r="P25" s="101">
        <v>1500</v>
      </c>
      <c r="Q25" s="101">
        <v>20000</v>
      </c>
      <c r="R25" s="101">
        <v>4500</v>
      </c>
      <c r="S25" s="83">
        <v>2</v>
      </c>
      <c r="T25" s="83">
        <v>2</v>
      </c>
      <c r="U25" s="84">
        <f>(T25*S25*P25)+(Q25*T25)+(R25*S25*T25)</f>
        <v>64000</v>
      </c>
      <c r="V25" s="102"/>
    </row>
    <row r="26" spans="1:22" ht="15.5" x14ac:dyDescent="0.35">
      <c r="A26" s="11"/>
      <c r="B26" s="82" t="s">
        <v>70</v>
      </c>
      <c r="C26" s="83"/>
      <c r="D26" s="101"/>
      <c r="E26" s="101"/>
      <c r="F26" s="103"/>
      <c r="G26" s="92"/>
      <c r="H26" s="83"/>
      <c r="I26" s="84"/>
      <c r="J26" s="11"/>
      <c r="K26" s="11"/>
      <c r="L26" s="82" t="s">
        <v>95</v>
      </c>
      <c r="M26" s="11"/>
      <c r="N26" s="85"/>
      <c r="O26" s="85"/>
      <c r="P26" s="85"/>
      <c r="Q26" s="85"/>
      <c r="R26" s="104"/>
      <c r="S26" s="85"/>
      <c r="T26" s="87" t="s">
        <v>43</v>
      </c>
      <c r="U26" s="88">
        <f>SUM(U24:U25)</f>
        <v>96000</v>
      </c>
      <c r="V26" s="102"/>
    </row>
    <row r="27" spans="1:22" ht="15.5" x14ac:dyDescent="0.35">
      <c r="A27" s="11"/>
      <c r="B27" s="85"/>
      <c r="C27" s="85"/>
      <c r="D27" s="85"/>
      <c r="E27" s="85"/>
      <c r="F27" s="104"/>
      <c r="G27" s="85"/>
      <c r="H27" s="87"/>
      <c r="I27" s="88"/>
      <c r="J27" s="11"/>
      <c r="K27" s="11"/>
      <c r="L27" s="85"/>
      <c r="M27" s="11"/>
      <c r="V27" s="102"/>
    </row>
    <row r="28" spans="1:22" ht="15.5" x14ac:dyDescent="0.35">
      <c r="A28" s="11"/>
      <c r="B28" s="11"/>
      <c r="C28" s="11"/>
      <c r="D28" s="11"/>
      <c r="E28" s="11"/>
      <c r="F28" s="105"/>
      <c r="G28" s="11"/>
      <c r="H28" s="106"/>
      <c r="I28" s="107"/>
      <c r="J28" s="11"/>
      <c r="K28" s="11"/>
      <c r="L28" s="11"/>
      <c r="M28" s="11"/>
      <c r="V28" s="108"/>
    </row>
    <row r="29" spans="1:22" ht="15.5" x14ac:dyDescent="0.35">
      <c r="A29" s="11"/>
      <c r="B29" s="11"/>
      <c r="C29" s="11"/>
      <c r="D29" s="11"/>
      <c r="E29" s="11"/>
      <c r="F29" s="11"/>
      <c r="G29" s="81" t="s">
        <v>96</v>
      </c>
      <c r="H29" s="81" t="s">
        <v>97</v>
      </c>
      <c r="I29" s="81" t="s">
        <v>43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5.5" x14ac:dyDescent="0.35">
      <c r="A30" s="11"/>
      <c r="B30" s="11"/>
      <c r="C30" s="11"/>
      <c r="D30" s="11"/>
      <c r="E30" s="11"/>
      <c r="F30" s="85" t="s">
        <v>98</v>
      </c>
      <c r="G30" s="101"/>
      <c r="H30" s="101"/>
      <c r="I30" s="101"/>
      <c r="J30" s="11"/>
      <c r="K30" s="11"/>
      <c r="L30" s="11"/>
      <c r="M30" s="11"/>
      <c r="N30" s="109"/>
      <c r="O30" s="11"/>
      <c r="P30" s="11"/>
      <c r="Q30" s="52"/>
      <c r="R30" s="11"/>
      <c r="S30" s="11"/>
      <c r="T30" s="11"/>
      <c r="U30" s="11"/>
      <c r="V30" s="11"/>
    </row>
    <row r="31" spans="1:22" ht="15.5" x14ac:dyDescent="0.35">
      <c r="A31" s="11"/>
      <c r="B31" s="11"/>
      <c r="C31" s="11"/>
      <c r="D31" s="11"/>
      <c r="E31" s="11"/>
      <c r="F31" s="85" t="s">
        <v>99</v>
      </c>
      <c r="G31" s="101"/>
      <c r="H31" s="101"/>
      <c r="I31" s="10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5.5" x14ac:dyDescent="0.35">
      <c r="A32" s="11"/>
      <c r="B32" s="11"/>
      <c r="C32" s="11"/>
      <c r="D32" s="11"/>
      <c r="E32" s="11"/>
      <c r="F32" s="11"/>
      <c r="G32" s="11"/>
      <c r="H32" s="87"/>
      <c r="I32" s="88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4.5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21" x14ac:dyDescent="0.35">
      <c r="A34" s="11"/>
      <c r="B34" s="11"/>
      <c r="C34" s="11"/>
      <c r="D34" s="11"/>
      <c r="E34" s="11"/>
      <c r="F34" s="11"/>
      <c r="G34" s="11"/>
      <c r="H34" s="110" t="s">
        <v>100</v>
      </c>
      <c r="I34" s="111">
        <f>I32+I27</f>
        <v>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4.5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4.5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4.5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7" x14ac:dyDescent="0.4">
      <c r="A38" s="11"/>
      <c r="B38" s="112" t="s">
        <v>101</v>
      </c>
      <c r="C38" s="113">
        <f>G9+I34</f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73" t="s">
        <v>102</v>
      </c>
      <c r="O38" s="114" t="e">
        <f>(#REF!+#REF!+#REF!)+S8+(U26*3.5)</f>
        <v>#REF!</v>
      </c>
      <c r="P38" s="11"/>
      <c r="Q38" s="11"/>
      <c r="R38" s="11"/>
      <c r="S38" s="11"/>
      <c r="T38" s="11"/>
      <c r="U38" s="11"/>
      <c r="V38" s="11"/>
    </row>
    <row r="39" spans="1:22" ht="14.5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 t="s">
        <v>103</v>
      </c>
      <c r="O39" s="11"/>
      <c r="P39" s="11"/>
      <c r="Q39" s="11"/>
      <c r="R39" s="11"/>
      <c r="S39" s="11"/>
      <c r="T39" s="11"/>
      <c r="U39" s="11"/>
      <c r="V39" s="11"/>
    </row>
    <row r="40" spans="1:22" ht="14.5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4.5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 t="e">
        <f>O38/2</f>
        <v>#REF!</v>
      </c>
      <c r="P41" s="11"/>
      <c r="Q41" s="11"/>
      <c r="R41" s="11"/>
      <c r="S41" s="11"/>
      <c r="T41" s="11"/>
      <c r="U41" s="11"/>
      <c r="V41" s="11"/>
    </row>
    <row r="42" spans="1:22" ht="14.5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4.5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4.5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4.5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4.5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4.5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4.5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4.5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4.5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4.5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4.5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4.5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4.5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4.5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4.5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4.5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4.5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4.5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4.5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4.5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4.5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4.5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4.5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4.5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4.5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4.5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4.5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4.5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4.5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4.5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4.5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4.5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4.5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4.5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4.5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4.5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4.5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4.5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4.5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4.5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4.5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4.5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4.5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4.5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4.5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4.5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4.5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4.5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4.5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4.5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4.5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4.5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4.5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4.5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4.5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4.5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4.5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4.5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4.5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4.5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4.5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4.5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4.5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4.5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4.5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4.5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4.5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4.5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4.5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4.5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4.5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4.5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4.5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4.5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4.5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4.5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4.5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4.5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4.5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4.5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4.5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4.5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4.5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4.5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4.5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4.5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4.5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4.5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4.5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4.5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4.5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4.5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4.5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4.5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4.5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4.5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4.5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4.5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4.5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4.5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4.5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4.5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4.5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4.5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4.5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4.5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4.5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4.5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4.5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4.5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4.5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4.5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4.5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4.5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4.5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4.5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4.5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4.5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4.5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4.5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4.5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4.5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4.5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4.5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4.5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4.5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4.5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4.5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4.5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4.5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4.5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4.5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4.5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4.5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4.5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4.5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4.5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4.5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4.5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4.5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4.5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4.5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4.5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4.5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4.5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4.5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4.5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4.5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4.5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4.5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4.5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4.5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4.5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4.5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4.5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4.5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4.5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4.5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4.5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4.5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4.5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4.5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4.5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4.5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4.5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4.5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4.5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4.5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4.5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4.5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4.5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4.5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4.5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4.5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4.5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4.5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4.5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4.5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4.5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4.5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4.5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4.5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4.5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4.5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4.5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4.5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4.5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4.5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4.5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4.5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4.5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4.5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4.5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4.5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4.5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4.5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4.5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4.5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4.5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4.5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4.5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4.5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4.5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4.5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4.5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4.5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4.5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4.5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4.5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4.5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4.5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4.5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4.5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4.5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4.5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4.5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4.5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4.5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4.5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4.5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4.5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4.5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4.5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4.5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4.5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4.5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4.5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4.5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4.5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4.5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4.5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4.5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4.5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4.5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4.5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4.5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4.5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4.5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4.5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4.5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4.5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4.5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4.5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4.5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4.5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4.5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4.5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4.5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4.5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4.5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4.5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4.5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4.5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4.5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4.5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4.5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4.5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4.5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4.5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4.5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4.5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4.5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4.5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4.5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4.5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4.5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4.5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4.5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4.5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4.5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4.5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4.5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4.5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4.5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4.5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4.5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4.5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4.5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4.5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4.5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4.5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4.5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4.5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4.5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4.5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4.5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4.5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4.5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4.5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4.5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4.5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4.5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4.5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4.5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4.5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4.5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4.5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4.5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4.5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4.5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4.5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4.5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4.5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4.5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4.5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4.5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4.5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4.5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4.5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4.5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4.5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4.5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4.5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4.5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4.5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4.5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4.5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4.5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4.5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4.5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4.5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4.5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4.5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4.5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4.5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4.5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4.5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4.5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4.5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4.5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4.5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4.5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4.5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4.5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4.5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4.5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4.5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4.5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4.5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4.5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4.5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4.5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4.5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4.5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4.5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4.5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4.5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4.5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4.5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4.5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4.5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4.5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4.5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4.5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4.5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4.5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4.5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4.5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4.5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4.5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4.5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4.5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4.5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4.5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4.5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4.5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4.5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4.5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4.5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4.5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4.5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4.5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4.5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4.5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4.5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4.5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4.5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4.5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4.5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4.5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4.5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4.5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4.5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4.5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4.5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4.5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4.5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4.5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4.5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4.5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4.5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4.5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4.5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4.5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4.5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4.5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4.5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4.5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4.5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4.5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4.5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4.5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4.5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4.5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4.5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4.5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4.5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4.5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4.5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4.5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4.5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4.5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4.5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4.5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4.5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4.5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4.5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4.5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4.5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4.5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4.5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4.5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4.5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4.5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4.5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4.5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4.5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4.5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4.5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4.5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4.5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4.5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4.5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4.5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4.5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4.5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4.5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4.5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4.5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4.5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4.5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4.5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4.5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4.5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4.5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4.5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4.5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4.5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4.5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4.5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4.5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4.5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4.5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4.5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4.5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4.5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4.5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4.5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4.5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4.5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4.5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4.5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4.5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4.5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4.5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4.5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4.5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4.5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4.5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4.5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4.5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4.5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4.5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4.5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4.5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4.5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4.5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4.5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4.5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4.5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4.5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4.5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4.5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4.5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4.5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4.5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4.5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4.5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4.5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4.5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4.5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4.5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4.5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4.5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4.5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4.5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4.5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4.5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4.5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4.5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4.5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4.5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4.5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4.5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4.5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4.5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4.5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4.5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4.5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4.5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4.5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4.5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4.5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4.5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4.5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4.5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4.5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4.5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4.5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4.5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4.5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4.5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4.5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4.5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4.5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4.5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4.5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4.5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4.5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4.5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4.5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4.5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4.5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4.5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4.5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4.5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4.5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4.5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4.5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4.5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4.5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4.5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4.5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4.5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4.5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4.5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4.5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4.5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4.5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4.5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4.5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4.5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4.5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4.5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4.5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4.5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4.5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4.5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4.5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4.5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4.5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4.5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4.5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4.5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4.5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4.5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4.5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4.5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4.5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4.5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4.5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4.5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4.5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4.5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4.5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4.5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4.5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4.5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4.5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4.5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4.5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4.5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4.5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4.5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4.5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4.5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4.5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4.5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4.5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4.5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4.5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4.5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4.5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4.5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4.5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4.5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4.5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4.5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4.5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4.5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4.5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4.5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4.5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4.5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4.5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4.5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4.5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4.5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4.5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4.5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4.5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4.5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4.5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4.5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4.5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4.5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4.5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4.5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4.5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4.5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4.5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4.5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4.5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4.5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4.5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4.5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4.5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4.5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4.5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4.5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4.5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4.5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4.5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4.5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4.5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4.5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4.5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4.5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4.5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4.5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4.5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4.5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4.5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4.5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4.5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4.5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4.5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4.5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4.5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4.5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4.5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4.5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4.5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4.5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4.5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4.5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4.5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4.5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4.5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4.5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4.5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4.5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4.5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4.5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4.5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4.5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4.5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4.5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4.5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4.5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4.5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4.5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4.5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4.5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4.5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4.5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4.5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4.5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4.5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4.5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4.5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4.5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4.5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4.5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4.5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4.5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4.5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4.5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4.5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4.5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4.5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4.5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4.5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4.5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4.5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4.5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4.5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4.5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4.5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4.5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4.5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4.5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4.5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4.5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4.5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4.5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4.5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4.5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4.5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4.5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4.5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4.5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4.5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4.5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4.5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4.5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4.5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4.5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4.5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4.5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4.5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4.5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4.5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4.5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4.5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4.5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4.5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4.5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4.5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4.5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4.5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4.5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4.5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4.5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4.5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4.5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4.5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4.5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4.5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4.5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4.5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4.5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4.5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4.5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4.5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4.5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4.5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4.5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4.5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4.5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4.5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4.5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4.5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4.5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4.5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4.5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4.5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4.5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4.5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4.5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4.5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4.5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4.5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4.5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4.5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4.5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4.5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4.5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4.5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4.5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4.5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4.5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4.5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4.5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4.5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4.5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4.5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4.5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4.5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4.5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4.5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4.5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4.5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4.5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4.5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4.5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4.5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4.5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4.5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4.5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4.5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4.5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4.5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4.5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4.5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4.5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4.5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4.5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4.5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4.5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4.5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4.5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4.5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4.5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4.5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4.5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4.5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4.5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4.5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4.5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4.5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4.5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4.5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4.5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4.5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4.5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4.5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4.5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4.5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4.5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4.5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4.5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4.5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4.5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4.5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4.5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4.5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4.5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4.5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4.5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4.5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4.5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4.5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4.5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4.5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4.5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4.5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4.5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4.5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4.5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4.5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4.5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4.5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4.5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4.5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4.5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4.5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4.5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4.5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4.5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4.5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4.5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4.5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4.5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4.5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4.5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4.5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4.5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4.5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4.5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4.5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4.5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4.5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4.5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4.5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4.5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4.5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4.5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4.5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4.5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4.5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4.5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4.5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4.5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4.5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4.5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4.5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4.5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4.5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4.5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4.5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4.5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4.5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4.5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4.5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4.5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4.5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4.5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4.5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4.5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4.5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4.5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4.5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4.5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4.5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4.5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4.5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spans="1:22" ht="14.5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spans="1:22" ht="14.5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  <row r="941" spans="1:22" ht="14.5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</row>
    <row r="942" spans="1:22" ht="14.5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</row>
    <row r="943" spans="1:22" ht="14.5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</row>
    <row r="944" spans="1:22" ht="14.5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 spans="1:22" ht="14.5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</row>
    <row r="946" spans="1:22" ht="14.5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</row>
    <row r="947" spans="1:22" ht="14.5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</row>
    <row r="948" spans="1:22" ht="14.5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</row>
    <row r="949" spans="1:22" ht="14.5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</row>
    <row r="950" spans="1:22" ht="14.5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</row>
    <row r="951" spans="1:22" ht="14.5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</row>
    <row r="952" spans="1:22" ht="14.5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</row>
    <row r="953" spans="1:22" ht="14.5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</row>
    <row r="954" spans="1:22" ht="14.5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</row>
    <row r="955" spans="1:22" ht="14.5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</row>
    <row r="956" spans="1:22" ht="14.5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</row>
    <row r="957" spans="1:22" ht="14.5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</row>
    <row r="958" spans="1:22" ht="14.5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</row>
    <row r="959" spans="1:22" ht="14.5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</row>
    <row r="960" spans="1:22" ht="14.5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</row>
    <row r="961" spans="1:22" ht="14.5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</row>
    <row r="962" spans="1:22" ht="14.5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</row>
    <row r="963" spans="1:22" ht="14.5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</row>
    <row r="964" spans="1:22" ht="14.5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</row>
    <row r="965" spans="1:22" ht="14.5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 spans="1:22" ht="14.5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</row>
    <row r="967" spans="1:22" ht="14.5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</row>
    <row r="968" spans="1:22" ht="14.5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</row>
    <row r="969" spans="1:22" ht="14.5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</row>
    <row r="970" spans="1:22" ht="14.5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</row>
    <row r="971" spans="1:22" ht="14.5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</row>
    <row r="972" spans="1:22" ht="14.5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</row>
    <row r="973" spans="1:22" ht="14.5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</row>
    <row r="974" spans="1:22" ht="14.5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</row>
    <row r="975" spans="1:22" ht="14.5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</row>
    <row r="976" spans="1:22" ht="14.5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 spans="1:22" ht="14.5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 spans="1:22" ht="14.5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 spans="1:22" ht="14.5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 spans="1:22" ht="14.5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 spans="1:22" ht="14.5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 spans="1:22" ht="14.5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 spans="1:22" ht="14.5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 spans="1:22" ht="14.5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 spans="1:22" ht="14.5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  <row r="986" spans="1:22" ht="14.5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</row>
    <row r="987" spans="1:22" ht="14.5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</row>
    <row r="988" spans="1:22" ht="14.5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</row>
    <row r="989" spans="1:22" ht="14.5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</row>
    <row r="990" spans="1:22" ht="14.5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 spans="1:22" ht="14.5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 spans="1:22" ht="14.5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 spans="1:22" ht="14.5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 spans="1:22" ht="14.5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</row>
    <row r="995" spans="1:22" ht="14.5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 spans="1:22" ht="14.5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</row>
    <row r="997" spans="1:22" ht="14.5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  <row r="998" spans="1:22" ht="14.5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</row>
    <row r="999" spans="1:22" ht="14.5" x14ac:dyDescent="0.3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</row>
    <row r="1000" spans="1:22" ht="14.5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</row>
    <row r="1001" spans="1:22" ht="14.5" x14ac:dyDescent="0.3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</row>
    <row r="1002" spans="1:22" ht="14.5" x14ac:dyDescent="0.3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</row>
  </sheetData>
  <mergeCells count="8">
    <mergeCell ref="B22:I22"/>
    <mergeCell ref="N22:U22"/>
    <mergeCell ref="B2:G2"/>
    <mergeCell ref="N2:S2"/>
    <mergeCell ref="B3:G3"/>
    <mergeCell ref="N3:S3"/>
    <mergeCell ref="B4:G4"/>
    <mergeCell ref="N4:S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2779-E058-482C-86E1-6154D9F21947}">
  <dimension ref="B2:D3"/>
  <sheetViews>
    <sheetView workbookViewId="0">
      <selection activeCell="D2" sqref="D2:D3"/>
    </sheetView>
  </sheetViews>
  <sheetFormatPr defaultRowHeight="14.5" x14ac:dyDescent="0.35"/>
  <sheetData>
    <row r="2" spans="2:4" x14ac:dyDescent="0.35">
      <c r="B2">
        <f>22*15</f>
        <v>330</v>
      </c>
      <c r="D2">
        <f>B2*27000</f>
        <v>8910000</v>
      </c>
    </row>
    <row r="3" spans="2:4" x14ac:dyDescent="0.35">
      <c r="B3">
        <v>6000</v>
      </c>
      <c r="D3">
        <f>70*B3</f>
        <v>420000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5A6F-37AF-448F-879D-B3AF3A948A7E}">
  <dimension ref="A1:J1000"/>
  <sheetViews>
    <sheetView tabSelected="1" workbookViewId="0">
      <pane ySplit="2" topLeftCell="A15" activePane="bottomLeft" state="frozen"/>
      <selection activeCell="E7" sqref="E7"/>
      <selection pane="bottomLeft" activeCell="I29" sqref="I29"/>
    </sheetView>
  </sheetViews>
  <sheetFormatPr defaultColWidth="14.453125" defaultRowHeight="15" customHeight="1" x14ac:dyDescent="0.35"/>
  <cols>
    <col min="1" max="1" width="32.26953125" customWidth="1"/>
    <col min="2" max="2" width="7.54296875" customWidth="1"/>
    <col min="3" max="3" width="18.08984375" customWidth="1"/>
    <col min="4" max="4" width="19.26953125" customWidth="1"/>
    <col min="5" max="14" width="9.7265625" customWidth="1"/>
  </cols>
  <sheetData>
    <row r="1" spans="1:10" ht="15" customHeight="1" x14ac:dyDescent="0.35">
      <c r="A1" t="s">
        <v>149</v>
      </c>
    </row>
    <row r="2" spans="1:10" ht="14.25" customHeight="1" x14ac:dyDescent="0.35">
      <c r="A2" s="70" t="s">
        <v>40</v>
      </c>
      <c r="B2" s="70" t="s">
        <v>44</v>
      </c>
      <c r="C2" s="70" t="s">
        <v>45</v>
      </c>
      <c r="D2" s="70" t="s">
        <v>46</v>
      </c>
    </row>
    <row r="3" spans="1:10" ht="14.25" customHeight="1" x14ac:dyDescent="0.35">
      <c r="A3" s="71" t="s">
        <v>136</v>
      </c>
      <c r="B3" s="72">
        <v>11200</v>
      </c>
      <c r="C3" s="72">
        <f>SUM(J12:J14)</f>
        <v>144</v>
      </c>
      <c r="D3" s="72">
        <f>B3*C3</f>
        <v>1612800</v>
      </c>
      <c r="H3" s="140">
        <v>0.5</v>
      </c>
      <c r="I3">
        <v>35</v>
      </c>
      <c r="J3">
        <f>I3*2</f>
        <v>70</v>
      </c>
    </row>
    <row r="4" spans="1:10" ht="14.25" customHeight="1" x14ac:dyDescent="0.35">
      <c r="A4" s="71" t="s">
        <v>137</v>
      </c>
      <c r="B4" s="72">
        <v>1050</v>
      </c>
      <c r="C4" s="72">
        <v>6000</v>
      </c>
      <c r="D4" s="72">
        <f>B4*C4</f>
        <v>6300000</v>
      </c>
      <c r="H4" s="140">
        <v>0.8</v>
      </c>
      <c r="I4">
        <f>70*0.8</f>
        <v>56</v>
      </c>
      <c r="J4">
        <f>I4*2</f>
        <v>112</v>
      </c>
    </row>
    <row r="5" spans="1:10" ht="14.25" customHeight="1" x14ac:dyDescent="0.35">
      <c r="A5" s="71" t="s">
        <v>140</v>
      </c>
      <c r="B5" s="72">
        <v>15</v>
      </c>
      <c r="C5" s="72">
        <v>66000</v>
      </c>
      <c r="D5" s="72">
        <f>C5*B5</f>
        <v>990000</v>
      </c>
      <c r="J5">
        <f>J3+J4</f>
        <v>182</v>
      </c>
    </row>
    <row r="6" spans="1:10" ht="14.25" customHeight="1" x14ac:dyDescent="0.35">
      <c r="A6" s="71" t="s">
        <v>141</v>
      </c>
      <c r="B6" s="72">
        <v>3</v>
      </c>
      <c r="C6" s="72">
        <v>100000</v>
      </c>
      <c r="D6" s="72">
        <f>C6*B6</f>
        <v>300000</v>
      </c>
    </row>
    <row r="7" spans="1:10" ht="14.25" customHeight="1" x14ac:dyDescent="0.35">
      <c r="A7" s="137" t="s">
        <v>43</v>
      </c>
      <c r="B7" s="137"/>
      <c r="C7" s="137"/>
      <c r="D7" s="137">
        <f>SUM(D3:D6)</f>
        <v>9202800</v>
      </c>
    </row>
    <row r="8" spans="1:10" ht="14.25" customHeight="1" x14ac:dyDescent="0.35">
      <c r="A8" s="138"/>
      <c r="B8" s="139"/>
      <c r="C8" s="139"/>
      <c r="D8" s="139"/>
      <c r="H8">
        <v>42</v>
      </c>
    </row>
    <row r="9" spans="1:10" ht="14.25" customHeight="1" x14ac:dyDescent="0.35">
      <c r="A9" s="138" t="s">
        <v>160</v>
      </c>
      <c r="B9" s="139"/>
      <c r="C9" s="139"/>
      <c r="D9" s="139"/>
      <c r="H9">
        <f>21*2</f>
        <v>42</v>
      </c>
    </row>
    <row r="10" spans="1:10" ht="14.25" customHeight="1" x14ac:dyDescent="0.35">
      <c r="A10" s="70" t="s">
        <v>40</v>
      </c>
      <c r="B10" s="70" t="s">
        <v>44</v>
      </c>
      <c r="C10" s="70" t="s">
        <v>45</v>
      </c>
      <c r="D10" s="70" t="s">
        <v>46</v>
      </c>
      <c r="H10">
        <f>(42*0.8)*2</f>
        <v>67.2</v>
      </c>
    </row>
    <row r="11" spans="1:10" ht="14.25" customHeight="1" x14ac:dyDescent="0.35">
      <c r="A11" s="71" t="s">
        <v>136</v>
      </c>
      <c r="B11" s="72">
        <v>11200</v>
      </c>
      <c r="C11" s="72">
        <f>J12</f>
        <v>40</v>
      </c>
      <c r="D11" s="72">
        <f>B11*C11</f>
        <v>448000</v>
      </c>
      <c r="G11" s="204" t="s">
        <v>147</v>
      </c>
      <c r="H11" s="205"/>
      <c r="I11" s="205"/>
      <c r="J11" s="206"/>
    </row>
    <row r="12" spans="1:10" ht="14.25" customHeight="1" x14ac:dyDescent="0.35">
      <c r="A12" s="71" t="s">
        <v>137</v>
      </c>
      <c r="B12" s="72">
        <v>1050</v>
      </c>
      <c r="C12" s="143">
        <f>J17</f>
        <v>1666.6666666666665</v>
      </c>
      <c r="D12" s="72">
        <f>B12*C12</f>
        <v>1749999.9999999998</v>
      </c>
      <c r="G12" s="141" t="s">
        <v>144</v>
      </c>
      <c r="H12" s="141" t="s">
        <v>143</v>
      </c>
      <c r="I12" s="141">
        <v>40</v>
      </c>
      <c r="J12" s="141">
        <f>I12</f>
        <v>40</v>
      </c>
    </row>
    <row r="13" spans="1:10" ht="14.25" customHeight="1" x14ac:dyDescent="0.35">
      <c r="A13" s="71" t="s">
        <v>140</v>
      </c>
      <c r="B13" s="72">
        <v>5</v>
      </c>
      <c r="C13" s="72">
        <v>66000</v>
      </c>
      <c r="D13" s="72">
        <f>C13*B13</f>
        <v>330000</v>
      </c>
      <c r="G13" s="141" t="s">
        <v>145</v>
      </c>
      <c r="H13" s="141">
        <v>0.5</v>
      </c>
      <c r="I13" s="141">
        <f>I12/2</f>
        <v>20</v>
      </c>
      <c r="J13" s="141">
        <f>I13*2</f>
        <v>40</v>
      </c>
    </row>
    <row r="14" spans="1:10" ht="14.25" customHeight="1" x14ac:dyDescent="0.35">
      <c r="A14" s="71" t="s">
        <v>141</v>
      </c>
      <c r="B14" s="72">
        <v>1</v>
      </c>
      <c r="C14" s="72">
        <v>100000</v>
      </c>
      <c r="D14" s="72">
        <f>C14</f>
        <v>100000</v>
      </c>
      <c r="G14" s="141" t="s">
        <v>146</v>
      </c>
      <c r="H14" s="141">
        <v>0.8</v>
      </c>
      <c r="I14" s="141">
        <f>I12*H14</f>
        <v>32</v>
      </c>
      <c r="J14" s="141">
        <f>I14*2</f>
        <v>64</v>
      </c>
    </row>
    <row r="15" spans="1:10" ht="14.25" customHeight="1" x14ac:dyDescent="0.35">
      <c r="A15" s="137" t="s">
        <v>43</v>
      </c>
      <c r="B15" s="137"/>
      <c r="C15" s="137"/>
      <c r="D15" s="137">
        <f>SUM(D11:D14)</f>
        <v>2628000</v>
      </c>
    </row>
    <row r="16" spans="1:10" ht="14.25" customHeight="1" x14ac:dyDescent="0.35">
      <c r="A16" s="138"/>
      <c r="B16" s="139"/>
      <c r="C16" s="139"/>
      <c r="D16" s="139"/>
    </row>
    <row r="17" spans="1:10" ht="14.25" customHeight="1" x14ac:dyDescent="0.35">
      <c r="A17" s="138" t="s">
        <v>163</v>
      </c>
      <c r="B17" s="139"/>
      <c r="C17" s="139"/>
      <c r="D17" s="139"/>
      <c r="G17" t="s">
        <v>144</v>
      </c>
      <c r="H17" t="s">
        <v>148</v>
      </c>
      <c r="I17" s="142">
        <f>6000/3.6</f>
        <v>1666.6666666666665</v>
      </c>
      <c r="J17" s="142">
        <f>I17</f>
        <v>1666.6666666666665</v>
      </c>
    </row>
    <row r="18" spans="1:10" ht="14.25" customHeight="1" x14ac:dyDescent="0.35">
      <c r="A18" s="70" t="s">
        <v>40</v>
      </c>
      <c r="B18" s="70" t="s">
        <v>44</v>
      </c>
      <c r="C18" s="70" t="s">
        <v>45</v>
      </c>
      <c r="D18" s="70" t="s">
        <v>46</v>
      </c>
      <c r="G18" t="s">
        <v>145</v>
      </c>
      <c r="H18">
        <v>0.5</v>
      </c>
      <c r="I18">
        <f>I17/2</f>
        <v>833.33333333333326</v>
      </c>
      <c r="J18">
        <f>I18*2</f>
        <v>1666.6666666666665</v>
      </c>
    </row>
    <row r="19" spans="1:10" ht="14.25" customHeight="1" x14ac:dyDescent="0.35">
      <c r="A19" s="71" t="s">
        <v>136</v>
      </c>
      <c r="B19" s="72">
        <v>11200</v>
      </c>
      <c r="C19" s="72">
        <f>J13</f>
        <v>40</v>
      </c>
      <c r="D19" s="72">
        <f>B19*C19</f>
        <v>448000</v>
      </c>
      <c r="G19" t="s">
        <v>146</v>
      </c>
      <c r="H19">
        <v>0.8</v>
      </c>
      <c r="I19">
        <f>H19*I17</f>
        <v>1333.3333333333333</v>
      </c>
      <c r="J19">
        <f>I19*2</f>
        <v>2666.6666666666665</v>
      </c>
    </row>
    <row r="20" spans="1:10" ht="14.25" customHeight="1" x14ac:dyDescent="0.35">
      <c r="A20" s="71" t="s">
        <v>137</v>
      </c>
      <c r="B20" s="72">
        <v>1050</v>
      </c>
      <c r="C20" s="143">
        <f>J18</f>
        <v>1666.6666666666665</v>
      </c>
      <c r="D20" s="72">
        <f>B20*C20</f>
        <v>1749999.9999999998</v>
      </c>
    </row>
    <row r="21" spans="1:10" ht="14.25" customHeight="1" x14ac:dyDescent="0.35">
      <c r="A21" s="71" t="s">
        <v>140</v>
      </c>
      <c r="B21" s="72">
        <v>5</v>
      </c>
      <c r="C21" s="72">
        <v>66000</v>
      </c>
      <c r="D21" s="72">
        <f>C21*B21</f>
        <v>330000</v>
      </c>
    </row>
    <row r="22" spans="1:10" ht="14.25" customHeight="1" x14ac:dyDescent="0.35">
      <c r="A22" s="71" t="s">
        <v>141</v>
      </c>
      <c r="B22" s="72">
        <v>1</v>
      </c>
      <c r="C22" s="72">
        <v>100000</v>
      </c>
      <c r="D22" s="72">
        <f>C22</f>
        <v>100000</v>
      </c>
    </row>
    <row r="23" spans="1:10" ht="14.25" customHeight="1" x14ac:dyDescent="0.35">
      <c r="A23" s="137" t="s">
        <v>43</v>
      </c>
      <c r="B23" s="137"/>
      <c r="C23" s="137"/>
      <c r="D23" s="137">
        <f>SUM(D19:D22)</f>
        <v>2628000</v>
      </c>
    </row>
    <row r="24" spans="1:10" ht="14.25" customHeight="1" x14ac:dyDescent="0.35">
      <c r="A24" s="138"/>
      <c r="B24" s="139"/>
      <c r="C24" s="139"/>
      <c r="D24" s="139"/>
    </row>
    <row r="25" spans="1:10" ht="14.25" customHeight="1" x14ac:dyDescent="0.35">
      <c r="A25" s="138" t="s">
        <v>164</v>
      </c>
      <c r="B25" s="139"/>
      <c r="C25" s="139"/>
      <c r="D25" s="139"/>
    </row>
    <row r="26" spans="1:10" ht="14.25" customHeight="1" x14ac:dyDescent="0.35">
      <c r="A26" s="70" t="s">
        <v>40</v>
      </c>
      <c r="B26" s="70" t="s">
        <v>44</v>
      </c>
      <c r="C26" s="70" t="s">
        <v>45</v>
      </c>
      <c r="D26" s="70" t="s">
        <v>46</v>
      </c>
    </row>
    <row r="27" spans="1:10" ht="14.25" customHeight="1" x14ac:dyDescent="0.35">
      <c r="A27" s="71" t="s">
        <v>136</v>
      </c>
      <c r="B27" s="72">
        <v>11200</v>
      </c>
      <c r="C27" s="72">
        <f>J14</f>
        <v>64</v>
      </c>
      <c r="D27" s="72">
        <f>B27*C27</f>
        <v>716800</v>
      </c>
      <c r="F27">
        <f>D15+D23+D31</f>
        <v>9202800</v>
      </c>
    </row>
    <row r="28" spans="1:10" ht="14.25" customHeight="1" x14ac:dyDescent="0.35">
      <c r="A28" s="71" t="s">
        <v>137</v>
      </c>
      <c r="B28" s="72">
        <v>1050</v>
      </c>
      <c r="C28" s="72">
        <f>J19</f>
        <v>2666.6666666666665</v>
      </c>
      <c r="D28" s="72">
        <f>B28*C28</f>
        <v>2800000</v>
      </c>
    </row>
    <row r="29" spans="1:10" ht="14.25" customHeight="1" x14ac:dyDescent="0.35">
      <c r="A29" s="71" t="s">
        <v>140</v>
      </c>
      <c r="B29" s="72">
        <v>5</v>
      </c>
      <c r="C29" s="72">
        <v>66000</v>
      </c>
      <c r="D29" s="72">
        <f>C29*B29</f>
        <v>330000</v>
      </c>
    </row>
    <row r="30" spans="1:10" ht="14.25" customHeight="1" x14ac:dyDescent="0.35">
      <c r="A30" s="71" t="s">
        <v>141</v>
      </c>
      <c r="B30" s="72">
        <v>1</v>
      </c>
      <c r="C30" s="72">
        <v>100000</v>
      </c>
      <c r="D30" s="72">
        <f>C30</f>
        <v>100000</v>
      </c>
    </row>
    <row r="31" spans="1:10" ht="14.25" customHeight="1" x14ac:dyDescent="0.35">
      <c r="A31" s="137" t="s">
        <v>43</v>
      </c>
      <c r="B31" s="137"/>
      <c r="C31" s="137"/>
      <c r="D31" s="137">
        <f>SUM(D27:D30)</f>
        <v>3946800</v>
      </c>
      <c r="E31" s="11"/>
    </row>
    <row r="32" spans="1:10" ht="14.25" customHeight="1" x14ac:dyDescent="0.35">
      <c r="D32" s="11"/>
    </row>
    <row r="33" spans="4:4" ht="14.25" customHeight="1" x14ac:dyDescent="0.35">
      <c r="D33" s="73"/>
    </row>
    <row r="34" spans="4:4" ht="14.25" customHeight="1" x14ac:dyDescent="0.35">
      <c r="D34" s="74"/>
    </row>
    <row r="35" spans="4:4" ht="14.25" customHeight="1" x14ac:dyDescent="0.35"/>
    <row r="36" spans="4:4" ht="14.25" customHeight="1" x14ac:dyDescent="0.35"/>
    <row r="37" spans="4:4" ht="14.25" customHeight="1" x14ac:dyDescent="0.35"/>
    <row r="38" spans="4:4" ht="14.25" customHeight="1" x14ac:dyDescent="0.35"/>
    <row r="39" spans="4:4" ht="14.25" customHeight="1" x14ac:dyDescent="0.35"/>
    <row r="40" spans="4:4" ht="14.25" customHeight="1" x14ac:dyDescent="0.35"/>
    <row r="41" spans="4:4" ht="14.25" customHeight="1" x14ac:dyDescent="0.35"/>
    <row r="42" spans="4:4" ht="14.25" customHeight="1" x14ac:dyDescent="0.35"/>
    <row r="43" spans="4:4" ht="14.25" customHeight="1" x14ac:dyDescent="0.35"/>
    <row r="44" spans="4:4" ht="14.25" customHeight="1" x14ac:dyDescent="0.35"/>
    <row r="45" spans="4:4" ht="14.25" customHeight="1" x14ac:dyDescent="0.35"/>
    <row r="46" spans="4:4" ht="14.25" customHeight="1" x14ac:dyDescent="0.35"/>
    <row r="47" spans="4:4" ht="14.25" customHeight="1" x14ac:dyDescent="0.35"/>
    <row r="48" spans="4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G11:J1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D133-D35C-44B1-9D9E-1C3C4C7B95B5}">
  <sheetPr>
    <tabColor rgb="FFE2EFD9"/>
  </sheetPr>
  <dimension ref="B1:P1000"/>
  <sheetViews>
    <sheetView topLeftCell="C10" zoomScale="70" zoomScaleNormal="70" workbookViewId="0">
      <selection activeCell="L21" sqref="L21"/>
    </sheetView>
  </sheetViews>
  <sheetFormatPr defaultColWidth="14.453125" defaultRowHeight="15" customHeight="1" x14ac:dyDescent="0.35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 thickBot="1" x14ac:dyDescent="0.4">
      <c r="O1" s="1"/>
    </row>
    <row r="2" spans="2:16" ht="14.25" customHeight="1" x14ac:dyDescent="0.45">
      <c r="B2" s="199" t="s">
        <v>0</v>
      </c>
      <c r="C2" s="200"/>
      <c r="D2" s="2" t="s">
        <v>1</v>
      </c>
      <c r="E2" s="3"/>
      <c r="I2" s="4"/>
      <c r="O2" s="1"/>
    </row>
    <row r="3" spans="2:16" ht="14.25" customHeight="1" x14ac:dyDescent="0.45">
      <c r="B3" s="198" t="s">
        <v>2</v>
      </c>
      <c r="C3" s="186"/>
      <c r="D3" s="5">
        <f ca="1">TODAY()</f>
        <v>45853</v>
      </c>
      <c r="I3" s="4"/>
      <c r="O3" s="1"/>
    </row>
    <row r="4" spans="2:16" ht="14.25" customHeight="1" x14ac:dyDescent="0.45">
      <c r="B4" s="198" t="s">
        <v>3</v>
      </c>
      <c r="C4" s="186"/>
      <c r="D4" s="6">
        <v>3</v>
      </c>
      <c r="E4" s="3"/>
      <c r="O4" s="1"/>
    </row>
    <row r="5" spans="2:16" ht="14.25" customHeight="1" x14ac:dyDescent="0.45">
      <c r="B5" s="198" t="s">
        <v>4</v>
      </c>
      <c r="C5" s="186"/>
      <c r="D5" s="7">
        <v>0.1</v>
      </c>
      <c r="E5" s="3"/>
      <c r="O5" s="1"/>
    </row>
    <row r="6" spans="2:16" ht="14.25" customHeight="1" x14ac:dyDescent="0.45">
      <c r="B6" s="198" t="s">
        <v>5</v>
      </c>
      <c r="C6" s="186"/>
      <c r="D6" s="8">
        <v>0.05</v>
      </c>
      <c r="E6" s="3"/>
      <c r="O6" s="1"/>
    </row>
    <row r="7" spans="2:16" ht="14.25" customHeight="1" x14ac:dyDescent="0.45">
      <c r="B7" s="198" t="s">
        <v>6</v>
      </c>
      <c r="C7" s="186"/>
      <c r="D7" s="9">
        <v>40000</v>
      </c>
      <c r="E7" s="3"/>
      <c r="O7" s="10"/>
      <c r="P7" s="11"/>
    </row>
    <row r="8" spans="2:16" ht="14.25" customHeight="1" x14ac:dyDescent="0.45">
      <c r="B8" s="185"/>
      <c r="C8" s="186"/>
      <c r="D8" s="12"/>
      <c r="E8" s="3"/>
      <c r="I8" s="187"/>
      <c r="J8" s="186"/>
      <c r="K8" s="13"/>
      <c r="O8" s="10"/>
      <c r="P8" s="11"/>
    </row>
    <row r="9" spans="2:16" ht="14.25" customHeight="1" thickBot="1" x14ac:dyDescent="0.5">
      <c r="B9" s="188" t="s">
        <v>7</v>
      </c>
      <c r="C9" s="189"/>
      <c r="D9" s="14">
        <v>200000</v>
      </c>
      <c r="E9" s="3"/>
      <c r="F9" s="15"/>
      <c r="G9" s="16"/>
      <c r="H9" s="16"/>
      <c r="I9" s="187"/>
      <c r="J9" s="186"/>
      <c r="K9" s="17"/>
      <c r="O9" s="1"/>
      <c r="P9" s="11"/>
    </row>
    <row r="10" spans="2:16" ht="14.25" customHeight="1" thickBot="1" x14ac:dyDescent="0.4">
      <c r="O10" s="1"/>
      <c r="P10" s="11"/>
    </row>
    <row r="11" spans="2:16" ht="43.5" customHeight="1" thickBot="1" x14ac:dyDescent="0.4">
      <c r="B11" s="4"/>
      <c r="C11" s="4"/>
      <c r="D11" s="4"/>
      <c r="E11" s="4"/>
      <c r="F11" s="190" t="s">
        <v>8</v>
      </c>
      <c r="G11" s="191"/>
      <c r="H11" s="191"/>
      <c r="I11" s="191"/>
      <c r="J11" s="191"/>
      <c r="K11" s="192"/>
      <c r="O11" s="1"/>
    </row>
    <row r="12" spans="2:16" ht="49.5" customHeight="1" thickBot="1" x14ac:dyDescent="0.4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 x14ac:dyDescent="0.35">
      <c r="B13" s="193" t="s">
        <v>19</v>
      </c>
      <c r="C13" s="194" t="s">
        <v>20</v>
      </c>
      <c r="D13" s="24" t="s">
        <v>20</v>
      </c>
      <c r="E13" s="25" t="s">
        <v>21</v>
      </c>
      <c r="F13" s="26">
        <f>'Hardware List-BLE'!D15</f>
        <v>2628000</v>
      </c>
      <c r="G13" s="27"/>
      <c r="H13" s="28">
        <f>F13</f>
        <v>2628000</v>
      </c>
      <c r="I13" s="29">
        <v>0.25</v>
      </c>
      <c r="J13" s="30">
        <f>H13/(1-I13)</f>
        <v>3504000</v>
      </c>
      <c r="K13" s="28">
        <f t="shared" ref="K13:K15" si="0">H13/(1-I13)</f>
        <v>3504000</v>
      </c>
      <c r="O13" s="1"/>
    </row>
    <row r="14" spans="2:16" ht="18" customHeight="1" x14ac:dyDescent="0.35">
      <c r="B14" s="182"/>
      <c r="C14" s="195"/>
      <c r="D14" s="31" t="s">
        <v>22</v>
      </c>
      <c r="E14" s="32" t="s">
        <v>21</v>
      </c>
      <c r="F14" s="33">
        <v>0</v>
      </c>
      <c r="G14" s="27"/>
      <c r="H14" s="34">
        <v>0</v>
      </c>
      <c r="I14" s="29">
        <v>0.25</v>
      </c>
      <c r="J14" s="30">
        <f t="shared" ref="J14" si="1">H14/(1-I14)</f>
        <v>0</v>
      </c>
      <c r="K14" s="34">
        <f t="shared" si="0"/>
        <v>0</v>
      </c>
      <c r="O14" s="1"/>
    </row>
    <row r="15" spans="2:16" ht="18" customHeight="1" x14ac:dyDescent="0.35">
      <c r="B15" s="182"/>
      <c r="C15" s="195"/>
      <c r="D15" s="35" t="s">
        <v>23</v>
      </c>
      <c r="E15" s="36" t="s">
        <v>21</v>
      </c>
      <c r="F15" s="34">
        <f>(SUM(F13:F14)*$D$6)</f>
        <v>131400</v>
      </c>
      <c r="G15" s="37"/>
      <c r="H15" s="34">
        <f>(SUM(H13:H14)*$D$6)</f>
        <v>131400</v>
      </c>
      <c r="I15" s="29">
        <v>0.25</v>
      </c>
      <c r="J15" s="30">
        <f>H15/(1-I15)</f>
        <v>175200</v>
      </c>
      <c r="K15" s="34">
        <f t="shared" si="0"/>
        <v>175200</v>
      </c>
      <c r="O15" s="1"/>
    </row>
    <row r="16" spans="2:16" ht="18" customHeight="1" x14ac:dyDescent="0.35">
      <c r="B16" s="182"/>
      <c r="C16" s="196"/>
      <c r="D16" s="38" t="s">
        <v>24</v>
      </c>
      <c r="E16" s="39"/>
      <c r="F16" s="38"/>
      <c r="G16" s="38"/>
      <c r="H16" s="40">
        <f>SUM(H13:H15)</f>
        <v>2759400</v>
      </c>
      <c r="I16" s="39"/>
      <c r="J16" s="39"/>
      <c r="K16" s="40">
        <f>SUM(K13:K15)</f>
        <v>3679200</v>
      </c>
      <c r="O16" s="1"/>
    </row>
    <row r="17" spans="2:16" ht="18" customHeight="1" x14ac:dyDescent="0.35">
      <c r="B17" s="182"/>
      <c r="C17" s="197" t="s">
        <v>25</v>
      </c>
      <c r="D17" s="35" t="s">
        <v>26</v>
      </c>
      <c r="E17" s="36" t="s">
        <v>21</v>
      </c>
      <c r="F17" s="41">
        <v>600000</v>
      </c>
      <c r="G17" s="37"/>
      <c r="H17" s="34">
        <f t="shared" ref="H17:H18" si="2">F17</f>
        <v>600000</v>
      </c>
      <c r="I17" s="42">
        <v>0.25</v>
      </c>
      <c r="J17" s="30">
        <f t="shared" ref="J17:J18" si="3">H17/(1-I17)</f>
        <v>800000</v>
      </c>
      <c r="K17" s="34">
        <f t="shared" ref="K17:K18" si="4">H17/(1-I17)</f>
        <v>800000</v>
      </c>
      <c r="O17" s="1"/>
    </row>
    <row r="18" spans="2:16" ht="18" customHeight="1" x14ac:dyDescent="0.35">
      <c r="B18" s="182"/>
      <c r="C18" s="195"/>
      <c r="D18" s="43" t="s">
        <v>7</v>
      </c>
      <c r="E18" s="32" t="s">
        <v>21</v>
      </c>
      <c r="F18" s="44">
        <f>D9</f>
        <v>200000</v>
      </c>
      <c r="G18" s="37"/>
      <c r="H18" s="34">
        <f t="shared" si="2"/>
        <v>200000</v>
      </c>
      <c r="I18" s="42">
        <v>0.25</v>
      </c>
      <c r="J18" s="30">
        <f t="shared" si="3"/>
        <v>266666.66666666669</v>
      </c>
      <c r="K18" s="34">
        <f t="shared" si="4"/>
        <v>266666.66666666669</v>
      </c>
      <c r="O18" s="1"/>
    </row>
    <row r="19" spans="2:16" ht="18" customHeight="1" x14ac:dyDescent="0.35">
      <c r="B19" s="182"/>
      <c r="C19" s="196"/>
      <c r="D19" s="38" t="s">
        <v>27</v>
      </c>
      <c r="E19" s="39"/>
      <c r="F19" s="38"/>
      <c r="G19" s="38"/>
      <c r="H19" s="40">
        <f>SUM(H17:H18)</f>
        <v>800000</v>
      </c>
      <c r="I19" s="39"/>
      <c r="J19" s="45"/>
      <c r="K19" s="40">
        <f>SUM(K17:K18)</f>
        <v>1066666.6666666667</v>
      </c>
      <c r="O19" s="1"/>
    </row>
    <row r="20" spans="2:16" ht="18" customHeight="1" x14ac:dyDescent="0.35">
      <c r="B20" s="183"/>
      <c r="D20" s="46"/>
      <c r="E20" s="47"/>
      <c r="F20" s="46"/>
      <c r="G20" s="48" t="s">
        <v>28</v>
      </c>
      <c r="H20" s="49">
        <f>H16+H19</f>
        <v>3559400</v>
      </c>
      <c r="I20" s="50"/>
      <c r="J20" s="51"/>
      <c r="K20" s="49">
        <f>K16+K19</f>
        <v>4745866.666666667</v>
      </c>
      <c r="N20" s="11"/>
      <c r="O20" s="1"/>
      <c r="P20" s="52"/>
    </row>
    <row r="21" spans="2:16" ht="18" customHeight="1" x14ac:dyDescent="0.35">
      <c r="B21" s="181" t="s">
        <v>29</v>
      </c>
      <c r="C21" s="36" t="s">
        <v>30</v>
      </c>
      <c r="D21" s="43" t="s">
        <v>31</v>
      </c>
      <c r="E21" s="32" t="s">
        <v>32</v>
      </c>
      <c r="F21" s="34">
        <f>'Manpower Cost New'!S8+'Manpower Cost New'!U26</f>
        <v>1086000</v>
      </c>
      <c r="G21" s="53">
        <f t="shared" ref="G21:G22" si="5">$D$4</f>
        <v>3</v>
      </c>
      <c r="H21" s="34">
        <f>F21</f>
        <v>1086000</v>
      </c>
      <c r="I21" s="42">
        <v>0</v>
      </c>
      <c r="J21" s="30">
        <f>H21</f>
        <v>1086000</v>
      </c>
      <c r="K21" s="34">
        <f>J21</f>
        <v>1086000</v>
      </c>
      <c r="L21" s="52"/>
      <c r="N21" s="11"/>
      <c r="O21" s="1"/>
      <c r="P21" s="52"/>
    </row>
    <row r="22" spans="2:16" ht="18" customHeight="1" x14ac:dyDescent="0.35">
      <c r="B22" s="182"/>
      <c r="C22" s="36" t="s">
        <v>33</v>
      </c>
      <c r="D22" s="54" t="s">
        <v>34</v>
      </c>
      <c r="E22" s="32" t="s">
        <v>32</v>
      </c>
      <c r="F22" s="34">
        <f>D7*12</f>
        <v>480000</v>
      </c>
      <c r="G22" s="53">
        <f t="shared" si="5"/>
        <v>3</v>
      </c>
      <c r="H22" s="34">
        <f>F22*G22</f>
        <v>1440000</v>
      </c>
      <c r="I22" s="42"/>
      <c r="J22" s="55">
        <v>0</v>
      </c>
      <c r="K22" s="34">
        <f>H22</f>
        <v>1440000</v>
      </c>
      <c r="N22" s="11"/>
      <c r="O22" s="1"/>
      <c r="P22" s="52"/>
    </row>
    <row r="23" spans="2:16" ht="18" customHeight="1" x14ac:dyDescent="0.35">
      <c r="B23" s="183"/>
      <c r="D23" s="46"/>
      <c r="E23" s="47"/>
      <c r="F23" s="56"/>
      <c r="G23" s="48" t="s">
        <v>35</v>
      </c>
      <c r="H23" s="49">
        <f>SUM(H21:H22)</f>
        <v>2526000</v>
      </c>
      <c r="I23" s="50"/>
      <c r="J23" s="51"/>
      <c r="K23" s="136">
        <f>SUM(K21:K22)</f>
        <v>2526000</v>
      </c>
      <c r="L23" s="52"/>
      <c r="O23" s="1"/>
    </row>
    <row r="24" spans="2:16" ht="18" customHeight="1" x14ac:dyDescent="0.35">
      <c r="B24" s="184" t="s">
        <v>36</v>
      </c>
      <c r="C24" s="36" t="s">
        <v>36</v>
      </c>
      <c r="D24" s="54" t="s">
        <v>37</v>
      </c>
      <c r="E24" s="32" t="s">
        <v>32</v>
      </c>
      <c r="F24" s="34">
        <f>SUM(F13:F15)*$D$5</f>
        <v>275940</v>
      </c>
      <c r="G24" s="53">
        <f>G21-1</f>
        <v>2</v>
      </c>
      <c r="H24" s="34">
        <f>F24*G24</f>
        <v>551880</v>
      </c>
      <c r="I24" s="29">
        <v>0.25</v>
      </c>
      <c r="J24" s="30">
        <f>H24/(1-I24)</f>
        <v>735840</v>
      </c>
      <c r="K24" s="34">
        <f>J24</f>
        <v>735840</v>
      </c>
      <c r="N24" s="11"/>
      <c r="O24" s="1"/>
      <c r="P24" s="52"/>
    </row>
    <row r="25" spans="2:16" ht="18" customHeight="1" x14ac:dyDescent="0.35">
      <c r="B25" s="183"/>
      <c r="C25" s="57" t="s">
        <v>38</v>
      </c>
      <c r="D25" s="46"/>
      <c r="E25" s="46"/>
      <c r="F25" s="46"/>
      <c r="G25" s="48" t="s">
        <v>38</v>
      </c>
      <c r="H25" s="49">
        <f>SUM(H24)</f>
        <v>551880</v>
      </c>
      <c r="I25" s="50"/>
      <c r="J25" s="51"/>
      <c r="K25" s="49">
        <f>K24</f>
        <v>735840</v>
      </c>
      <c r="O25" s="1"/>
      <c r="P25" s="52"/>
    </row>
    <row r="26" spans="2:16" ht="38.25" customHeight="1" thickBot="1" x14ac:dyDescent="0.4">
      <c r="B26" s="58"/>
      <c r="C26" s="59"/>
      <c r="D26" s="59"/>
      <c r="E26" s="59"/>
      <c r="F26" s="59"/>
      <c r="G26" s="60" t="s">
        <v>142</v>
      </c>
      <c r="H26" s="61">
        <f>H20+H23+H25</f>
        <v>6637280</v>
      </c>
      <c r="I26" s="62">
        <f>1-H26/K26</f>
        <v>0.17113846994062387</v>
      </c>
      <c r="J26" s="63"/>
      <c r="K26" s="61">
        <f>K20+K23+K24</f>
        <v>8007706.666666667</v>
      </c>
      <c r="O26" s="1"/>
    </row>
    <row r="27" spans="2:16" ht="14.25" customHeight="1" x14ac:dyDescent="0.35">
      <c r="H27" s="52"/>
      <c r="O27" s="1"/>
    </row>
    <row r="28" spans="2:16" ht="14.25" customHeight="1" x14ac:dyDescent="0.35">
      <c r="L28" s="11"/>
      <c r="O28" s="1"/>
    </row>
    <row r="29" spans="2:16" ht="14.25" customHeight="1" x14ac:dyDescent="0.35">
      <c r="D29" s="52"/>
      <c r="L29" s="64"/>
      <c r="M29" s="64"/>
      <c r="O29" s="1"/>
    </row>
    <row r="30" spans="2:16" ht="14.25" customHeight="1" x14ac:dyDescent="0.35">
      <c r="L30" s="64"/>
      <c r="M30" s="64"/>
      <c r="O30" s="1"/>
    </row>
    <row r="31" spans="2:16" ht="14.25" customHeight="1" x14ac:dyDescent="0.35">
      <c r="O31" s="1"/>
    </row>
    <row r="32" spans="2:16" ht="14.25" customHeight="1" x14ac:dyDescent="0.35">
      <c r="H32" s="52"/>
      <c r="O32" s="1"/>
    </row>
    <row r="33" spans="15:15" ht="14.25" customHeight="1" x14ac:dyDescent="0.35">
      <c r="O33" s="1"/>
    </row>
    <row r="34" spans="15:15" ht="14.25" customHeight="1" x14ac:dyDescent="0.35">
      <c r="O34" s="1"/>
    </row>
    <row r="35" spans="15:15" ht="14.25" customHeight="1" x14ac:dyDescent="0.35">
      <c r="O35" s="1"/>
    </row>
    <row r="36" spans="15:15" ht="14.25" customHeight="1" x14ac:dyDescent="0.35">
      <c r="O36" s="1"/>
    </row>
    <row r="37" spans="15:15" ht="14.25" customHeight="1" x14ac:dyDescent="0.35">
      <c r="O37" s="1"/>
    </row>
    <row r="38" spans="15:15" ht="14.25" customHeight="1" x14ac:dyDescent="0.35">
      <c r="O38" s="1"/>
    </row>
    <row r="39" spans="15:15" ht="14.25" customHeight="1" x14ac:dyDescent="0.35">
      <c r="O39" s="1"/>
    </row>
    <row r="40" spans="15:15" ht="14.25" customHeight="1" x14ac:dyDescent="0.35">
      <c r="O40" s="1"/>
    </row>
    <row r="41" spans="15:15" ht="14.25" customHeight="1" x14ac:dyDescent="0.35">
      <c r="O41" s="1"/>
    </row>
    <row r="42" spans="15:15" ht="14.25" customHeight="1" x14ac:dyDescent="0.35">
      <c r="O42" s="1"/>
    </row>
    <row r="43" spans="15:15" ht="14.25" customHeight="1" x14ac:dyDescent="0.35">
      <c r="O43" s="1"/>
    </row>
    <row r="44" spans="15:15" ht="14.25" customHeight="1" x14ac:dyDescent="0.35">
      <c r="O44" s="1"/>
    </row>
    <row r="45" spans="15:15" ht="14.25" customHeight="1" x14ac:dyDescent="0.35">
      <c r="O45" s="1"/>
    </row>
    <row r="46" spans="15:15" ht="14.25" customHeight="1" x14ac:dyDescent="0.35">
      <c r="O46" s="1"/>
    </row>
    <row r="47" spans="15:15" ht="14.25" customHeight="1" x14ac:dyDescent="0.35">
      <c r="O47" s="1"/>
    </row>
    <row r="48" spans="15:15" ht="14.25" customHeight="1" x14ac:dyDescent="0.35">
      <c r="O48" s="1"/>
    </row>
    <row r="49" spans="15:15" ht="14.25" customHeight="1" x14ac:dyDescent="0.35">
      <c r="O49" s="1"/>
    </row>
    <row r="50" spans="15:15" ht="14.25" customHeight="1" x14ac:dyDescent="0.35">
      <c r="O50" s="1"/>
    </row>
    <row r="51" spans="15:15" ht="14.25" customHeight="1" x14ac:dyDescent="0.35">
      <c r="O51" s="1"/>
    </row>
    <row r="52" spans="15:15" ht="14.25" customHeight="1" x14ac:dyDescent="0.35">
      <c r="O52" s="1"/>
    </row>
    <row r="53" spans="15:15" ht="14.25" customHeight="1" x14ac:dyDescent="0.35">
      <c r="O53" s="1"/>
    </row>
    <row r="54" spans="15:15" ht="14.25" customHeight="1" x14ac:dyDescent="0.35">
      <c r="O54" s="1"/>
    </row>
    <row r="55" spans="15:15" ht="14.25" customHeight="1" x14ac:dyDescent="0.35">
      <c r="O55" s="1"/>
    </row>
    <row r="56" spans="15:15" ht="14.25" customHeight="1" x14ac:dyDescent="0.35">
      <c r="O56" s="1"/>
    </row>
    <row r="57" spans="15:15" ht="14.25" customHeight="1" x14ac:dyDescent="0.35">
      <c r="O57" s="1"/>
    </row>
    <row r="58" spans="15:15" ht="14.25" customHeight="1" x14ac:dyDescent="0.35">
      <c r="O58" s="1"/>
    </row>
    <row r="59" spans="15:15" ht="14.25" customHeight="1" x14ac:dyDescent="0.35">
      <c r="O59" s="1"/>
    </row>
    <row r="60" spans="15:15" ht="14.25" customHeight="1" x14ac:dyDescent="0.35">
      <c r="O60" s="1"/>
    </row>
    <row r="61" spans="15:15" ht="14.25" customHeight="1" x14ac:dyDescent="0.35">
      <c r="O61" s="1"/>
    </row>
    <row r="62" spans="15:15" ht="14.25" customHeight="1" x14ac:dyDescent="0.35">
      <c r="O62" s="1"/>
    </row>
    <row r="63" spans="15:15" ht="14.25" customHeight="1" x14ac:dyDescent="0.35">
      <c r="O63" s="1"/>
    </row>
    <row r="64" spans="15:15" ht="14.25" customHeight="1" x14ac:dyDescent="0.35">
      <c r="O64" s="1"/>
    </row>
    <row r="65" spans="15:15" ht="14.25" customHeight="1" x14ac:dyDescent="0.35">
      <c r="O65" s="1"/>
    </row>
    <row r="66" spans="15:15" ht="14.25" customHeight="1" x14ac:dyDescent="0.35">
      <c r="O66" s="1"/>
    </row>
    <row r="67" spans="15:15" ht="14.25" customHeight="1" x14ac:dyDescent="0.35">
      <c r="O67" s="1"/>
    </row>
    <row r="68" spans="15:15" ht="14.25" customHeight="1" x14ac:dyDescent="0.35">
      <c r="O68" s="1"/>
    </row>
    <row r="69" spans="15:15" ht="14.25" customHeight="1" x14ac:dyDescent="0.35">
      <c r="O69" s="1"/>
    </row>
    <row r="70" spans="15:15" ht="14.25" customHeight="1" x14ac:dyDescent="0.35">
      <c r="O70" s="1"/>
    </row>
    <row r="71" spans="15:15" ht="14.25" customHeight="1" x14ac:dyDescent="0.35">
      <c r="O71" s="1"/>
    </row>
    <row r="72" spans="15:15" ht="14.25" customHeight="1" x14ac:dyDescent="0.35">
      <c r="O72" s="1"/>
    </row>
    <row r="73" spans="15:15" ht="14.25" customHeight="1" x14ac:dyDescent="0.35">
      <c r="O73" s="1"/>
    </row>
    <row r="74" spans="15:15" ht="14.25" customHeight="1" x14ac:dyDescent="0.35">
      <c r="O74" s="1"/>
    </row>
    <row r="75" spans="15:15" ht="14.25" customHeight="1" x14ac:dyDescent="0.35">
      <c r="O75" s="1"/>
    </row>
    <row r="76" spans="15:15" ht="14.25" customHeight="1" x14ac:dyDescent="0.35">
      <c r="O76" s="1"/>
    </row>
    <row r="77" spans="15:15" ht="14.25" customHeight="1" x14ac:dyDescent="0.35">
      <c r="O77" s="1"/>
    </row>
    <row r="78" spans="15:15" ht="14.25" customHeight="1" x14ac:dyDescent="0.35">
      <c r="O78" s="1"/>
    </row>
    <row r="79" spans="15:15" ht="14.25" customHeight="1" x14ac:dyDescent="0.35">
      <c r="O79" s="1"/>
    </row>
    <row r="80" spans="15:15" ht="14.25" customHeight="1" x14ac:dyDescent="0.35">
      <c r="O80" s="1"/>
    </row>
    <row r="81" spans="15:15" ht="14.25" customHeight="1" x14ac:dyDescent="0.35">
      <c r="O81" s="1"/>
    </row>
    <row r="82" spans="15:15" ht="14.25" customHeight="1" x14ac:dyDescent="0.35">
      <c r="O82" s="1"/>
    </row>
    <row r="83" spans="15:15" ht="14.25" customHeight="1" x14ac:dyDescent="0.35">
      <c r="O83" s="1"/>
    </row>
    <row r="84" spans="15:15" ht="14.25" customHeight="1" x14ac:dyDescent="0.35">
      <c r="O84" s="1"/>
    </row>
    <row r="85" spans="15:15" ht="14.25" customHeight="1" x14ac:dyDescent="0.35">
      <c r="O85" s="1"/>
    </row>
    <row r="86" spans="15:15" ht="14.25" customHeight="1" x14ac:dyDescent="0.35">
      <c r="O86" s="1"/>
    </row>
    <row r="87" spans="15:15" ht="14.25" customHeight="1" x14ac:dyDescent="0.35">
      <c r="O87" s="1"/>
    </row>
    <row r="88" spans="15:15" ht="14.25" customHeight="1" x14ac:dyDescent="0.35">
      <c r="O88" s="1"/>
    </row>
    <row r="89" spans="15:15" ht="14.25" customHeight="1" x14ac:dyDescent="0.35">
      <c r="O89" s="1"/>
    </row>
    <row r="90" spans="15:15" ht="14.25" customHeight="1" x14ac:dyDescent="0.35">
      <c r="O90" s="1"/>
    </row>
    <row r="91" spans="15:15" ht="14.25" customHeight="1" x14ac:dyDescent="0.35">
      <c r="O91" s="1"/>
    </row>
    <row r="92" spans="15:15" ht="14.25" customHeight="1" x14ac:dyDescent="0.35">
      <c r="O92" s="1"/>
    </row>
    <row r="93" spans="15:15" ht="14.25" customHeight="1" x14ac:dyDescent="0.35">
      <c r="O93" s="1"/>
    </row>
    <row r="94" spans="15:15" ht="14.25" customHeight="1" x14ac:dyDescent="0.35">
      <c r="O94" s="1"/>
    </row>
    <row r="95" spans="15:15" ht="14.25" customHeight="1" x14ac:dyDescent="0.35">
      <c r="O95" s="1"/>
    </row>
    <row r="96" spans="15:15" ht="14.25" customHeight="1" x14ac:dyDescent="0.35">
      <c r="O96" s="1"/>
    </row>
    <row r="97" spans="15:15" ht="14.25" customHeight="1" x14ac:dyDescent="0.35">
      <c r="O97" s="1"/>
    </row>
    <row r="98" spans="15:15" ht="14.25" customHeight="1" x14ac:dyDescent="0.35">
      <c r="O98" s="1"/>
    </row>
    <row r="99" spans="15:15" ht="14.25" customHeight="1" x14ac:dyDescent="0.35">
      <c r="O99" s="1"/>
    </row>
    <row r="100" spans="15:15" ht="14.25" customHeight="1" x14ac:dyDescent="0.35">
      <c r="O100" s="1"/>
    </row>
    <row r="101" spans="15:15" ht="14.25" customHeight="1" x14ac:dyDescent="0.35">
      <c r="O101" s="1"/>
    </row>
    <row r="102" spans="15:15" ht="14.25" customHeight="1" x14ac:dyDescent="0.35">
      <c r="O102" s="1"/>
    </row>
    <row r="103" spans="15:15" ht="14.25" customHeight="1" x14ac:dyDescent="0.35">
      <c r="O103" s="1"/>
    </row>
    <row r="104" spans="15:15" ht="14.25" customHeight="1" x14ac:dyDescent="0.35">
      <c r="O104" s="1"/>
    </row>
    <row r="105" spans="15:15" ht="14.25" customHeight="1" x14ac:dyDescent="0.35">
      <c r="O105" s="1"/>
    </row>
    <row r="106" spans="15:15" ht="14.25" customHeight="1" x14ac:dyDescent="0.35">
      <c r="O106" s="1"/>
    </row>
    <row r="107" spans="15:15" ht="14.25" customHeight="1" x14ac:dyDescent="0.35">
      <c r="O107" s="1"/>
    </row>
    <row r="108" spans="15:15" ht="14.25" customHeight="1" x14ac:dyDescent="0.35">
      <c r="O108" s="1"/>
    </row>
    <row r="109" spans="15:15" ht="14.25" customHeight="1" x14ac:dyDescent="0.35">
      <c r="O109" s="1"/>
    </row>
    <row r="110" spans="15:15" ht="14.25" customHeight="1" x14ac:dyDescent="0.35">
      <c r="O110" s="1"/>
    </row>
    <row r="111" spans="15:15" ht="14.25" customHeight="1" x14ac:dyDescent="0.35">
      <c r="O111" s="1"/>
    </row>
    <row r="112" spans="15:15" ht="14.25" customHeight="1" x14ac:dyDescent="0.35">
      <c r="O112" s="1"/>
    </row>
    <row r="113" spans="15:15" ht="14.25" customHeight="1" x14ac:dyDescent="0.35">
      <c r="O113" s="1"/>
    </row>
    <row r="114" spans="15:15" ht="14.25" customHeight="1" x14ac:dyDescent="0.35">
      <c r="O114" s="1"/>
    </row>
    <row r="115" spans="15:15" ht="14.25" customHeight="1" x14ac:dyDescent="0.35">
      <c r="O115" s="1"/>
    </row>
    <row r="116" spans="15:15" ht="14.25" customHeight="1" x14ac:dyDescent="0.35">
      <c r="O116" s="1"/>
    </row>
    <row r="117" spans="15:15" ht="14.25" customHeight="1" x14ac:dyDescent="0.35">
      <c r="O117" s="1"/>
    </row>
    <row r="118" spans="15:15" ht="14.25" customHeight="1" x14ac:dyDescent="0.35">
      <c r="O118" s="1"/>
    </row>
    <row r="119" spans="15:15" ht="14.25" customHeight="1" x14ac:dyDescent="0.35">
      <c r="O119" s="1"/>
    </row>
    <row r="120" spans="15:15" ht="14.25" customHeight="1" x14ac:dyDescent="0.35">
      <c r="O120" s="1"/>
    </row>
    <row r="121" spans="15:15" ht="14.25" customHeight="1" x14ac:dyDescent="0.35">
      <c r="O121" s="1"/>
    </row>
    <row r="122" spans="15:15" ht="14.25" customHeight="1" x14ac:dyDescent="0.35">
      <c r="O122" s="1"/>
    </row>
    <row r="123" spans="15:15" ht="14.25" customHeight="1" x14ac:dyDescent="0.35">
      <c r="O123" s="1"/>
    </row>
    <row r="124" spans="15:15" ht="14.25" customHeight="1" x14ac:dyDescent="0.35">
      <c r="O124" s="1"/>
    </row>
    <row r="125" spans="15:15" ht="14.25" customHeight="1" x14ac:dyDescent="0.35">
      <c r="O125" s="1"/>
    </row>
    <row r="126" spans="15:15" ht="14.25" customHeight="1" x14ac:dyDescent="0.35">
      <c r="O126" s="1"/>
    </row>
    <row r="127" spans="15:15" ht="14.25" customHeight="1" x14ac:dyDescent="0.35">
      <c r="O127" s="1"/>
    </row>
    <row r="128" spans="15:15" ht="14.25" customHeight="1" x14ac:dyDescent="0.35">
      <c r="O128" s="1"/>
    </row>
    <row r="129" spans="15:15" ht="14.25" customHeight="1" x14ac:dyDescent="0.35">
      <c r="O129" s="1"/>
    </row>
    <row r="130" spans="15:15" ht="14.25" customHeight="1" x14ac:dyDescent="0.35">
      <c r="O130" s="1"/>
    </row>
    <row r="131" spans="15:15" ht="14.25" customHeight="1" x14ac:dyDescent="0.35">
      <c r="O131" s="1"/>
    </row>
    <row r="132" spans="15:15" ht="14.25" customHeight="1" x14ac:dyDescent="0.35">
      <c r="O132" s="1"/>
    </row>
    <row r="133" spans="15:15" ht="14.25" customHeight="1" x14ac:dyDescent="0.35">
      <c r="O133" s="1"/>
    </row>
    <row r="134" spans="15:15" ht="14.25" customHeight="1" x14ac:dyDescent="0.35">
      <c r="O134" s="1"/>
    </row>
    <row r="135" spans="15:15" ht="14.25" customHeight="1" x14ac:dyDescent="0.35">
      <c r="O135" s="1"/>
    </row>
    <row r="136" spans="15:15" ht="14.25" customHeight="1" x14ac:dyDescent="0.35">
      <c r="O136" s="1"/>
    </row>
    <row r="137" spans="15:15" ht="14.25" customHeight="1" x14ac:dyDescent="0.35">
      <c r="O137" s="1"/>
    </row>
    <row r="138" spans="15:15" ht="14.25" customHeight="1" x14ac:dyDescent="0.35">
      <c r="O138" s="1"/>
    </row>
    <row r="139" spans="15:15" ht="14.25" customHeight="1" x14ac:dyDescent="0.35">
      <c r="O139" s="1"/>
    </row>
    <row r="140" spans="15:15" ht="14.25" customHeight="1" x14ac:dyDescent="0.35">
      <c r="O140" s="1"/>
    </row>
    <row r="141" spans="15:15" ht="14.25" customHeight="1" x14ac:dyDescent="0.35">
      <c r="O141" s="1"/>
    </row>
    <row r="142" spans="15:15" ht="14.25" customHeight="1" x14ac:dyDescent="0.35">
      <c r="O142" s="1"/>
    </row>
    <row r="143" spans="15:15" ht="14.25" customHeight="1" x14ac:dyDescent="0.35">
      <c r="O143" s="1"/>
    </row>
    <row r="144" spans="15:15" ht="14.25" customHeight="1" x14ac:dyDescent="0.35">
      <c r="O144" s="1"/>
    </row>
    <row r="145" spans="15:15" ht="14.25" customHeight="1" x14ac:dyDescent="0.35">
      <c r="O145" s="1"/>
    </row>
    <row r="146" spans="15:15" ht="14.25" customHeight="1" x14ac:dyDescent="0.35">
      <c r="O146" s="1"/>
    </row>
    <row r="147" spans="15:15" ht="14.25" customHeight="1" x14ac:dyDescent="0.35">
      <c r="O147" s="1"/>
    </row>
    <row r="148" spans="15:15" ht="14.25" customHeight="1" x14ac:dyDescent="0.35">
      <c r="O148" s="1"/>
    </row>
    <row r="149" spans="15:15" ht="14.25" customHeight="1" x14ac:dyDescent="0.35">
      <c r="O149" s="1"/>
    </row>
    <row r="150" spans="15:15" ht="14.25" customHeight="1" x14ac:dyDescent="0.35">
      <c r="O150" s="1"/>
    </row>
    <row r="151" spans="15:15" ht="14.25" customHeight="1" x14ac:dyDescent="0.35">
      <c r="O151" s="1"/>
    </row>
    <row r="152" spans="15:15" ht="14.25" customHeight="1" x14ac:dyDescent="0.35">
      <c r="O152" s="1"/>
    </row>
    <row r="153" spans="15:15" ht="14.25" customHeight="1" x14ac:dyDescent="0.35">
      <c r="O153" s="1"/>
    </row>
    <row r="154" spans="15:15" ht="14.25" customHeight="1" x14ac:dyDescent="0.35">
      <c r="O154" s="1"/>
    </row>
    <row r="155" spans="15:15" ht="14.25" customHeight="1" x14ac:dyDescent="0.35">
      <c r="O155" s="1"/>
    </row>
    <row r="156" spans="15:15" ht="14.25" customHeight="1" x14ac:dyDescent="0.35">
      <c r="O156" s="1"/>
    </row>
    <row r="157" spans="15:15" ht="14.25" customHeight="1" x14ac:dyDescent="0.35">
      <c r="O157" s="1"/>
    </row>
    <row r="158" spans="15:15" ht="14.25" customHeight="1" x14ac:dyDescent="0.35">
      <c r="O158" s="1"/>
    </row>
    <row r="159" spans="15:15" ht="14.25" customHeight="1" x14ac:dyDescent="0.35">
      <c r="O159" s="1"/>
    </row>
    <row r="160" spans="15:15" ht="14.25" customHeight="1" x14ac:dyDescent="0.35">
      <c r="O160" s="1"/>
    </row>
    <row r="161" spans="15:15" ht="14.25" customHeight="1" x14ac:dyDescent="0.35">
      <c r="O161" s="1"/>
    </row>
    <row r="162" spans="15:15" ht="14.25" customHeight="1" x14ac:dyDescent="0.35">
      <c r="O162" s="1"/>
    </row>
    <row r="163" spans="15:15" ht="14.25" customHeight="1" x14ac:dyDescent="0.35">
      <c r="O163" s="1"/>
    </row>
    <row r="164" spans="15:15" ht="14.25" customHeight="1" x14ac:dyDescent="0.35">
      <c r="O164" s="1"/>
    </row>
    <row r="165" spans="15:15" ht="14.25" customHeight="1" x14ac:dyDescent="0.35">
      <c r="O165" s="1"/>
    </row>
    <row r="166" spans="15:15" ht="14.25" customHeight="1" x14ac:dyDescent="0.35">
      <c r="O166" s="1"/>
    </row>
    <row r="167" spans="15:15" ht="14.25" customHeight="1" x14ac:dyDescent="0.35">
      <c r="O167" s="1"/>
    </row>
    <row r="168" spans="15:15" ht="14.25" customHeight="1" x14ac:dyDescent="0.35">
      <c r="O168" s="1"/>
    </row>
    <row r="169" spans="15:15" ht="14.25" customHeight="1" x14ac:dyDescent="0.35">
      <c r="O169" s="1"/>
    </row>
    <row r="170" spans="15:15" ht="14.25" customHeight="1" x14ac:dyDescent="0.35">
      <c r="O170" s="1"/>
    </row>
    <row r="171" spans="15:15" ht="14.25" customHeight="1" x14ac:dyDescent="0.35">
      <c r="O171" s="1"/>
    </row>
    <row r="172" spans="15:15" ht="14.25" customHeight="1" x14ac:dyDescent="0.35">
      <c r="O172" s="1"/>
    </row>
    <row r="173" spans="15:15" ht="14.25" customHeight="1" x14ac:dyDescent="0.35">
      <c r="O173" s="1"/>
    </row>
    <row r="174" spans="15:15" ht="14.25" customHeight="1" x14ac:dyDescent="0.35">
      <c r="O174" s="1"/>
    </row>
    <row r="175" spans="15:15" ht="14.25" customHeight="1" x14ac:dyDescent="0.35">
      <c r="O175" s="1"/>
    </row>
    <row r="176" spans="15:15" ht="14.25" customHeight="1" x14ac:dyDescent="0.35">
      <c r="O176" s="1"/>
    </row>
    <row r="177" spans="15:15" ht="14.25" customHeight="1" x14ac:dyDescent="0.35">
      <c r="O177" s="1"/>
    </row>
    <row r="178" spans="15:15" ht="14.25" customHeight="1" x14ac:dyDescent="0.35">
      <c r="O178" s="1"/>
    </row>
    <row r="179" spans="15:15" ht="14.25" customHeight="1" x14ac:dyDescent="0.35">
      <c r="O179" s="1"/>
    </row>
    <row r="180" spans="15:15" ht="14.25" customHeight="1" x14ac:dyDescent="0.35">
      <c r="O180" s="1"/>
    </row>
    <row r="181" spans="15:15" ht="14.25" customHeight="1" x14ac:dyDescent="0.35">
      <c r="O181" s="1"/>
    </row>
    <row r="182" spans="15:15" ht="14.25" customHeight="1" x14ac:dyDescent="0.35">
      <c r="O182" s="1"/>
    </row>
    <row r="183" spans="15:15" ht="14.25" customHeight="1" x14ac:dyDescent="0.35">
      <c r="O183" s="1"/>
    </row>
    <row r="184" spans="15:15" ht="14.25" customHeight="1" x14ac:dyDescent="0.35">
      <c r="O184" s="1"/>
    </row>
    <row r="185" spans="15:15" ht="14.25" customHeight="1" x14ac:dyDescent="0.35">
      <c r="O185" s="1"/>
    </row>
    <row r="186" spans="15:15" ht="14.25" customHeight="1" x14ac:dyDescent="0.35">
      <c r="O186" s="1"/>
    </row>
    <row r="187" spans="15:15" ht="14.25" customHeight="1" x14ac:dyDescent="0.35">
      <c r="O187" s="1"/>
    </row>
    <row r="188" spans="15:15" ht="14.25" customHeight="1" x14ac:dyDescent="0.35">
      <c r="O188" s="1"/>
    </row>
    <row r="189" spans="15:15" ht="14.25" customHeight="1" x14ac:dyDescent="0.35">
      <c r="O189" s="1"/>
    </row>
    <row r="190" spans="15:15" ht="14.25" customHeight="1" x14ac:dyDescent="0.35">
      <c r="O190" s="1"/>
    </row>
    <row r="191" spans="15:15" ht="14.25" customHeight="1" x14ac:dyDescent="0.35">
      <c r="O191" s="1"/>
    </row>
    <row r="192" spans="15:15" ht="14.25" customHeight="1" x14ac:dyDescent="0.35">
      <c r="O192" s="1"/>
    </row>
    <row r="193" spans="15:15" ht="14.25" customHeight="1" x14ac:dyDescent="0.35">
      <c r="O193" s="1"/>
    </row>
    <row r="194" spans="15:15" ht="14.25" customHeight="1" x14ac:dyDescent="0.35">
      <c r="O194" s="1"/>
    </row>
    <row r="195" spans="15:15" ht="14.25" customHeight="1" x14ac:dyDescent="0.35">
      <c r="O195" s="1"/>
    </row>
    <row r="196" spans="15:15" ht="14.25" customHeight="1" x14ac:dyDescent="0.35">
      <c r="O196" s="1"/>
    </row>
    <row r="197" spans="15:15" ht="14.25" customHeight="1" x14ac:dyDescent="0.35">
      <c r="O197" s="1"/>
    </row>
    <row r="198" spans="15:15" ht="14.25" customHeight="1" x14ac:dyDescent="0.35">
      <c r="O198" s="1"/>
    </row>
    <row r="199" spans="15:15" ht="14.25" customHeight="1" x14ac:dyDescent="0.35">
      <c r="O199" s="1"/>
    </row>
    <row r="200" spans="15:15" ht="14.25" customHeight="1" x14ac:dyDescent="0.35">
      <c r="O200" s="1"/>
    </row>
    <row r="201" spans="15:15" ht="14.25" customHeight="1" x14ac:dyDescent="0.35">
      <c r="O201" s="1"/>
    </row>
    <row r="202" spans="15:15" ht="14.25" customHeight="1" x14ac:dyDescent="0.35">
      <c r="O202" s="1"/>
    </row>
    <row r="203" spans="15:15" ht="14.25" customHeight="1" x14ac:dyDescent="0.35">
      <c r="O203" s="1"/>
    </row>
    <row r="204" spans="15:15" ht="14.25" customHeight="1" x14ac:dyDescent="0.35">
      <c r="O204" s="1"/>
    </row>
    <row r="205" spans="15:15" ht="14.25" customHeight="1" x14ac:dyDescent="0.35">
      <c r="O205" s="1"/>
    </row>
    <row r="206" spans="15:15" ht="14.25" customHeight="1" x14ac:dyDescent="0.35">
      <c r="O206" s="1"/>
    </row>
    <row r="207" spans="15:15" ht="14.25" customHeight="1" x14ac:dyDescent="0.35">
      <c r="O207" s="1"/>
    </row>
    <row r="208" spans="15:15" ht="14.25" customHeight="1" x14ac:dyDescent="0.35">
      <c r="O208" s="1"/>
    </row>
    <row r="209" spans="15:15" ht="14.25" customHeight="1" x14ac:dyDescent="0.35">
      <c r="O209" s="1"/>
    </row>
    <row r="210" spans="15:15" ht="14.25" customHeight="1" x14ac:dyDescent="0.35">
      <c r="O210" s="1"/>
    </row>
    <row r="211" spans="15:15" ht="14.25" customHeight="1" x14ac:dyDescent="0.35">
      <c r="O211" s="1"/>
    </row>
    <row r="212" spans="15:15" ht="14.25" customHeight="1" x14ac:dyDescent="0.35">
      <c r="O212" s="1"/>
    </row>
    <row r="213" spans="15:15" ht="14.25" customHeight="1" x14ac:dyDescent="0.35">
      <c r="O213" s="1"/>
    </row>
    <row r="214" spans="15:15" ht="14.25" customHeight="1" x14ac:dyDescent="0.35">
      <c r="O214" s="1"/>
    </row>
    <row r="215" spans="15:15" ht="14.25" customHeight="1" x14ac:dyDescent="0.35">
      <c r="O215" s="1"/>
    </row>
    <row r="216" spans="15:15" ht="14.25" customHeight="1" x14ac:dyDescent="0.35">
      <c r="O216" s="1"/>
    </row>
    <row r="217" spans="15:15" ht="14.25" customHeight="1" x14ac:dyDescent="0.35">
      <c r="O217" s="1"/>
    </row>
    <row r="218" spans="15:15" ht="14.25" customHeight="1" x14ac:dyDescent="0.35">
      <c r="O218" s="1"/>
    </row>
    <row r="219" spans="15:15" ht="14.25" customHeight="1" x14ac:dyDescent="0.35">
      <c r="O219" s="1"/>
    </row>
    <row r="220" spans="15:15" ht="14.25" customHeight="1" x14ac:dyDescent="0.35">
      <c r="O220" s="1"/>
    </row>
    <row r="221" spans="15:15" ht="14.25" customHeight="1" x14ac:dyDescent="0.35">
      <c r="O221" s="1"/>
    </row>
    <row r="222" spans="15:15" ht="14.25" customHeight="1" x14ac:dyDescent="0.35">
      <c r="O222" s="1"/>
    </row>
    <row r="223" spans="15:15" ht="14.25" customHeight="1" x14ac:dyDescent="0.35">
      <c r="O223" s="1"/>
    </row>
    <row r="224" spans="15:15" ht="14.25" customHeight="1" x14ac:dyDescent="0.35">
      <c r="O224" s="1"/>
    </row>
    <row r="225" spans="15:15" ht="14.25" customHeight="1" x14ac:dyDescent="0.35">
      <c r="O225" s="1"/>
    </row>
    <row r="226" spans="15:15" ht="14.25" customHeight="1" x14ac:dyDescent="0.35">
      <c r="O226" s="1"/>
    </row>
    <row r="227" spans="15:15" ht="14.25" customHeight="1" x14ac:dyDescent="0.35">
      <c r="O227" s="1"/>
    </row>
    <row r="228" spans="15:15" ht="14.25" customHeight="1" x14ac:dyDescent="0.35">
      <c r="O228" s="1"/>
    </row>
    <row r="229" spans="15:15" ht="14.25" customHeight="1" x14ac:dyDescent="0.35">
      <c r="O229" s="1"/>
    </row>
    <row r="230" spans="15:15" ht="14.25" customHeight="1" x14ac:dyDescent="0.35">
      <c r="O230" s="1"/>
    </row>
    <row r="231" spans="15:15" ht="14.25" customHeight="1" x14ac:dyDescent="0.35">
      <c r="O231" s="1"/>
    </row>
    <row r="232" spans="15:15" ht="14.25" customHeight="1" x14ac:dyDescent="0.35">
      <c r="O232" s="1"/>
    </row>
    <row r="233" spans="15:15" ht="14.25" customHeight="1" x14ac:dyDescent="0.35">
      <c r="O233" s="1"/>
    </row>
    <row r="234" spans="15:15" ht="14.25" customHeight="1" x14ac:dyDescent="0.35">
      <c r="O234" s="1"/>
    </row>
    <row r="235" spans="15:15" ht="14.25" customHeight="1" x14ac:dyDescent="0.35">
      <c r="O235" s="1"/>
    </row>
    <row r="236" spans="15:15" ht="14.25" customHeight="1" x14ac:dyDescent="0.35">
      <c r="O236" s="1"/>
    </row>
    <row r="237" spans="15:15" ht="14.25" customHeight="1" x14ac:dyDescent="0.35">
      <c r="O237" s="1"/>
    </row>
    <row r="238" spans="15:15" ht="14.25" customHeight="1" x14ac:dyDescent="0.35">
      <c r="O238" s="1"/>
    </row>
    <row r="239" spans="15:15" ht="14.25" customHeight="1" x14ac:dyDescent="0.35">
      <c r="O239" s="1"/>
    </row>
    <row r="240" spans="15:15" ht="14.25" customHeight="1" x14ac:dyDescent="0.35">
      <c r="O240" s="1"/>
    </row>
    <row r="241" spans="15:15" ht="14.25" customHeight="1" x14ac:dyDescent="0.35">
      <c r="O241" s="1"/>
    </row>
    <row r="242" spans="15:15" ht="14.25" customHeight="1" x14ac:dyDescent="0.35">
      <c r="O242" s="1"/>
    </row>
    <row r="243" spans="15:15" ht="14.25" customHeight="1" x14ac:dyDescent="0.35">
      <c r="O243" s="1"/>
    </row>
    <row r="244" spans="15:15" ht="14.25" customHeight="1" x14ac:dyDescent="0.35">
      <c r="O244" s="1"/>
    </row>
    <row r="245" spans="15:15" ht="14.25" customHeight="1" x14ac:dyDescent="0.35">
      <c r="O245" s="1"/>
    </row>
    <row r="246" spans="15:15" ht="14.25" customHeight="1" x14ac:dyDescent="0.35">
      <c r="O246" s="1"/>
    </row>
    <row r="247" spans="15:15" ht="14.25" customHeight="1" x14ac:dyDescent="0.35">
      <c r="O247" s="1"/>
    </row>
    <row r="248" spans="15:15" ht="14.25" customHeight="1" x14ac:dyDescent="0.35">
      <c r="O248" s="1"/>
    </row>
    <row r="249" spans="15:15" ht="14.25" customHeight="1" x14ac:dyDescent="0.35">
      <c r="O249" s="1"/>
    </row>
    <row r="250" spans="15:15" ht="14.25" customHeight="1" x14ac:dyDescent="0.35">
      <c r="O250" s="1"/>
    </row>
    <row r="251" spans="15:15" ht="14.25" customHeight="1" x14ac:dyDescent="0.35">
      <c r="O251" s="1"/>
    </row>
    <row r="252" spans="15:15" ht="14.25" customHeight="1" x14ac:dyDescent="0.35">
      <c r="O252" s="1"/>
    </row>
    <row r="253" spans="15:15" ht="14.25" customHeight="1" x14ac:dyDescent="0.35">
      <c r="O253" s="1"/>
    </row>
    <row r="254" spans="15:15" ht="14.25" customHeight="1" x14ac:dyDescent="0.35">
      <c r="O254" s="1"/>
    </row>
    <row r="255" spans="15:15" ht="14.25" customHeight="1" x14ac:dyDescent="0.35">
      <c r="O255" s="1"/>
    </row>
    <row r="256" spans="15:15" ht="14.25" customHeight="1" x14ac:dyDescent="0.35">
      <c r="O256" s="1"/>
    </row>
    <row r="257" spans="15:15" ht="14.25" customHeight="1" x14ac:dyDescent="0.35">
      <c r="O257" s="1"/>
    </row>
    <row r="258" spans="15:15" ht="14.25" customHeight="1" x14ac:dyDescent="0.35">
      <c r="O258" s="1"/>
    </row>
    <row r="259" spans="15:15" ht="14.25" customHeight="1" x14ac:dyDescent="0.35">
      <c r="O259" s="1"/>
    </row>
    <row r="260" spans="15:15" ht="14.25" customHeight="1" x14ac:dyDescent="0.35">
      <c r="O260" s="1"/>
    </row>
    <row r="261" spans="15:15" ht="14.25" customHeight="1" x14ac:dyDescent="0.35">
      <c r="O261" s="1"/>
    </row>
    <row r="262" spans="15:15" ht="14.25" customHeight="1" x14ac:dyDescent="0.35">
      <c r="O262" s="1"/>
    </row>
    <row r="263" spans="15:15" ht="14.25" customHeight="1" x14ac:dyDescent="0.35">
      <c r="O263" s="1"/>
    </row>
    <row r="264" spans="15:15" ht="14.25" customHeight="1" x14ac:dyDescent="0.35">
      <c r="O264" s="1"/>
    </row>
    <row r="265" spans="15:15" ht="14.25" customHeight="1" x14ac:dyDescent="0.35">
      <c r="O265" s="1"/>
    </row>
    <row r="266" spans="15:15" ht="14.25" customHeight="1" x14ac:dyDescent="0.35">
      <c r="O266" s="1"/>
    </row>
    <row r="267" spans="15:15" ht="14.25" customHeight="1" x14ac:dyDescent="0.35">
      <c r="O267" s="1"/>
    </row>
    <row r="268" spans="15:15" ht="14.25" customHeight="1" x14ac:dyDescent="0.35">
      <c r="O268" s="1"/>
    </row>
    <row r="269" spans="15:15" ht="14.25" customHeight="1" x14ac:dyDescent="0.35">
      <c r="O269" s="1"/>
    </row>
    <row r="270" spans="15:15" ht="14.25" customHeight="1" x14ac:dyDescent="0.35">
      <c r="O270" s="1"/>
    </row>
    <row r="271" spans="15:15" ht="14.25" customHeight="1" x14ac:dyDescent="0.35">
      <c r="O271" s="1"/>
    </row>
    <row r="272" spans="15:15" ht="14.25" customHeight="1" x14ac:dyDescent="0.35">
      <c r="O272" s="1"/>
    </row>
    <row r="273" spans="15:15" ht="14.25" customHeight="1" x14ac:dyDescent="0.35">
      <c r="O273" s="1"/>
    </row>
    <row r="274" spans="15:15" ht="14.25" customHeight="1" x14ac:dyDescent="0.35">
      <c r="O274" s="1"/>
    </row>
    <row r="275" spans="15:15" ht="14.25" customHeight="1" x14ac:dyDescent="0.35">
      <c r="O275" s="1"/>
    </row>
    <row r="276" spans="15:15" ht="14.25" customHeight="1" x14ac:dyDescent="0.35">
      <c r="O276" s="1"/>
    </row>
    <row r="277" spans="15:15" ht="14.25" customHeight="1" x14ac:dyDescent="0.35">
      <c r="O277" s="1"/>
    </row>
    <row r="278" spans="15:15" ht="14.25" customHeight="1" x14ac:dyDescent="0.35">
      <c r="O278" s="1"/>
    </row>
    <row r="279" spans="15:15" ht="14.25" customHeight="1" x14ac:dyDescent="0.35">
      <c r="O279" s="1"/>
    </row>
    <row r="280" spans="15:15" ht="14.25" customHeight="1" x14ac:dyDescent="0.35">
      <c r="O280" s="1"/>
    </row>
    <row r="281" spans="15:15" ht="14.25" customHeight="1" x14ac:dyDescent="0.35">
      <c r="O281" s="1"/>
    </row>
    <row r="282" spans="15:15" ht="14.25" customHeight="1" x14ac:dyDescent="0.35">
      <c r="O282" s="1"/>
    </row>
    <row r="283" spans="15:15" ht="14.25" customHeight="1" x14ac:dyDescent="0.35">
      <c r="O283" s="1"/>
    </row>
    <row r="284" spans="15:15" ht="14.25" customHeight="1" x14ac:dyDescent="0.35">
      <c r="O284" s="1"/>
    </row>
    <row r="285" spans="15:15" ht="14.25" customHeight="1" x14ac:dyDescent="0.35">
      <c r="O285" s="1"/>
    </row>
    <row r="286" spans="15:15" ht="14.25" customHeight="1" x14ac:dyDescent="0.35">
      <c r="O286" s="1"/>
    </row>
    <row r="287" spans="15:15" ht="14.25" customHeight="1" x14ac:dyDescent="0.35">
      <c r="O287" s="1"/>
    </row>
    <row r="288" spans="15:15" ht="14.25" customHeight="1" x14ac:dyDescent="0.35">
      <c r="O288" s="1"/>
    </row>
    <row r="289" spans="15:15" ht="14.25" customHeight="1" x14ac:dyDescent="0.35">
      <c r="O289" s="1"/>
    </row>
    <row r="290" spans="15:15" ht="14.25" customHeight="1" x14ac:dyDescent="0.35">
      <c r="O290" s="1"/>
    </row>
    <row r="291" spans="15:15" ht="14.25" customHeight="1" x14ac:dyDescent="0.35">
      <c r="O291" s="1"/>
    </row>
    <row r="292" spans="15:15" ht="14.25" customHeight="1" x14ac:dyDescent="0.35">
      <c r="O292" s="1"/>
    </row>
    <row r="293" spans="15:15" ht="14.25" customHeight="1" x14ac:dyDescent="0.35">
      <c r="O293" s="1"/>
    </row>
    <row r="294" spans="15:15" ht="14.25" customHeight="1" x14ac:dyDescent="0.35">
      <c r="O294" s="1"/>
    </row>
    <row r="295" spans="15:15" ht="14.25" customHeight="1" x14ac:dyDescent="0.35">
      <c r="O295" s="1"/>
    </row>
    <row r="296" spans="15:15" ht="14.25" customHeight="1" x14ac:dyDescent="0.35">
      <c r="O296" s="1"/>
    </row>
    <row r="297" spans="15:15" ht="14.25" customHeight="1" x14ac:dyDescent="0.35">
      <c r="O297" s="1"/>
    </row>
    <row r="298" spans="15:15" ht="14.25" customHeight="1" x14ac:dyDescent="0.35">
      <c r="O298" s="1"/>
    </row>
    <row r="299" spans="15:15" ht="14.25" customHeight="1" x14ac:dyDescent="0.35">
      <c r="O299" s="1"/>
    </row>
    <row r="300" spans="15:15" ht="14.25" customHeight="1" x14ac:dyDescent="0.35">
      <c r="O300" s="1"/>
    </row>
    <row r="301" spans="15:15" ht="14.25" customHeight="1" x14ac:dyDescent="0.35">
      <c r="O301" s="1"/>
    </row>
    <row r="302" spans="15:15" ht="14.25" customHeight="1" x14ac:dyDescent="0.35">
      <c r="O302" s="1"/>
    </row>
    <row r="303" spans="15:15" ht="14.25" customHeight="1" x14ac:dyDescent="0.35">
      <c r="O303" s="1"/>
    </row>
    <row r="304" spans="15:15" ht="14.25" customHeight="1" x14ac:dyDescent="0.35">
      <c r="O304" s="1"/>
    </row>
    <row r="305" spans="15:15" ht="14.25" customHeight="1" x14ac:dyDescent="0.35">
      <c r="O305" s="1"/>
    </row>
    <row r="306" spans="15:15" ht="14.25" customHeight="1" x14ac:dyDescent="0.35">
      <c r="O306" s="1"/>
    </row>
    <row r="307" spans="15:15" ht="14.25" customHeight="1" x14ac:dyDescent="0.35">
      <c r="O307" s="1"/>
    </row>
    <row r="308" spans="15:15" ht="14.25" customHeight="1" x14ac:dyDescent="0.35">
      <c r="O308" s="1"/>
    </row>
    <row r="309" spans="15:15" ht="14.25" customHeight="1" x14ac:dyDescent="0.35">
      <c r="O309" s="1"/>
    </row>
    <row r="310" spans="15:15" ht="14.25" customHeight="1" x14ac:dyDescent="0.35">
      <c r="O310" s="1"/>
    </row>
    <row r="311" spans="15:15" ht="14.25" customHeight="1" x14ac:dyDescent="0.35">
      <c r="O311" s="1"/>
    </row>
    <row r="312" spans="15:15" ht="14.25" customHeight="1" x14ac:dyDescent="0.35">
      <c r="O312" s="1"/>
    </row>
    <row r="313" spans="15:15" ht="14.25" customHeight="1" x14ac:dyDescent="0.35">
      <c r="O313" s="1"/>
    </row>
    <row r="314" spans="15:15" ht="14.25" customHeight="1" x14ac:dyDescent="0.35">
      <c r="O314" s="1"/>
    </row>
    <row r="315" spans="15:15" ht="14.25" customHeight="1" x14ac:dyDescent="0.35">
      <c r="O315" s="1"/>
    </row>
    <row r="316" spans="15:15" ht="14.25" customHeight="1" x14ac:dyDescent="0.35">
      <c r="O316" s="1"/>
    </row>
    <row r="317" spans="15:15" ht="14.25" customHeight="1" x14ac:dyDescent="0.35">
      <c r="O317" s="1"/>
    </row>
    <row r="318" spans="15:15" ht="14.25" customHeight="1" x14ac:dyDescent="0.35">
      <c r="O318" s="1"/>
    </row>
    <row r="319" spans="15:15" ht="14.25" customHeight="1" x14ac:dyDescent="0.35">
      <c r="O319" s="1"/>
    </row>
    <row r="320" spans="15:15" ht="14.25" customHeight="1" x14ac:dyDescent="0.35">
      <c r="O320" s="1"/>
    </row>
    <row r="321" spans="15:15" ht="14.25" customHeight="1" x14ac:dyDescent="0.35">
      <c r="O321" s="1"/>
    </row>
    <row r="322" spans="15:15" ht="14.25" customHeight="1" x14ac:dyDescent="0.35">
      <c r="O322" s="1"/>
    </row>
    <row r="323" spans="15:15" ht="14.25" customHeight="1" x14ac:dyDescent="0.35">
      <c r="O323" s="1"/>
    </row>
    <row r="324" spans="15:15" ht="14.25" customHeight="1" x14ac:dyDescent="0.35">
      <c r="O324" s="1"/>
    </row>
    <row r="325" spans="15:15" ht="14.25" customHeight="1" x14ac:dyDescent="0.35">
      <c r="O325" s="1"/>
    </row>
    <row r="326" spans="15:15" ht="14.25" customHeight="1" x14ac:dyDescent="0.35">
      <c r="O326" s="1"/>
    </row>
    <row r="327" spans="15:15" ht="14.25" customHeight="1" x14ac:dyDescent="0.35">
      <c r="O327" s="1"/>
    </row>
    <row r="328" spans="15:15" ht="14.25" customHeight="1" x14ac:dyDescent="0.35">
      <c r="O328" s="1"/>
    </row>
    <row r="329" spans="15:15" ht="14.25" customHeight="1" x14ac:dyDescent="0.35">
      <c r="O329" s="1"/>
    </row>
    <row r="330" spans="15:15" ht="14.25" customHeight="1" x14ac:dyDescent="0.35">
      <c r="O330" s="1"/>
    </row>
    <row r="331" spans="15:15" ht="14.25" customHeight="1" x14ac:dyDescent="0.35">
      <c r="O331" s="1"/>
    </row>
    <row r="332" spans="15:15" ht="14.25" customHeight="1" x14ac:dyDescent="0.35">
      <c r="O332" s="1"/>
    </row>
    <row r="333" spans="15:15" ht="14.25" customHeight="1" x14ac:dyDescent="0.35">
      <c r="O333" s="1"/>
    </row>
    <row r="334" spans="15:15" ht="14.25" customHeight="1" x14ac:dyDescent="0.35">
      <c r="O334" s="1"/>
    </row>
    <row r="335" spans="15:15" ht="14.25" customHeight="1" x14ac:dyDescent="0.35">
      <c r="O335" s="1"/>
    </row>
    <row r="336" spans="15:15" ht="14.25" customHeight="1" x14ac:dyDescent="0.35">
      <c r="O336" s="1"/>
    </row>
    <row r="337" spans="15:15" ht="14.25" customHeight="1" x14ac:dyDescent="0.35">
      <c r="O337" s="1"/>
    </row>
    <row r="338" spans="15:15" ht="14.25" customHeight="1" x14ac:dyDescent="0.35">
      <c r="O338" s="1"/>
    </row>
    <row r="339" spans="15:15" ht="14.25" customHeight="1" x14ac:dyDescent="0.35">
      <c r="O339" s="1"/>
    </row>
    <row r="340" spans="15:15" ht="14.25" customHeight="1" x14ac:dyDescent="0.35">
      <c r="O340" s="1"/>
    </row>
    <row r="341" spans="15:15" ht="14.25" customHeight="1" x14ac:dyDescent="0.35">
      <c r="O341" s="1"/>
    </row>
    <row r="342" spans="15:15" ht="14.25" customHeight="1" x14ac:dyDescent="0.35">
      <c r="O342" s="1"/>
    </row>
    <row r="343" spans="15:15" ht="14.25" customHeight="1" x14ac:dyDescent="0.35">
      <c r="O343" s="1"/>
    </row>
    <row r="344" spans="15:15" ht="14.25" customHeight="1" x14ac:dyDescent="0.35">
      <c r="O344" s="1"/>
    </row>
    <row r="345" spans="15:15" ht="14.25" customHeight="1" x14ac:dyDescent="0.35">
      <c r="O345" s="1"/>
    </row>
    <row r="346" spans="15:15" ht="14.25" customHeight="1" x14ac:dyDescent="0.35">
      <c r="O346" s="1"/>
    </row>
    <row r="347" spans="15:15" ht="14.25" customHeight="1" x14ac:dyDescent="0.35">
      <c r="O347" s="1"/>
    </row>
    <row r="348" spans="15:15" ht="14.25" customHeight="1" x14ac:dyDescent="0.35">
      <c r="O348" s="1"/>
    </row>
    <row r="349" spans="15:15" ht="14.25" customHeight="1" x14ac:dyDescent="0.35">
      <c r="O349" s="1"/>
    </row>
    <row r="350" spans="15:15" ht="14.25" customHeight="1" x14ac:dyDescent="0.35">
      <c r="O350" s="1"/>
    </row>
    <row r="351" spans="15:15" ht="14.25" customHeight="1" x14ac:dyDescent="0.35">
      <c r="O351" s="1"/>
    </row>
    <row r="352" spans="15:15" ht="14.25" customHeight="1" x14ac:dyDescent="0.35">
      <c r="O352" s="1"/>
    </row>
    <row r="353" spans="15:15" ht="14.25" customHeight="1" x14ac:dyDescent="0.35">
      <c r="O353" s="1"/>
    </row>
    <row r="354" spans="15:15" ht="14.25" customHeight="1" x14ac:dyDescent="0.35">
      <c r="O354" s="1"/>
    </row>
    <row r="355" spans="15:15" ht="14.25" customHeight="1" x14ac:dyDescent="0.35">
      <c r="O355" s="1"/>
    </row>
    <row r="356" spans="15:15" ht="14.25" customHeight="1" x14ac:dyDescent="0.35">
      <c r="O356" s="1"/>
    </row>
    <row r="357" spans="15:15" ht="14.25" customHeight="1" x14ac:dyDescent="0.35">
      <c r="O357" s="1"/>
    </row>
    <row r="358" spans="15:15" ht="14.25" customHeight="1" x14ac:dyDescent="0.35">
      <c r="O358" s="1"/>
    </row>
    <row r="359" spans="15:15" ht="14.25" customHeight="1" x14ac:dyDescent="0.35">
      <c r="O359" s="1"/>
    </row>
    <row r="360" spans="15:15" ht="14.25" customHeight="1" x14ac:dyDescent="0.35">
      <c r="O360" s="1"/>
    </row>
    <row r="361" spans="15:15" ht="14.25" customHeight="1" x14ac:dyDescent="0.35">
      <c r="O361" s="1"/>
    </row>
    <row r="362" spans="15:15" ht="14.25" customHeight="1" x14ac:dyDescent="0.35">
      <c r="O362" s="1"/>
    </row>
    <row r="363" spans="15:15" ht="14.25" customHeight="1" x14ac:dyDescent="0.35">
      <c r="O363" s="1"/>
    </row>
    <row r="364" spans="15:15" ht="14.25" customHeight="1" x14ac:dyDescent="0.35">
      <c r="O364" s="1"/>
    </row>
    <row r="365" spans="15:15" ht="14.25" customHeight="1" x14ac:dyDescent="0.35">
      <c r="O365" s="1"/>
    </row>
    <row r="366" spans="15:15" ht="14.25" customHeight="1" x14ac:dyDescent="0.35">
      <c r="O366" s="1"/>
    </row>
    <row r="367" spans="15:15" ht="14.25" customHeight="1" x14ac:dyDescent="0.35">
      <c r="O367" s="1"/>
    </row>
    <row r="368" spans="15:15" ht="14.25" customHeight="1" x14ac:dyDescent="0.35">
      <c r="O368" s="1"/>
    </row>
    <row r="369" spans="15:15" ht="14.25" customHeight="1" x14ac:dyDescent="0.35">
      <c r="O369" s="1"/>
    </row>
    <row r="370" spans="15:15" ht="14.25" customHeight="1" x14ac:dyDescent="0.35">
      <c r="O370" s="1"/>
    </row>
    <row r="371" spans="15:15" ht="14.25" customHeight="1" x14ac:dyDescent="0.35">
      <c r="O371" s="1"/>
    </row>
    <row r="372" spans="15:15" ht="14.25" customHeight="1" x14ac:dyDescent="0.35">
      <c r="O372" s="1"/>
    </row>
    <row r="373" spans="15:15" ht="14.25" customHeight="1" x14ac:dyDescent="0.35">
      <c r="O373" s="1"/>
    </row>
    <row r="374" spans="15:15" ht="14.25" customHeight="1" x14ac:dyDescent="0.35">
      <c r="O374" s="1"/>
    </row>
    <row r="375" spans="15:15" ht="14.25" customHeight="1" x14ac:dyDescent="0.35">
      <c r="O375" s="1"/>
    </row>
    <row r="376" spans="15:15" ht="14.25" customHeight="1" x14ac:dyDescent="0.35">
      <c r="O376" s="1"/>
    </row>
    <row r="377" spans="15:15" ht="14.25" customHeight="1" x14ac:dyDescent="0.35">
      <c r="O377" s="1"/>
    </row>
    <row r="378" spans="15:15" ht="14.25" customHeight="1" x14ac:dyDescent="0.35">
      <c r="O378" s="1"/>
    </row>
    <row r="379" spans="15:15" ht="14.25" customHeight="1" x14ac:dyDescent="0.35">
      <c r="O379" s="1"/>
    </row>
    <row r="380" spans="15:15" ht="14.25" customHeight="1" x14ac:dyDescent="0.35">
      <c r="O380" s="1"/>
    </row>
    <row r="381" spans="15:15" ht="14.25" customHeight="1" x14ac:dyDescent="0.35">
      <c r="O381" s="1"/>
    </row>
    <row r="382" spans="15:15" ht="14.25" customHeight="1" x14ac:dyDescent="0.35">
      <c r="O382" s="1"/>
    </row>
    <row r="383" spans="15:15" ht="14.25" customHeight="1" x14ac:dyDescent="0.35">
      <c r="O383" s="1"/>
    </row>
    <row r="384" spans="15:15" ht="14.25" customHeight="1" x14ac:dyDescent="0.35">
      <c r="O384" s="1"/>
    </row>
    <row r="385" spans="15:15" ht="14.25" customHeight="1" x14ac:dyDescent="0.35">
      <c r="O385" s="1"/>
    </row>
    <row r="386" spans="15:15" ht="14.25" customHeight="1" x14ac:dyDescent="0.35">
      <c r="O386" s="1"/>
    </row>
    <row r="387" spans="15:15" ht="14.25" customHeight="1" x14ac:dyDescent="0.35">
      <c r="O387" s="1"/>
    </row>
    <row r="388" spans="15:15" ht="14.25" customHeight="1" x14ac:dyDescent="0.35">
      <c r="O388" s="1"/>
    </row>
    <row r="389" spans="15:15" ht="14.25" customHeight="1" x14ac:dyDescent="0.35">
      <c r="O389" s="1"/>
    </row>
    <row r="390" spans="15:15" ht="14.25" customHeight="1" x14ac:dyDescent="0.35">
      <c r="O390" s="1"/>
    </row>
    <row r="391" spans="15:15" ht="14.25" customHeight="1" x14ac:dyDescent="0.35">
      <c r="O391" s="1"/>
    </row>
    <row r="392" spans="15:15" ht="14.25" customHeight="1" x14ac:dyDescent="0.35">
      <c r="O392" s="1"/>
    </row>
    <row r="393" spans="15:15" ht="14.25" customHeight="1" x14ac:dyDescent="0.35">
      <c r="O393" s="1"/>
    </row>
    <row r="394" spans="15:15" ht="14.25" customHeight="1" x14ac:dyDescent="0.35">
      <c r="O394" s="1"/>
    </row>
    <row r="395" spans="15:15" ht="14.25" customHeight="1" x14ac:dyDescent="0.35">
      <c r="O395" s="1"/>
    </row>
    <row r="396" spans="15:15" ht="14.25" customHeight="1" x14ac:dyDescent="0.35">
      <c r="O396" s="1"/>
    </row>
    <row r="397" spans="15:15" ht="14.25" customHeight="1" x14ac:dyDescent="0.35">
      <c r="O397" s="1"/>
    </row>
    <row r="398" spans="15:15" ht="14.25" customHeight="1" x14ac:dyDescent="0.35">
      <c r="O398" s="1"/>
    </row>
    <row r="399" spans="15:15" ht="14.25" customHeight="1" x14ac:dyDescent="0.35">
      <c r="O399" s="1"/>
    </row>
    <row r="400" spans="15:15" ht="14.25" customHeight="1" x14ac:dyDescent="0.35">
      <c r="O400" s="1"/>
    </row>
    <row r="401" spans="15:15" ht="14.25" customHeight="1" x14ac:dyDescent="0.35">
      <c r="O401" s="1"/>
    </row>
    <row r="402" spans="15:15" ht="14.25" customHeight="1" x14ac:dyDescent="0.35">
      <c r="O402" s="1"/>
    </row>
    <row r="403" spans="15:15" ht="14.25" customHeight="1" x14ac:dyDescent="0.35">
      <c r="O403" s="1"/>
    </row>
    <row r="404" spans="15:15" ht="14.25" customHeight="1" x14ac:dyDescent="0.35">
      <c r="O404" s="1"/>
    </row>
    <row r="405" spans="15:15" ht="14.25" customHeight="1" x14ac:dyDescent="0.35">
      <c r="O405" s="1"/>
    </row>
    <row r="406" spans="15:15" ht="14.25" customHeight="1" x14ac:dyDescent="0.35">
      <c r="O406" s="1"/>
    </row>
    <row r="407" spans="15:15" ht="14.25" customHeight="1" x14ac:dyDescent="0.35">
      <c r="O407" s="1"/>
    </row>
    <row r="408" spans="15:15" ht="14.25" customHeight="1" x14ac:dyDescent="0.35">
      <c r="O408" s="1"/>
    </row>
    <row r="409" spans="15:15" ht="14.25" customHeight="1" x14ac:dyDescent="0.35">
      <c r="O409" s="1"/>
    </row>
    <row r="410" spans="15:15" ht="14.25" customHeight="1" x14ac:dyDescent="0.35">
      <c r="O410" s="1"/>
    </row>
    <row r="411" spans="15:15" ht="14.25" customHeight="1" x14ac:dyDescent="0.35">
      <c r="O411" s="1"/>
    </row>
    <row r="412" spans="15:15" ht="14.25" customHeight="1" x14ac:dyDescent="0.35">
      <c r="O412" s="1"/>
    </row>
    <row r="413" spans="15:15" ht="14.25" customHeight="1" x14ac:dyDescent="0.35">
      <c r="O413" s="1"/>
    </row>
    <row r="414" spans="15:15" ht="14.25" customHeight="1" x14ac:dyDescent="0.35">
      <c r="O414" s="1"/>
    </row>
    <row r="415" spans="15:15" ht="14.25" customHeight="1" x14ac:dyDescent="0.35">
      <c r="O415" s="1"/>
    </row>
    <row r="416" spans="15:15" ht="14.25" customHeight="1" x14ac:dyDescent="0.35">
      <c r="O416" s="1"/>
    </row>
    <row r="417" spans="15:15" ht="14.25" customHeight="1" x14ac:dyDescent="0.35">
      <c r="O417" s="1"/>
    </row>
    <row r="418" spans="15:15" ht="14.25" customHeight="1" x14ac:dyDescent="0.35">
      <c r="O418" s="1"/>
    </row>
    <row r="419" spans="15:15" ht="14.25" customHeight="1" x14ac:dyDescent="0.35">
      <c r="O419" s="1"/>
    </row>
    <row r="420" spans="15:15" ht="14.25" customHeight="1" x14ac:dyDescent="0.35">
      <c r="O420" s="1"/>
    </row>
    <row r="421" spans="15:15" ht="14.25" customHeight="1" x14ac:dyDescent="0.35">
      <c r="O421" s="1"/>
    </row>
    <row r="422" spans="15:15" ht="14.25" customHeight="1" x14ac:dyDescent="0.35">
      <c r="O422" s="1"/>
    </row>
    <row r="423" spans="15:15" ht="14.25" customHeight="1" x14ac:dyDescent="0.35">
      <c r="O423" s="1"/>
    </row>
    <row r="424" spans="15:15" ht="14.25" customHeight="1" x14ac:dyDescent="0.35">
      <c r="O424" s="1"/>
    </row>
    <row r="425" spans="15:15" ht="14.25" customHeight="1" x14ac:dyDescent="0.35">
      <c r="O425" s="1"/>
    </row>
    <row r="426" spans="15:15" ht="14.25" customHeight="1" x14ac:dyDescent="0.35">
      <c r="O426" s="1"/>
    </row>
    <row r="427" spans="15:15" ht="14.25" customHeight="1" x14ac:dyDescent="0.35">
      <c r="O427" s="1"/>
    </row>
    <row r="428" spans="15:15" ht="14.25" customHeight="1" x14ac:dyDescent="0.35">
      <c r="O428" s="1"/>
    </row>
    <row r="429" spans="15:15" ht="14.25" customHeight="1" x14ac:dyDescent="0.35">
      <c r="O429" s="1"/>
    </row>
    <row r="430" spans="15:15" ht="14.25" customHeight="1" x14ac:dyDescent="0.35">
      <c r="O430" s="1"/>
    </row>
    <row r="431" spans="15:15" ht="14.25" customHeight="1" x14ac:dyDescent="0.35">
      <c r="O431" s="1"/>
    </row>
    <row r="432" spans="15:15" ht="14.25" customHeight="1" x14ac:dyDescent="0.35">
      <c r="O432" s="1"/>
    </row>
    <row r="433" spans="15:15" ht="14.25" customHeight="1" x14ac:dyDescent="0.35">
      <c r="O433" s="1"/>
    </row>
    <row r="434" spans="15:15" ht="14.25" customHeight="1" x14ac:dyDescent="0.35">
      <c r="O434" s="1"/>
    </row>
    <row r="435" spans="15:15" ht="14.25" customHeight="1" x14ac:dyDescent="0.35">
      <c r="O435" s="1"/>
    </row>
    <row r="436" spans="15:15" ht="14.25" customHeight="1" x14ac:dyDescent="0.35">
      <c r="O436" s="1"/>
    </row>
    <row r="437" spans="15:15" ht="14.25" customHeight="1" x14ac:dyDescent="0.35">
      <c r="O437" s="1"/>
    </row>
    <row r="438" spans="15:15" ht="14.25" customHeight="1" x14ac:dyDescent="0.35">
      <c r="O438" s="1"/>
    </row>
    <row r="439" spans="15:15" ht="14.25" customHeight="1" x14ac:dyDescent="0.35">
      <c r="O439" s="1"/>
    </row>
    <row r="440" spans="15:15" ht="14.25" customHeight="1" x14ac:dyDescent="0.35">
      <c r="O440" s="1"/>
    </row>
    <row r="441" spans="15:15" ht="14.25" customHeight="1" x14ac:dyDescent="0.35">
      <c r="O441" s="1"/>
    </row>
    <row r="442" spans="15:15" ht="14.25" customHeight="1" x14ac:dyDescent="0.35">
      <c r="O442" s="1"/>
    </row>
    <row r="443" spans="15:15" ht="14.25" customHeight="1" x14ac:dyDescent="0.35">
      <c r="O443" s="1"/>
    </row>
    <row r="444" spans="15:15" ht="14.25" customHeight="1" x14ac:dyDescent="0.35">
      <c r="O444" s="1"/>
    </row>
    <row r="445" spans="15:15" ht="14.25" customHeight="1" x14ac:dyDescent="0.35">
      <c r="O445" s="1"/>
    </row>
    <row r="446" spans="15:15" ht="14.25" customHeight="1" x14ac:dyDescent="0.35">
      <c r="O446" s="1"/>
    </row>
    <row r="447" spans="15:15" ht="14.25" customHeight="1" x14ac:dyDescent="0.35">
      <c r="O447" s="1"/>
    </row>
    <row r="448" spans="15:15" ht="14.25" customHeight="1" x14ac:dyDescent="0.35">
      <c r="O448" s="1"/>
    </row>
    <row r="449" spans="15:15" ht="14.25" customHeight="1" x14ac:dyDescent="0.35">
      <c r="O449" s="1"/>
    </row>
    <row r="450" spans="15:15" ht="14.25" customHeight="1" x14ac:dyDescent="0.35">
      <c r="O450" s="1"/>
    </row>
    <row r="451" spans="15:15" ht="14.25" customHeight="1" x14ac:dyDescent="0.35">
      <c r="O451" s="1"/>
    </row>
    <row r="452" spans="15:15" ht="14.25" customHeight="1" x14ac:dyDescent="0.35">
      <c r="O452" s="1"/>
    </row>
    <row r="453" spans="15:15" ht="14.25" customHeight="1" x14ac:dyDescent="0.35">
      <c r="O453" s="1"/>
    </row>
    <row r="454" spans="15:15" ht="14.25" customHeight="1" x14ac:dyDescent="0.35">
      <c r="O454" s="1"/>
    </row>
    <row r="455" spans="15:15" ht="14.25" customHeight="1" x14ac:dyDescent="0.35">
      <c r="O455" s="1"/>
    </row>
    <row r="456" spans="15:15" ht="14.25" customHeight="1" x14ac:dyDescent="0.35">
      <c r="O456" s="1"/>
    </row>
    <row r="457" spans="15:15" ht="14.25" customHeight="1" x14ac:dyDescent="0.35">
      <c r="O457" s="1"/>
    </row>
    <row r="458" spans="15:15" ht="14.25" customHeight="1" x14ac:dyDescent="0.35">
      <c r="O458" s="1"/>
    </row>
    <row r="459" spans="15:15" ht="14.25" customHeight="1" x14ac:dyDescent="0.35">
      <c r="O459" s="1"/>
    </row>
    <row r="460" spans="15:15" ht="14.25" customHeight="1" x14ac:dyDescent="0.35">
      <c r="O460" s="1"/>
    </row>
    <row r="461" spans="15:15" ht="14.25" customHeight="1" x14ac:dyDescent="0.35">
      <c r="O461" s="1"/>
    </row>
    <row r="462" spans="15:15" ht="14.25" customHeight="1" x14ac:dyDescent="0.35">
      <c r="O462" s="1"/>
    </row>
    <row r="463" spans="15:15" ht="14.25" customHeight="1" x14ac:dyDescent="0.35">
      <c r="O463" s="1"/>
    </row>
    <row r="464" spans="15:15" ht="14.25" customHeight="1" x14ac:dyDescent="0.35">
      <c r="O464" s="1"/>
    </row>
    <row r="465" spans="15:15" ht="14.25" customHeight="1" x14ac:dyDescent="0.35">
      <c r="O465" s="1"/>
    </row>
    <row r="466" spans="15:15" ht="14.25" customHeight="1" x14ac:dyDescent="0.35">
      <c r="O466" s="1"/>
    </row>
    <row r="467" spans="15:15" ht="14.25" customHeight="1" x14ac:dyDescent="0.35">
      <c r="O467" s="1"/>
    </row>
    <row r="468" spans="15:15" ht="14.25" customHeight="1" x14ac:dyDescent="0.35">
      <c r="O468" s="1"/>
    </row>
    <row r="469" spans="15:15" ht="14.25" customHeight="1" x14ac:dyDescent="0.35">
      <c r="O469" s="1"/>
    </row>
    <row r="470" spans="15:15" ht="14.25" customHeight="1" x14ac:dyDescent="0.35">
      <c r="O470" s="1"/>
    </row>
    <row r="471" spans="15:15" ht="14.25" customHeight="1" x14ac:dyDescent="0.35">
      <c r="O471" s="1"/>
    </row>
    <row r="472" spans="15:15" ht="14.25" customHeight="1" x14ac:dyDescent="0.35">
      <c r="O472" s="1"/>
    </row>
    <row r="473" spans="15:15" ht="14.25" customHeight="1" x14ac:dyDescent="0.35">
      <c r="O473" s="1"/>
    </row>
    <row r="474" spans="15:15" ht="14.25" customHeight="1" x14ac:dyDescent="0.35">
      <c r="O474" s="1"/>
    </row>
    <row r="475" spans="15:15" ht="14.25" customHeight="1" x14ac:dyDescent="0.35">
      <c r="O475" s="1"/>
    </row>
    <row r="476" spans="15:15" ht="14.25" customHeight="1" x14ac:dyDescent="0.35">
      <c r="O476" s="1"/>
    </row>
    <row r="477" spans="15:15" ht="14.25" customHeight="1" x14ac:dyDescent="0.35">
      <c r="O477" s="1"/>
    </row>
    <row r="478" spans="15:15" ht="14.25" customHeight="1" x14ac:dyDescent="0.35">
      <c r="O478" s="1"/>
    </row>
    <row r="479" spans="15:15" ht="14.25" customHeight="1" x14ac:dyDescent="0.35">
      <c r="O479" s="1"/>
    </row>
    <row r="480" spans="15:15" ht="14.25" customHeight="1" x14ac:dyDescent="0.35">
      <c r="O480" s="1"/>
    </row>
    <row r="481" spans="15:15" ht="14.25" customHeight="1" x14ac:dyDescent="0.35">
      <c r="O481" s="1"/>
    </row>
    <row r="482" spans="15:15" ht="14.25" customHeight="1" x14ac:dyDescent="0.35">
      <c r="O482" s="1"/>
    </row>
    <row r="483" spans="15:15" ht="14.25" customHeight="1" x14ac:dyDescent="0.35">
      <c r="O483" s="1"/>
    </row>
    <row r="484" spans="15:15" ht="14.25" customHeight="1" x14ac:dyDescent="0.35">
      <c r="O484" s="1"/>
    </row>
    <row r="485" spans="15:15" ht="14.25" customHeight="1" x14ac:dyDescent="0.35">
      <c r="O485" s="1"/>
    </row>
    <row r="486" spans="15:15" ht="14.25" customHeight="1" x14ac:dyDescent="0.35">
      <c r="O486" s="1"/>
    </row>
    <row r="487" spans="15:15" ht="14.25" customHeight="1" x14ac:dyDescent="0.35">
      <c r="O487" s="1"/>
    </row>
    <row r="488" spans="15:15" ht="14.25" customHeight="1" x14ac:dyDescent="0.35">
      <c r="O488" s="1"/>
    </row>
    <row r="489" spans="15:15" ht="14.25" customHeight="1" x14ac:dyDescent="0.35">
      <c r="O489" s="1"/>
    </row>
    <row r="490" spans="15:15" ht="14.25" customHeight="1" x14ac:dyDescent="0.35">
      <c r="O490" s="1"/>
    </row>
    <row r="491" spans="15:15" ht="14.25" customHeight="1" x14ac:dyDescent="0.35">
      <c r="O491" s="1"/>
    </row>
    <row r="492" spans="15:15" ht="14.25" customHeight="1" x14ac:dyDescent="0.35">
      <c r="O492" s="1"/>
    </row>
    <row r="493" spans="15:15" ht="14.25" customHeight="1" x14ac:dyDescent="0.35">
      <c r="O493" s="1"/>
    </row>
    <row r="494" spans="15:15" ht="14.25" customHeight="1" x14ac:dyDescent="0.35">
      <c r="O494" s="1"/>
    </row>
    <row r="495" spans="15:15" ht="14.25" customHeight="1" x14ac:dyDescent="0.35">
      <c r="O495" s="1"/>
    </row>
    <row r="496" spans="15:15" ht="14.25" customHeight="1" x14ac:dyDescent="0.35">
      <c r="O496" s="1"/>
    </row>
    <row r="497" spans="15:15" ht="14.25" customHeight="1" x14ac:dyDescent="0.35">
      <c r="O497" s="1"/>
    </row>
    <row r="498" spans="15:15" ht="14.25" customHeight="1" x14ac:dyDescent="0.35">
      <c r="O498" s="1"/>
    </row>
    <row r="499" spans="15:15" ht="14.25" customHeight="1" x14ac:dyDescent="0.35">
      <c r="O499" s="1"/>
    </row>
    <row r="500" spans="15:15" ht="14.25" customHeight="1" x14ac:dyDescent="0.35">
      <c r="O500" s="1"/>
    </row>
    <row r="501" spans="15:15" ht="14.25" customHeight="1" x14ac:dyDescent="0.35">
      <c r="O501" s="1"/>
    </row>
    <row r="502" spans="15:15" ht="14.25" customHeight="1" x14ac:dyDescent="0.35">
      <c r="O502" s="1"/>
    </row>
    <row r="503" spans="15:15" ht="14.25" customHeight="1" x14ac:dyDescent="0.35">
      <c r="O503" s="1"/>
    </row>
    <row r="504" spans="15:15" ht="14.25" customHeight="1" x14ac:dyDescent="0.35">
      <c r="O504" s="1"/>
    </row>
    <row r="505" spans="15:15" ht="14.25" customHeight="1" x14ac:dyDescent="0.35">
      <c r="O505" s="1"/>
    </row>
    <row r="506" spans="15:15" ht="14.25" customHeight="1" x14ac:dyDescent="0.35">
      <c r="O506" s="1"/>
    </row>
    <row r="507" spans="15:15" ht="14.25" customHeight="1" x14ac:dyDescent="0.35">
      <c r="O507" s="1"/>
    </row>
    <row r="508" spans="15:15" ht="14.25" customHeight="1" x14ac:dyDescent="0.35">
      <c r="O508" s="1"/>
    </row>
    <row r="509" spans="15:15" ht="14.25" customHeight="1" x14ac:dyDescent="0.35">
      <c r="O509" s="1"/>
    </row>
    <row r="510" spans="15:15" ht="14.25" customHeight="1" x14ac:dyDescent="0.35">
      <c r="O510" s="1"/>
    </row>
    <row r="511" spans="15:15" ht="14.25" customHeight="1" x14ac:dyDescent="0.35">
      <c r="O511" s="1"/>
    </row>
    <row r="512" spans="15:15" ht="14.25" customHeight="1" x14ac:dyDescent="0.35">
      <c r="O512" s="1"/>
    </row>
    <row r="513" spans="15:15" ht="14.25" customHeight="1" x14ac:dyDescent="0.35">
      <c r="O513" s="1"/>
    </row>
    <row r="514" spans="15:15" ht="14.25" customHeight="1" x14ac:dyDescent="0.35">
      <c r="O514" s="1"/>
    </row>
    <row r="515" spans="15:15" ht="14.25" customHeight="1" x14ac:dyDescent="0.35">
      <c r="O515" s="1"/>
    </row>
    <row r="516" spans="15:15" ht="14.25" customHeight="1" x14ac:dyDescent="0.35">
      <c r="O516" s="1"/>
    </row>
    <row r="517" spans="15:15" ht="14.25" customHeight="1" x14ac:dyDescent="0.35">
      <c r="O517" s="1"/>
    </row>
    <row r="518" spans="15:15" ht="14.25" customHeight="1" x14ac:dyDescent="0.35">
      <c r="O518" s="1"/>
    </row>
    <row r="519" spans="15:15" ht="14.25" customHeight="1" x14ac:dyDescent="0.35">
      <c r="O519" s="1"/>
    </row>
    <row r="520" spans="15:15" ht="14.25" customHeight="1" x14ac:dyDescent="0.35">
      <c r="O520" s="1"/>
    </row>
    <row r="521" spans="15:15" ht="14.25" customHeight="1" x14ac:dyDescent="0.35">
      <c r="O521" s="1"/>
    </row>
    <row r="522" spans="15:15" ht="14.25" customHeight="1" x14ac:dyDescent="0.35">
      <c r="O522" s="1"/>
    </row>
    <row r="523" spans="15:15" ht="14.25" customHeight="1" x14ac:dyDescent="0.35">
      <c r="O523" s="1"/>
    </row>
    <row r="524" spans="15:15" ht="14.25" customHeight="1" x14ac:dyDescent="0.35">
      <c r="O524" s="1"/>
    </row>
    <row r="525" spans="15:15" ht="14.25" customHeight="1" x14ac:dyDescent="0.35">
      <c r="O525" s="1"/>
    </row>
    <row r="526" spans="15:15" ht="14.25" customHeight="1" x14ac:dyDescent="0.35">
      <c r="O526" s="1"/>
    </row>
    <row r="527" spans="15:15" ht="14.25" customHeight="1" x14ac:dyDescent="0.35">
      <c r="O527" s="1"/>
    </row>
    <row r="528" spans="15:15" ht="14.25" customHeight="1" x14ac:dyDescent="0.35">
      <c r="O528" s="1"/>
    </row>
    <row r="529" spans="15:15" ht="14.25" customHeight="1" x14ac:dyDescent="0.35">
      <c r="O529" s="1"/>
    </row>
    <row r="530" spans="15:15" ht="14.25" customHeight="1" x14ac:dyDescent="0.35">
      <c r="O530" s="1"/>
    </row>
    <row r="531" spans="15:15" ht="14.25" customHeight="1" x14ac:dyDescent="0.35">
      <c r="O531" s="1"/>
    </row>
    <row r="532" spans="15:15" ht="14.25" customHeight="1" x14ac:dyDescent="0.35">
      <c r="O532" s="1"/>
    </row>
    <row r="533" spans="15:15" ht="14.25" customHeight="1" x14ac:dyDescent="0.35">
      <c r="O533" s="1"/>
    </row>
    <row r="534" spans="15:15" ht="14.25" customHeight="1" x14ac:dyDescent="0.35">
      <c r="O534" s="1"/>
    </row>
    <row r="535" spans="15:15" ht="14.25" customHeight="1" x14ac:dyDescent="0.35">
      <c r="O535" s="1"/>
    </row>
    <row r="536" spans="15:15" ht="14.25" customHeight="1" x14ac:dyDescent="0.35">
      <c r="O536" s="1"/>
    </row>
    <row r="537" spans="15:15" ht="14.25" customHeight="1" x14ac:dyDescent="0.35">
      <c r="O537" s="1"/>
    </row>
    <row r="538" spans="15:15" ht="14.25" customHeight="1" x14ac:dyDescent="0.35">
      <c r="O538" s="1"/>
    </row>
    <row r="539" spans="15:15" ht="14.25" customHeight="1" x14ac:dyDescent="0.35">
      <c r="O539" s="1"/>
    </row>
    <row r="540" spans="15:15" ht="14.25" customHeight="1" x14ac:dyDescent="0.35">
      <c r="O540" s="1"/>
    </row>
    <row r="541" spans="15:15" ht="14.25" customHeight="1" x14ac:dyDescent="0.35">
      <c r="O541" s="1"/>
    </row>
    <row r="542" spans="15:15" ht="14.25" customHeight="1" x14ac:dyDescent="0.35">
      <c r="O542" s="1"/>
    </row>
    <row r="543" spans="15:15" ht="14.25" customHeight="1" x14ac:dyDescent="0.35">
      <c r="O543" s="1"/>
    </row>
    <row r="544" spans="15:15" ht="14.25" customHeight="1" x14ac:dyDescent="0.35">
      <c r="O544" s="1"/>
    </row>
    <row r="545" spans="15:15" ht="14.25" customHeight="1" x14ac:dyDescent="0.35">
      <c r="O545" s="1"/>
    </row>
    <row r="546" spans="15:15" ht="14.25" customHeight="1" x14ac:dyDescent="0.35">
      <c r="O546" s="1"/>
    </row>
    <row r="547" spans="15:15" ht="14.25" customHeight="1" x14ac:dyDescent="0.35">
      <c r="O547" s="1"/>
    </row>
    <row r="548" spans="15:15" ht="14.25" customHeight="1" x14ac:dyDescent="0.35">
      <c r="O548" s="1"/>
    </row>
    <row r="549" spans="15:15" ht="14.25" customHeight="1" x14ac:dyDescent="0.35">
      <c r="O549" s="1"/>
    </row>
    <row r="550" spans="15:15" ht="14.25" customHeight="1" x14ac:dyDescent="0.35">
      <c r="O550" s="1"/>
    </row>
    <row r="551" spans="15:15" ht="14.25" customHeight="1" x14ac:dyDescent="0.35">
      <c r="O551" s="1"/>
    </row>
    <row r="552" spans="15:15" ht="14.25" customHeight="1" x14ac:dyDescent="0.35">
      <c r="O552" s="1"/>
    </row>
    <row r="553" spans="15:15" ht="14.25" customHeight="1" x14ac:dyDescent="0.35">
      <c r="O553" s="1"/>
    </row>
    <row r="554" spans="15:15" ht="14.25" customHeight="1" x14ac:dyDescent="0.35">
      <c r="O554" s="1"/>
    </row>
    <row r="555" spans="15:15" ht="14.25" customHeight="1" x14ac:dyDescent="0.35">
      <c r="O555" s="1"/>
    </row>
    <row r="556" spans="15:15" ht="14.25" customHeight="1" x14ac:dyDescent="0.35">
      <c r="O556" s="1"/>
    </row>
    <row r="557" spans="15:15" ht="14.25" customHeight="1" x14ac:dyDescent="0.35">
      <c r="O557" s="1"/>
    </row>
    <row r="558" spans="15:15" ht="14.25" customHeight="1" x14ac:dyDescent="0.35">
      <c r="O558" s="1"/>
    </row>
    <row r="559" spans="15:15" ht="14.25" customHeight="1" x14ac:dyDescent="0.35">
      <c r="O559" s="1"/>
    </row>
    <row r="560" spans="15:15" ht="14.25" customHeight="1" x14ac:dyDescent="0.35">
      <c r="O560" s="1"/>
    </row>
    <row r="561" spans="15:15" ht="14.25" customHeight="1" x14ac:dyDescent="0.35">
      <c r="O561" s="1"/>
    </row>
    <row r="562" spans="15:15" ht="14.25" customHeight="1" x14ac:dyDescent="0.35">
      <c r="O562" s="1"/>
    </row>
    <row r="563" spans="15:15" ht="14.25" customHeight="1" x14ac:dyDescent="0.35">
      <c r="O563" s="1"/>
    </row>
    <row r="564" spans="15:15" ht="14.25" customHeight="1" x14ac:dyDescent="0.35">
      <c r="O564" s="1"/>
    </row>
    <row r="565" spans="15:15" ht="14.25" customHeight="1" x14ac:dyDescent="0.35">
      <c r="O565" s="1"/>
    </row>
    <row r="566" spans="15:15" ht="14.25" customHeight="1" x14ac:dyDescent="0.35">
      <c r="O566" s="1"/>
    </row>
    <row r="567" spans="15:15" ht="14.25" customHeight="1" x14ac:dyDescent="0.35">
      <c r="O567" s="1"/>
    </row>
    <row r="568" spans="15:15" ht="14.25" customHeight="1" x14ac:dyDescent="0.35">
      <c r="O568" s="1"/>
    </row>
    <row r="569" spans="15:15" ht="14.25" customHeight="1" x14ac:dyDescent="0.35">
      <c r="O569" s="1"/>
    </row>
    <row r="570" spans="15:15" ht="14.25" customHeight="1" x14ac:dyDescent="0.35">
      <c r="O570" s="1"/>
    </row>
    <row r="571" spans="15:15" ht="14.25" customHeight="1" x14ac:dyDescent="0.35">
      <c r="O571" s="1"/>
    </row>
    <row r="572" spans="15:15" ht="14.25" customHeight="1" x14ac:dyDescent="0.35">
      <c r="O572" s="1"/>
    </row>
    <row r="573" spans="15:15" ht="14.25" customHeight="1" x14ac:dyDescent="0.35">
      <c r="O573" s="1"/>
    </row>
    <row r="574" spans="15:15" ht="14.25" customHeight="1" x14ac:dyDescent="0.35">
      <c r="O574" s="1"/>
    </row>
    <row r="575" spans="15:15" ht="14.25" customHeight="1" x14ac:dyDescent="0.35">
      <c r="O575" s="1"/>
    </row>
    <row r="576" spans="15:15" ht="14.25" customHeight="1" x14ac:dyDescent="0.35">
      <c r="O576" s="1"/>
    </row>
    <row r="577" spans="15:15" ht="14.25" customHeight="1" x14ac:dyDescent="0.35">
      <c r="O577" s="1"/>
    </row>
    <row r="578" spans="15:15" ht="14.25" customHeight="1" x14ac:dyDescent="0.35">
      <c r="O578" s="1"/>
    </row>
    <row r="579" spans="15:15" ht="14.25" customHeight="1" x14ac:dyDescent="0.35">
      <c r="O579" s="1"/>
    </row>
    <row r="580" spans="15:15" ht="14.25" customHeight="1" x14ac:dyDescent="0.35">
      <c r="O580" s="1"/>
    </row>
    <row r="581" spans="15:15" ht="14.25" customHeight="1" x14ac:dyDescent="0.35">
      <c r="O581" s="1"/>
    </row>
    <row r="582" spans="15:15" ht="14.25" customHeight="1" x14ac:dyDescent="0.35">
      <c r="O582" s="1"/>
    </row>
    <row r="583" spans="15:15" ht="14.25" customHeight="1" x14ac:dyDescent="0.35">
      <c r="O583" s="1"/>
    </row>
    <row r="584" spans="15:15" ht="14.25" customHeight="1" x14ac:dyDescent="0.35">
      <c r="O584" s="1"/>
    </row>
    <row r="585" spans="15:15" ht="14.25" customHeight="1" x14ac:dyDescent="0.35">
      <c r="O585" s="1"/>
    </row>
    <row r="586" spans="15:15" ht="14.25" customHeight="1" x14ac:dyDescent="0.35">
      <c r="O586" s="1"/>
    </row>
    <row r="587" spans="15:15" ht="14.25" customHeight="1" x14ac:dyDescent="0.35">
      <c r="O587" s="1"/>
    </row>
    <row r="588" spans="15:15" ht="14.25" customHeight="1" x14ac:dyDescent="0.35">
      <c r="O588" s="1"/>
    </row>
    <row r="589" spans="15:15" ht="14.25" customHeight="1" x14ac:dyDescent="0.35">
      <c r="O589" s="1"/>
    </row>
    <row r="590" spans="15:15" ht="14.25" customHeight="1" x14ac:dyDescent="0.35">
      <c r="O590" s="1"/>
    </row>
    <row r="591" spans="15:15" ht="14.25" customHeight="1" x14ac:dyDescent="0.35">
      <c r="O591" s="1"/>
    </row>
    <row r="592" spans="15:15" ht="14.25" customHeight="1" x14ac:dyDescent="0.35">
      <c r="O592" s="1"/>
    </row>
    <row r="593" spans="15:15" ht="14.25" customHeight="1" x14ac:dyDescent="0.35">
      <c r="O593" s="1"/>
    </row>
    <row r="594" spans="15:15" ht="14.25" customHeight="1" x14ac:dyDescent="0.35">
      <c r="O594" s="1"/>
    </row>
    <row r="595" spans="15:15" ht="14.25" customHeight="1" x14ac:dyDescent="0.35">
      <c r="O595" s="1"/>
    </row>
    <row r="596" spans="15:15" ht="14.25" customHeight="1" x14ac:dyDescent="0.35">
      <c r="O596" s="1"/>
    </row>
    <row r="597" spans="15:15" ht="14.25" customHeight="1" x14ac:dyDescent="0.35">
      <c r="O597" s="1"/>
    </row>
    <row r="598" spans="15:15" ht="14.25" customHeight="1" x14ac:dyDescent="0.35">
      <c r="O598" s="1"/>
    </row>
    <row r="599" spans="15:15" ht="14.25" customHeight="1" x14ac:dyDescent="0.35">
      <c r="O599" s="1"/>
    </row>
    <row r="600" spans="15:15" ht="14.25" customHeight="1" x14ac:dyDescent="0.35">
      <c r="O600" s="1"/>
    </row>
    <row r="601" spans="15:15" ht="14.25" customHeight="1" x14ac:dyDescent="0.35">
      <c r="O601" s="1"/>
    </row>
    <row r="602" spans="15:15" ht="14.25" customHeight="1" x14ac:dyDescent="0.35">
      <c r="O602" s="1"/>
    </row>
    <row r="603" spans="15:15" ht="14.25" customHeight="1" x14ac:dyDescent="0.35">
      <c r="O603" s="1"/>
    </row>
    <row r="604" spans="15:15" ht="14.25" customHeight="1" x14ac:dyDescent="0.35">
      <c r="O604" s="1"/>
    </row>
    <row r="605" spans="15:15" ht="14.25" customHeight="1" x14ac:dyDescent="0.35">
      <c r="O605" s="1"/>
    </row>
    <row r="606" spans="15:15" ht="14.25" customHeight="1" x14ac:dyDescent="0.35">
      <c r="O606" s="1"/>
    </row>
    <row r="607" spans="15:15" ht="14.25" customHeight="1" x14ac:dyDescent="0.35">
      <c r="O607" s="1"/>
    </row>
    <row r="608" spans="15:15" ht="14.25" customHeight="1" x14ac:dyDescent="0.35">
      <c r="O608" s="1"/>
    </row>
    <row r="609" spans="15:15" ht="14.25" customHeight="1" x14ac:dyDescent="0.35">
      <c r="O609" s="1"/>
    </row>
    <row r="610" spans="15:15" ht="14.25" customHeight="1" x14ac:dyDescent="0.35">
      <c r="O610" s="1"/>
    </row>
    <row r="611" spans="15:15" ht="14.25" customHeight="1" x14ac:dyDescent="0.35">
      <c r="O611" s="1"/>
    </row>
    <row r="612" spans="15:15" ht="14.25" customHeight="1" x14ac:dyDescent="0.35">
      <c r="O612" s="1"/>
    </row>
    <row r="613" spans="15:15" ht="14.25" customHeight="1" x14ac:dyDescent="0.35">
      <c r="O613" s="1"/>
    </row>
    <row r="614" spans="15:15" ht="14.25" customHeight="1" x14ac:dyDescent="0.35">
      <c r="O614" s="1"/>
    </row>
    <row r="615" spans="15:15" ht="14.25" customHeight="1" x14ac:dyDescent="0.35">
      <c r="O615" s="1"/>
    </row>
    <row r="616" spans="15:15" ht="14.25" customHeight="1" x14ac:dyDescent="0.35">
      <c r="O616" s="1"/>
    </row>
    <row r="617" spans="15:15" ht="14.25" customHeight="1" x14ac:dyDescent="0.35">
      <c r="O617" s="1"/>
    </row>
    <row r="618" spans="15:15" ht="14.25" customHeight="1" x14ac:dyDescent="0.35">
      <c r="O618" s="1"/>
    </row>
    <row r="619" spans="15:15" ht="14.25" customHeight="1" x14ac:dyDescent="0.35">
      <c r="O619" s="1"/>
    </row>
    <row r="620" spans="15:15" ht="14.25" customHeight="1" x14ac:dyDescent="0.35">
      <c r="O620" s="1"/>
    </row>
    <row r="621" spans="15:15" ht="14.25" customHeight="1" x14ac:dyDescent="0.35">
      <c r="O621" s="1"/>
    </row>
    <row r="622" spans="15:15" ht="14.25" customHeight="1" x14ac:dyDescent="0.35">
      <c r="O622" s="1"/>
    </row>
    <row r="623" spans="15:15" ht="14.25" customHeight="1" x14ac:dyDescent="0.35">
      <c r="O623" s="1"/>
    </row>
    <row r="624" spans="15:15" ht="14.25" customHeight="1" x14ac:dyDescent="0.35">
      <c r="O624" s="1"/>
    </row>
    <row r="625" spans="15:15" ht="14.25" customHeight="1" x14ac:dyDescent="0.35">
      <c r="O625" s="1"/>
    </row>
    <row r="626" spans="15:15" ht="14.25" customHeight="1" x14ac:dyDescent="0.35">
      <c r="O626" s="1"/>
    </row>
    <row r="627" spans="15:15" ht="14.25" customHeight="1" x14ac:dyDescent="0.35">
      <c r="O627" s="1"/>
    </row>
    <row r="628" spans="15:15" ht="14.25" customHeight="1" x14ac:dyDescent="0.35">
      <c r="O628" s="1"/>
    </row>
    <row r="629" spans="15:15" ht="14.25" customHeight="1" x14ac:dyDescent="0.35">
      <c r="O629" s="1"/>
    </row>
    <row r="630" spans="15:15" ht="14.25" customHeight="1" x14ac:dyDescent="0.35">
      <c r="O630" s="1"/>
    </row>
    <row r="631" spans="15:15" ht="14.25" customHeight="1" x14ac:dyDescent="0.35">
      <c r="O631" s="1"/>
    </row>
    <row r="632" spans="15:15" ht="14.25" customHeight="1" x14ac:dyDescent="0.35">
      <c r="O632" s="1"/>
    </row>
    <row r="633" spans="15:15" ht="14.25" customHeight="1" x14ac:dyDescent="0.35">
      <c r="O633" s="1"/>
    </row>
    <row r="634" spans="15:15" ht="14.25" customHeight="1" x14ac:dyDescent="0.35">
      <c r="O634" s="1"/>
    </row>
    <row r="635" spans="15:15" ht="14.25" customHeight="1" x14ac:dyDescent="0.35">
      <c r="O635" s="1"/>
    </row>
    <row r="636" spans="15:15" ht="14.25" customHeight="1" x14ac:dyDescent="0.35">
      <c r="O636" s="1"/>
    </row>
    <row r="637" spans="15:15" ht="14.25" customHeight="1" x14ac:dyDescent="0.35">
      <c r="O637" s="1"/>
    </row>
    <row r="638" spans="15:15" ht="14.25" customHeight="1" x14ac:dyDescent="0.35">
      <c r="O638" s="1"/>
    </row>
    <row r="639" spans="15:15" ht="14.25" customHeight="1" x14ac:dyDescent="0.35">
      <c r="O639" s="1"/>
    </row>
    <row r="640" spans="15:15" ht="14.25" customHeight="1" x14ac:dyDescent="0.35">
      <c r="O640" s="1"/>
    </row>
    <row r="641" spans="15:15" ht="14.25" customHeight="1" x14ac:dyDescent="0.35">
      <c r="O641" s="1"/>
    </row>
    <row r="642" spans="15:15" ht="14.25" customHeight="1" x14ac:dyDescent="0.35">
      <c r="O642" s="1"/>
    </row>
    <row r="643" spans="15:15" ht="14.25" customHeight="1" x14ac:dyDescent="0.35">
      <c r="O643" s="1"/>
    </row>
    <row r="644" spans="15:15" ht="14.25" customHeight="1" x14ac:dyDescent="0.35">
      <c r="O644" s="1"/>
    </row>
    <row r="645" spans="15:15" ht="14.25" customHeight="1" x14ac:dyDescent="0.35">
      <c r="O645" s="1"/>
    </row>
    <row r="646" spans="15:15" ht="14.25" customHeight="1" x14ac:dyDescent="0.35">
      <c r="O646" s="1"/>
    </row>
    <row r="647" spans="15:15" ht="14.25" customHeight="1" x14ac:dyDescent="0.35">
      <c r="O647" s="1"/>
    </row>
    <row r="648" spans="15:15" ht="14.25" customHeight="1" x14ac:dyDescent="0.35">
      <c r="O648" s="1"/>
    </row>
    <row r="649" spans="15:15" ht="14.25" customHeight="1" x14ac:dyDescent="0.35">
      <c r="O649" s="1"/>
    </row>
    <row r="650" spans="15:15" ht="14.25" customHeight="1" x14ac:dyDescent="0.35">
      <c r="O650" s="1"/>
    </row>
    <row r="651" spans="15:15" ht="14.25" customHeight="1" x14ac:dyDescent="0.35">
      <c r="O651" s="1"/>
    </row>
    <row r="652" spans="15:15" ht="14.25" customHeight="1" x14ac:dyDescent="0.35">
      <c r="O652" s="1"/>
    </row>
    <row r="653" spans="15:15" ht="14.25" customHeight="1" x14ac:dyDescent="0.35">
      <c r="O653" s="1"/>
    </row>
    <row r="654" spans="15:15" ht="14.25" customHeight="1" x14ac:dyDescent="0.35">
      <c r="O654" s="1"/>
    </row>
    <row r="655" spans="15:15" ht="14.25" customHeight="1" x14ac:dyDescent="0.35">
      <c r="O655" s="1"/>
    </row>
    <row r="656" spans="15:15" ht="14.25" customHeight="1" x14ac:dyDescent="0.35">
      <c r="O656" s="1"/>
    </row>
    <row r="657" spans="15:15" ht="14.25" customHeight="1" x14ac:dyDescent="0.35">
      <c r="O657" s="1"/>
    </row>
    <row r="658" spans="15:15" ht="14.25" customHeight="1" x14ac:dyDescent="0.35">
      <c r="O658" s="1"/>
    </row>
    <row r="659" spans="15:15" ht="14.25" customHeight="1" x14ac:dyDescent="0.35">
      <c r="O659" s="1"/>
    </row>
    <row r="660" spans="15:15" ht="14.25" customHeight="1" x14ac:dyDescent="0.35">
      <c r="O660" s="1"/>
    </row>
    <row r="661" spans="15:15" ht="14.25" customHeight="1" x14ac:dyDescent="0.35">
      <c r="O661" s="1"/>
    </row>
    <row r="662" spans="15:15" ht="14.25" customHeight="1" x14ac:dyDescent="0.35">
      <c r="O662" s="1"/>
    </row>
    <row r="663" spans="15:15" ht="14.25" customHeight="1" x14ac:dyDescent="0.35">
      <c r="O663" s="1"/>
    </row>
    <row r="664" spans="15:15" ht="14.25" customHeight="1" x14ac:dyDescent="0.35">
      <c r="O664" s="1"/>
    </row>
    <row r="665" spans="15:15" ht="14.25" customHeight="1" x14ac:dyDescent="0.35">
      <c r="O665" s="1"/>
    </row>
    <row r="666" spans="15:15" ht="14.25" customHeight="1" x14ac:dyDescent="0.35">
      <c r="O666" s="1"/>
    </row>
    <row r="667" spans="15:15" ht="14.25" customHeight="1" x14ac:dyDescent="0.35">
      <c r="O667" s="1"/>
    </row>
    <row r="668" spans="15:15" ht="14.25" customHeight="1" x14ac:dyDescent="0.35">
      <c r="O668" s="1"/>
    </row>
    <row r="669" spans="15:15" ht="14.25" customHeight="1" x14ac:dyDescent="0.35">
      <c r="O669" s="1"/>
    </row>
    <row r="670" spans="15:15" ht="14.25" customHeight="1" x14ac:dyDescent="0.35">
      <c r="O670" s="1"/>
    </row>
    <row r="671" spans="15:15" ht="14.25" customHeight="1" x14ac:dyDescent="0.35">
      <c r="O671" s="1"/>
    </row>
    <row r="672" spans="15:15" ht="14.25" customHeight="1" x14ac:dyDescent="0.35">
      <c r="O672" s="1"/>
    </row>
    <row r="673" spans="15:15" ht="14.25" customHeight="1" x14ac:dyDescent="0.35">
      <c r="O673" s="1"/>
    </row>
    <row r="674" spans="15:15" ht="14.25" customHeight="1" x14ac:dyDescent="0.35">
      <c r="O674" s="1"/>
    </row>
    <row r="675" spans="15:15" ht="14.25" customHeight="1" x14ac:dyDescent="0.35">
      <c r="O675" s="1"/>
    </row>
    <row r="676" spans="15:15" ht="14.25" customHeight="1" x14ac:dyDescent="0.35">
      <c r="O676" s="1"/>
    </row>
    <row r="677" spans="15:15" ht="14.25" customHeight="1" x14ac:dyDescent="0.35">
      <c r="O677" s="1"/>
    </row>
    <row r="678" spans="15:15" ht="14.25" customHeight="1" x14ac:dyDescent="0.35">
      <c r="O678" s="1"/>
    </row>
    <row r="679" spans="15:15" ht="14.25" customHeight="1" x14ac:dyDescent="0.35">
      <c r="O679" s="1"/>
    </row>
    <row r="680" spans="15:15" ht="14.25" customHeight="1" x14ac:dyDescent="0.35">
      <c r="O680" s="1"/>
    </row>
    <row r="681" spans="15:15" ht="14.25" customHeight="1" x14ac:dyDescent="0.35">
      <c r="O681" s="1"/>
    </row>
    <row r="682" spans="15:15" ht="14.25" customHeight="1" x14ac:dyDescent="0.35">
      <c r="O682" s="1"/>
    </row>
    <row r="683" spans="15:15" ht="14.25" customHeight="1" x14ac:dyDescent="0.35">
      <c r="O683" s="1"/>
    </row>
    <row r="684" spans="15:15" ht="14.25" customHeight="1" x14ac:dyDescent="0.35">
      <c r="O684" s="1"/>
    </row>
    <row r="685" spans="15:15" ht="14.25" customHeight="1" x14ac:dyDescent="0.35">
      <c r="O685" s="1"/>
    </row>
    <row r="686" spans="15:15" ht="14.25" customHeight="1" x14ac:dyDescent="0.35">
      <c r="O686" s="1"/>
    </row>
    <row r="687" spans="15:15" ht="14.25" customHeight="1" x14ac:dyDescent="0.35">
      <c r="O687" s="1"/>
    </row>
    <row r="688" spans="15:15" ht="14.25" customHeight="1" x14ac:dyDescent="0.35">
      <c r="O688" s="1"/>
    </row>
    <row r="689" spans="15:15" ht="14.25" customHeight="1" x14ac:dyDescent="0.35">
      <c r="O689" s="1"/>
    </row>
    <row r="690" spans="15:15" ht="14.25" customHeight="1" x14ac:dyDescent="0.35">
      <c r="O690" s="1"/>
    </row>
    <row r="691" spans="15:15" ht="14.25" customHeight="1" x14ac:dyDescent="0.35">
      <c r="O691" s="1"/>
    </row>
    <row r="692" spans="15:15" ht="14.25" customHeight="1" x14ac:dyDescent="0.35">
      <c r="O692" s="1"/>
    </row>
    <row r="693" spans="15:15" ht="14.25" customHeight="1" x14ac:dyDescent="0.35">
      <c r="O693" s="1"/>
    </row>
    <row r="694" spans="15:15" ht="14.25" customHeight="1" x14ac:dyDescent="0.35">
      <c r="O694" s="1"/>
    </row>
    <row r="695" spans="15:15" ht="14.25" customHeight="1" x14ac:dyDescent="0.35">
      <c r="O695" s="1"/>
    </row>
    <row r="696" spans="15:15" ht="14.25" customHeight="1" x14ac:dyDescent="0.35">
      <c r="O696" s="1"/>
    </row>
    <row r="697" spans="15:15" ht="14.25" customHeight="1" x14ac:dyDescent="0.35">
      <c r="O697" s="1"/>
    </row>
    <row r="698" spans="15:15" ht="14.25" customHeight="1" x14ac:dyDescent="0.35">
      <c r="O698" s="1"/>
    </row>
    <row r="699" spans="15:15" ht="14.25" customHeight="1" x14ac:dyDescent="0.35">
      <c r="O699" s="1"/>
    </row>
    <row r="700" spans="15:15" ht="14.25" customHeight="1" x14ac:dyDescent="0.35">
      <c r="O700" s="1"/>
    </row>
    <row r="701" spans="15:15" ht="14.25" customHeight="1" x14ac:dyDescent="0.35">
      <c r="O701" s="1"/>
    </row>
    <row r="702" spans="15:15" ht="14.25" customHeight="1" x14ac:dyDescent="0.35">
      <c r="O702" s="1"/>
    </row>
    <row r="703" spans="15:15" ht="14.25" customHeight="1" x14ac:dyDescent="0.35">
      <c r="O703" s="1"/>
    </row>
    <row r="704" spans="15:15" ht="14.25" customHeight="1" x14ac:dyDescent="0.35">
      <c r="O704" s="1"/>
    </row>
    <row r="705" spans="15:15" ht="14.25" customHeight="1" x14ac:dyDescent="0.35">
      <c r="O705" s="1"/>
    </row>
    <row r="706" spans="15:15" ht="14.25" customHeight="1" x14ac:dyDescent="0.35">
      <c r="O706" s="1"/>
    </row>
    <row r="707" spans="15:15" ht="14.25" customHeight="1" x14ac:dyDescent="0.35">
      <c r="O707" s="1"/>
    </row>
    <row r="708" spans="15:15" ht="14.25" customHeight="1" x14ac:dyDescent="0.35">
      <c r="O708" s="1"/>
    </row>
    <row r="709" spans="15:15" ht="14.25" customHeight="1" x14ac:dyDescent="0.35">
      <c r="O709" s="1"/>
    </row>
    <row r="710" spans="15:15" ht="14.25" customHeight="1" x14ac:dyDescent="0.35">
      <c r="O710" s="1"/>
    </row>
    <row r="711" spans="15:15" ht="14.25" customHeight="1" x14ac:dyDescent="0.35">
      <c r="O711" s="1"/>
    </row>
    <row r="712" spans="15:15" ht="14.25" customHeight="1" x14ac:dyDescent="0.35">
      <c r="O712" s="1"/>
    </row>
    <row r="713" spans="15:15" ht="14.25" customHeight="1" x14ac:dyDescent="0.35">
      <c r="O713" s="1"/>
    </row>
    <row r="714" spans="15:15" ht="14.25" customHeight="1" x14ac:dyDescent="0.35">
      <c r="O714" s="1"/>
    </row>
    <row r="715" spans="15:15" ht="14.25" customHeight="1" x14ac:dyDescent="0.35">
      <c r="O715" s="1"/>
    </row>
    <row r="716" spans="15:15" ht="14.25" customHeight="1" x14ac:dyDescent="0.35">
      <c r="O716" s="1"/>
    </row>
    <row r="717" spans="15:15" ht="14.25" customHeight="1" x14ac:dyDescent="0.35">
      <c r="O717" s="1"/>
    </row>
    <row r="718" spans="15:15" ht="14.25" customHeight="1" x14ac:dyDescent="0.35">
      <c r="O718" s="1"/>
    </row>
    <row r="719" spans="15:15" ht="14.25" customHeight="1" x14ac:dyDescent="0.35">
      <c r="O719" s="1"/>
    </row>
    <row r="720" spans="15:15" ht="14.25" customHeight="1" x14ac:dyDescent="0.35">
      <c r="O720" s="1"/>
    </row>
    <row r="721" spans="15:15" ht="14.25" customHeight="1" x14ac:dyDescent="0.35">
      <c r="O721" s="1"/>
    </row>
    <row r="722" spans="15:15" ht="14.25" customHeight="1" x14ac:dyDescent="0.35">
      <c r="O722" s="1"/>
    </row>
    <row r="723" spans="15:15" ht="14.25" customHeight="1" x14ac:dyDescent="0.35">
      <c r="O723" s="1"/>
    </row>
    <row r="724" spans="15:15" ht="14.25" customHeight="1" x14ac:dyDescent="0.35">
      <c r="O724" s="1"/>
    </row>
    <row r="725" spans="15:15" ht="14.25" customHeight="1" x14ac:dyDescent="0.35">
      <c r="O725" s="1"/>
    </row>
    <row r="726" spans="15:15" ht="14.25" customHeight="1" x14ac:dyDescent="0.35">
      <c r="O726" s="1"/>
    </row>
    <row r="727" spans="15:15" ht="14.25" customHeight="1" x14ac:dyDescent="0.35">
      <c r="O727" s="1"/>
    </row>
    <row r="728" spans="15:15" ht="14.25" customHeight="1" x14ac:dyDescent="0.35">
      <c r="O728" s="1"/>
    </row>
    <row r="729" spans="15:15" ht="14.25" customHeight="1" x14ac:dyDescent="0.35">
      <c r="O729" s="1"/>
    </row>
    <row r="730" spans="15:15" ht="14.25" customHeight="1" x14ac:dyDescent="0.35">
      <c r="O730" s="1"/>
    </row>
    <row r="731" spans="15:15" ht="14.25" customHeight="1" x14ac:dyDescent="0.35">
      <c r="O731" s="1"/>
    </row>
    <row r="732" spans="15:15" ht="14.25" customHeight="1" x14ac:dyDescent="0.35">
      <c r="O732" s="1"/>
    </row>
    <row r="733" spans="15:15" ht="14.25" customHeight="1" x14ac:dyDescent="0.35">
      <c r="O733" s="1"/>
    </row>
    <row r="734" spans="15:15" ht="14.25" customHeight="1" x14ac:dyDescent="0.35">
      <c r="O734" s="1"/>
    </row>
    <row r="735" spans="15:15" ht="14.25" customHeight="1" x14ac:dyDescent="0.35">
      <c r="O735" s="1"/>
    </row>
    <row r="736" spans="15:15" ht="14.25" customHeight="1" x14ac:dyDescent="0.35">
      <c r="O736" s="1"/>
    </row>
    <row r="737" spans="15:15" ht="14.25" customHeight="1" x14ac:dyDescent="0.35">
      <c r="O737" s="1"/>
    </row>
    <row r="738" spans="15:15" ht="14.25" customHeight="1" x14ac:dyDescent="0.35">
      <c r="O738" s="1"/>
    </row>
    <row r="739" spans="15:15" ht="14.25" customHeight="1" x14ac:dyDescent="0.35">
      <c r="O739" s="1"/>
    </row>
    <row r="740" spans="15:15" ht="14.25" customHeight="1" x14ac:dyDescent="0.35">
      <c r="O740" s="1"/>
    </row>
    <row r="741" spans="15:15" ht="14.25" customHeight="1" x14ac:dyDescent="0.35">
      <c r="O741" s="1"/>
    </row>
    <row r="742" spans="15:15" ht="14.25" customHeight="1" x14ac:dyDescent="0.35">
      <c r="O742" s="1"/>
    </row>
    <row r="743" spans="15:15" ht="14.25" customHeight="1" x14ac:dyDescent="0.35">
      <c r="O743" s="1"/>
    </row>
    <row r="744" spans="15:15" ht="14.25" customHeight="1" x14ac:dyDescent="0.35">
      <c r="O744" s="1"/>
    </row>
    <row r="745" spans="15:15" ht="14.25" customHeight="1" x14ac:dyDescent="0.35">
      <c r="O745" s="1"/>
    </row>
    <row r="746" spans="15:15" ht="14.25" customHeight="1" x14ac:dyDescent="0.35">
      <c r="O746" s="1"/>
    </row>
    <row r="747" spans="15:15" ht="14.25" customHeight="1" x14ac:dyDescent="0.35">
      <c r="O747" s="1"/>
    </row>
    <row r="748" spans="15:15" ht="14.25" customHeight="1" x14ac:dyDescent="0.35">
      <c r="O748" s="1"/>
    </row>
    <row r="749" spans="15:15" ht="14.25" customHeight="1" x14ac:dyDescent="0.35">
      <c r="O749" s="1"/>
    </row>
    <row r="750" spans="15:15" ht="14.25" customHeight="1" x14ac:dyDescent="0.35">
      <c r="O750" s="1"/>
    </row>
    <row r="751" spans="15:15" ht="14.25" customHeight="1" x14ac:dyDescent="0.35">
      <c r="O751" s="1"/>
    </row>
    <row r="752" spans="15:15" ht="14.25" customHeight="1" x14ac:dyDescent="0.35">
      <c r="O752" s="1"/>
    </row>
    <row r="753" spans="15:15" ht="14.25" customHeight="1" x14ac:dyDescent="0.35">
      <c r="O753" s="1"/>
    </row>
    <row r="754" spans="15:15" ht="14.25" customHeight="1" x14ac:dyDescent="0.35">
      <c r="O754" s="1"/>
    </row>
    <row r="755" spans="15:15" ht="14.25" customHeight="1" x14ac:dyDescent="0.35">
      <c r="O755" s="1"/>
    </row>
    <row r="756" spans="15:15" ht="14.25" customHeight="1" x14ac:dyDescent="0.35">
      <c r="O756" s="1"/>
    </row>
    <row r="757" spans="15:15" ht="14.25" customHeight="1" x14ac:dyDescent="0.35">
      <c r="O757" s="1"/>
    </row>
    <row r="758" spans="15:15" ht="14.25" customHeight="1" x14ac:dyDescent="0.35">
      <c r="O758" s="1"/>
    </row>
    <row r="759" spans="15:15" ht="14.25" customHeight="1" x14ac:dyDescent="0.35">
      <c r="O759" s="1"/>
    </row>
    <row r="760" spans="15:15" ht="14.25" customHeight="1" x14ac:dyDescent="0.35">
      <c r="O760" s="1"/>
    </row>
    <row r="761" spans="15:15" ht="14.25" customHeight="1" x14ac:dyDescent="0.35">
      <c r="O761" s="1"/>
    </row>
    <row r="762" spans="15:15" ht="14.25" customHeight="1" x14ac:dyDescent="0.35">
      <c r="O762" s="1"/>
    </row>
    <row r="763" spans="15:15" ht="14.25" customHeight="1" x14ac:dyDescent="0.35">
      <c r="O763" s="1"/>
    </row>
    <row r="764" spans="15:15" ht="14.25" customHeight="1" x14ac:dyDescent="0.35">
      <c r="O764" s="1"/>
    </row>
    <row r="765" spans="15:15" ht="14.25" customHeight="1" x14ac:dyDescent="0.35">
      <c r="O765" s="1"/>
    </row>
    <row r="766" spans="15:15" ht="14.25" customHeight="1" x14ac:dyDescent="0.35">
      <c r="O766" s="1"/>
    </row>
    <row r="767" spans="15:15" ht="14.25" customHeight="1" x14ac:dyDescent="0.35">
      <c r="O767" s="1"/>
    </row>
    <row r="768" spans="15:15" ht="14.25" customHeight="1" x14ac:dyDescent="0.35">
      <c r="O768" s="1"/>
    </row>
    <row r="769" spans="15:15" ht="14.25" customHeight="1" x14ac:dyDescent="0.35">
      <c r="O769" s="1"/>
    </row>
    <row r="770" spans="15:15" ht="14.25" customHeight="1" x14ac:dyDescent="0.35">
      <c r="O770" s="1"/>
    </row>
    <row r="771" spans="15:15" ht="14.25" customHeight="1" x14ac:dyDescent="0.35">
      <c r="O771" s="1"/>
    </row>
    <row r="772" spans="15:15" ht="14.25" customHeight="1" x14ac:dyDescent="0.35">
      <c r="O772" s="1"/>
    </row>
    <row r="773" spans="15:15" ht="14.25" customHeight="1" x14ac:dyDescent="0.35">
      <c r="O773" s="1"/>
    </row>
    <row r="774" spans="15:15" ht="14.25" customHeight="1" x14ac:dyDescent="0.35">
      <c r="O774" s="1"/>
    </row>
    <row r="775" spans="15:15" ht="14.25" customHeight="1" x14ac:dyDescent="0.35">
      <c r="O775" s="1"/>
    </row>
    <row r="776" spans="15:15" ht="14.25" customHeight="1" x14ac:dyDescent="0.35">
      <c r="O776" s="1"/>
    </row>
    <row r="777" spans="15:15" ht="14.25" customHeight="1" x14ac:dyDescent="0.35">
      <c r="O777" s="1"/>
    </row>
    <row r="778" spans="15:15" ht="14.25" customHeight="1" x14ac:dyDescent="0.35">
      <c r="O778" s="1"/>
    </row>
    <row r="779" spans="15:15" ht="14.25" customHeight="1" x14ac:dyDescent="0.35">
      <c r="O779" s="1"/>
    </row>
    <row r="780" spans="15:15" ht="14.25" customHeight="1" x14ac:dyDescent="0.35">
      <c r="O780" s="1"/>
    </row>
    <row r="781" spans="15:15" ht="14.25" customHeight="1" x14ac:dyDescent="0.35">
      <c r="O781" s="1"/>
    </row>
    <row r="782" spans="15:15" ht="14.25" customHeight="1" x14ac:dyDescent="0.35">
      <c r="O782" s="1"/>
    </row>
    <row r="783" spans="15:15" ht="14.25" customHeight="1" x14ac:dyDescent="0.35">
      <c r="O783" s="1"/>
    </row>
    <row r="784" spans="15:15" ht="14.25" customHeight="1" x14ac:dyDescent="0.35">
      <c r="O784" s="1"/>
    </row>
    <row r="785" spans="15:15" ht="14.25" customHeight="1" x14ac:dyDescent="0.35">
      <c r="O785" s="1"/>
    </row>
    <row r="786" spans="15:15" ht="14.25" customHeight="1" x14ac:dyDescent="0.35">
      <c r="O786" s="1"/>
    </row>
    <row r="787" spans="15:15" ht="14.25" customHeight="1" x14ac:dyDescent="0.35">
      <c r="O787" s="1"/>
    </row>
    <row r="788" spans="15:15" ht="14.25" customHeight="1" x14ac:dyDescent="0.35">
      <c r="O788" s="1"/>
    </row>
    <row r="789" spans="15:15" ht="14.25" customHeight="1" x14ac:dyDescent="0.35">
      <c r="O789" s="1"/>
    </row>
    <row r="790" spans="15:15" ht="14.25" customHeight="1" x14ac:dyDescent="0.35">
      <c r="O790" s="1"/>
    </row>
    <row r="791" spans="15:15" ht="14.25" customHeight="1" x14ac:dyDescent="0.35">
      <c r="O791" s="1"/>
    </row>
    <row r="792" spans="15:15" ht="14.25" customHeight="1" x14ac:dyDescent="0.35">
      <c r="O792" s="1"/>
    </row>
    <row r="793" spans="15:15" ht="14.25" customHeight="1" x14ac:dyDescent="0.35">
      <c r="O793" s="1"/>
    </row>
    <row r="794" spans="15:15" ht="14.25" customHeight="1" x14ac:dyDescent="0.35">
      <c r="O794" s="1"/>
    </row>
    <row r="795" spans="15:15" ht="14.25" customHeight="1" x14ac:dyDescent="0.35">
      <c r="O795" s="1"/>
    </row>
    <row r="796" spans="15:15" ht="14.25" customHeight="1" x14ac:dyDescent="0.35">
      <c r="O796" s="1"/>
    </row>
    <row r="797" spans="15:15" ht="14.25" customHeight="1" x14ac:dyDescent="0.35">
      <c r="O797" s="1"/>
    </row>
    <row r="798" spans="15:15" ht="14.25" customHeight="1" x14ac:dyDescent="0.35">
      <c r="O798" s="1"/>
    </row>
    <row r="799" spans="15:15" ht="14.25" customHeight="1" x14ac:dyDescent="0.35">
      <c r="O799" s="1"/>
    </row>
    <row r="800" spans="15:15" ht="14.25" customHeight="1" x14ac:dyDescent="0.35">
      <c r="O800" s="1"/>
    </row>
    <row r="801" spans="15:15" ht="14.25" customHeight="1" x14ac:dyDescent="0.35">
      <c r="O801" s="1"/>
    </row>
    <row r="802" spans="15:15" ht="14.25" customHeight="1" x14ac:dyDescent="0.35">
      <c r="O802" s="1"/>
    </row>
    <row r="803" spans="15:15" ht="14.25" customHeight="1" x14ac:dyDescent="0.35">
      <c r="O803" s="1"/>
    </row>
    <row r="804" spans="15:15" ht="14.25" customHeight="1" x14ac:dyDescent="0.35">
      <c r="O804" s="1"/>
    </row>
    <row r="805" spans="15:15" ht="14.25" customHeight="1" x14ac:dyDescent="0.35">
      <c r="O805" s="1"/>
    </row>
    <row r="806" spans="15:15" ht="14.25" customHeight="1" x14ac:dyDescent="0.35">
      <c r="O806" s="1"/>
    </row>
    <row r="807" spans="15:15" ht="14.25" customHeight="1" x14ac:dyDescent="0.35">
      <c r="O807" s="1"/>
    </row>
    <row r="808" spans="15:15" ht="14.25" customHeight="1" x14ac:dyDescent="0.35">
      <c r="O808" s="1"/>
    </row>
    <row r="809" spans="15:15" ht="14.25" customHeight="1" x14ac:dyDescent="0.35">
      <c r="O809" s="1"/>
    </row>
    <row r="810" spans="15:15" ht="14.25" customHeight="1" x14ac:dyDescent="0.35">
      <c r="O810" s="1"/>
    </row>
    <row r="811" spans="15:15" ht="14.25" customHeight="1" x14ac:dyDescent="0.35">
      <c r="O811" s="1"/>
    </row>
    <row r="812" spans="15:15" ht="14.25" customHeight="1" x14ac:dyDescent="0.35">
      <c r="O812" s="1"/>
    </row>
    <row r="813" spans="15:15" ht="14.25" customHeight="1" x14ac:dyDescent="0.35">
      <c r="O813" s="1"/>
    </row>
    <row r="814" spans="15:15" ht="14.25" customHeight="1" x14ac:dyDescent="0.35">
      <c r="O814" s="1"/>
    </row>
    <row r="815" spans="15:15" ht="14.25" customHeight="1" x14ac:dyDescent="0.35">
      <c r="O815" s="1"/>
    </row>
    <row r="816" spans="15:15" ht="14.25" customHeight="1" x14ac:dyDescent="0.35">
      <c r="O816" s="1"/>
    </row>
    <row r="817" spans="15:15" ht="14.25" customHeight="1" x14ac:dyDescent="0.35">
      <c r="O817" s="1"/>
    </row>
    <row r="818" spans="15:15" ht="14.25" customHeight="1" x14ac:dyDescent="0.35">
      <c r="O818" s="1"/>
    </row>
    <row r="819" spans="15:15" ht="14.25" customHeight="1" x14ac:dyDescent="0.35">
      <c r="O819" s="1"/>
    </row>
    <row r="820" spans="15:15" ht="14.25" customHeight="1" x14ac:dyDescent="0.35">
      <c r="O820" s="1"/>
    </row>
    <row r="821" spans="15:15" ht="14.25" customHeight="1" x14ac:dyDescent="0.35">
      <c r="O821" s="1"/>
    </row>
    <row r="822" spans="15:15" ht="14.25" customHeight="1" x14ac:dyDescent="0.35">
      <c r="O822" s="1"/>
    </row>
    <row r="823" spans="15:15" ht="14.25" customHeight="1" x14ac:dyDescent="0.35">
      <c r="O823" s="1"/>
    </row>
    <row r="824" spans="15:15" ht="14.25" customHeight="1" x14ac:dyDescent="0.35">
      <c r="O824" s="1"/>
    </row>
    <row r="825" spans="15:15" ht="14.25" customHeight="1" x14ac:dyDescent="0.35">
      <c r="O825" s="1"/>
    </row>
    <row r="826" spans="15:15" ht="14.25" customHeight="1" x14ac:dyDescent="0.35">
      <c r="O826" s="1"/>
    </row>
    <row r="827" spans="15:15" ht="14.25" customHeight="1" x14ac:dyDescent="0.35">
      <c r="O827" s="1"/>
    </row>
    <row r="828" spans="15:15" ht="14.25" customHeight="1" x14ac:dyDescent="0.35">
      <c r="O828" s="1"/>
    </row>
    <row r="829" spans="15:15" ht="14.25" customHeight="1" x14ac:dyDescent="0.35">
      <c r="O829" s="1"/>
    </row>
    <row r="830" spans="15:15" ht="14.25" customHeight="1" x14ac:dyDescent="0.35">
      <c r="O830" s="1"/>
    </row>
    <row r="831" spans="15:15" ht="14.25" customHeight="1" x14ac:dyDescent="0.35">
      <c r="O831" s="1"/>
    </row>
    <row r="832" spans="15:15" ht="14.25" customHeight="1" x14ac:dyDescent="0.35">
      <c r="O832" s="1"/>
    </row>
    <row r="833" spans="15:15" ht="14.25" customHeight="1" x14ac:dyDescent="0.35">
      <c r="O833" s="1"/>
    </row>
    <row r="834" spans="15:15" ht="14.25" customHeight="1" x14ac:dyDescent="0.35">
      <c r="O834" s="1"/>
    </row>
    <row r="835" spans="15:15" ht="14.25" customHeight="1" x14ac:dyDescent="0.35">
      <c r="O835" s="1"/>
    </row>
    <row r="836" spans="15:15" ht="14.25" customHeight="1" x14ac:dyDescent="0.35">
      <c r="O836" s="1"/>
    </row>
    <row r="837" spans="15:15" ht="14.25" customHeight="1" x14ac:dyDescent="0.35">
      <c r="O837" s="1"/>
    </row>
    <row r="838" spans="15:15" ht="14.25" customHeight="1" x14ac:dyDescent="0.35">
      <c r="O838" s="1"/>
    </row>
    <row r="839" spans="15:15" ht="14.25" customHeight="1" x14ac:dyDescent="0.35">
      <c r="O839" s="1"/>
    </row>
    <row r="840" spans="15:15" ht="14.25" customHeight="1" x14ac:dyDescent="0.35">
      <c r="O840" s="1"/>
    </row>
    <row r="841" spans="15:15" ht="14.25" customHeight="1" x14ac:dyDescent="0.35">
      <c r="O841" s="1"/>
    </row>
    <row r="842" spans="15:15" ht="14.25" customHeight="1" x14ac:dyDescent="0.35">
      <c r="O842" s="1"/>
    </row>
    <row r="843" spans="15:15" ht="14.25" customHeight="1" x14ac:dyDescent="0.35">
      <c r="O843" s="1"/>
    </row>
    <row r="844" spans="15:15" ht="14.25" customHeight="1" x14ac:dyDescent="0.35">
      <c r="O844" s="1"/>
    </row>
    <row r="845" spans="15:15" ht="14.25" customHeight="1" x14ac:dyDescent="0.35">
      <c r="O845" s="1"/>
    </row>
    <row r="846" spans="15:15" ht="14.25" customHeight="1" x14ac:dyDescent="0.35">
      <c r="O846" s="1"/>
    </row>
    <row r="847" spans="15:15" ht="14.25" customHeight="1" x14ac:dyDescent="0.35">
      <c r="O847" s="1"/>
    </row>
    <row r="848" spans="15:15" ht="14.25" customHeight="1" x14ac:dyDescent="0.35">
      <c r="O848" s="1"/>
    </row>
    <row r="849" spans="15:15" ht="14.25" customHeight="1" x14ac:dyDescent="0.35">
      <c r="O849" s="1"/>
    </row>
    <row r="850" spans="15:15" ht="14.25" customHeight="1" x14ac:dyDescent="0.35">
      <c r="O850" s="1"/>
    </row>
    <row r="851" spans="15:15" ht="14.25" customHeight="1" x14ac:dyDescent="0.35">
      <c r="O851" s="1"/>
    </row>
    <row r="852" spans="15:15" ht="14.25" customHeight="1" x14ac:dyDescent="0.35">
      <c r="O852" s="1"/>
    </row>
    <row r="853" spans="15:15" ht="14.25" customHeight="1" x14ac:dyDescent="0.35">
      <c r="O853" s="1"/>
    </row>
    <row r="854" spans="15:15" ht="14.25" customHeight="1" x14ac:dyDescent="0.35">
      <c r="O854" s="1"/>
    </row>
    <row r="855" spans="15:15" ht="14.25" customHeight="1" x14ac:dyDescent="0.35">
      <c r="O855" s="1"/>
    </row>
    <row r="856" spans="15:15" ht="14.25" customHeight="1" x14ac:dyDescent="0.35">
      <c r="O856" s="1"/>
    </row>
    <row r="857" spans="15:15" ht="14.25" customHeight="1" x14ac:dyDescent="0.35">
      <c r="O857" s="1"/>
    </row>
    <row r="858" spans="15:15" ht="14.25" customHeight="1" x14ac:dyDescent="0.35">
      <c r="O858" s="1"/>
    </row>
    <row r="859" spans="15:15" ht="14.25" customHeight="1" x14ac:dyDescent="0.35">
      <c r="O859" s="1"/>
    </row>
    <row r="860" spans="15:15" ht="14.25" customHeight="1" x14ac:dyDescent="0.35">
      <c r="O860" s="1"/>
    </row>
    <row r="861" spans="15:15" ht="14.25" customHeight="1" x14ac:dyDescent="0.35">
      <c r="O861" s="1"/>
    </row>
    <row r="862" spans="15:15" ht="14.25" customHeight="1" x14ac:dyDescent="0.35">
      <c r="O862" s="1"/>
    </row>
    <row r="863" spans="15:15" ht="14.25" customHeight="1" x14ac:dyDescent="0.35">
      <c r="O863" s="1"/>
    </row>
    <row r="864" spans="15:15" ht="14.25" customHeight="1" x14ac:dyDescent="0.35">
      <c r="O864" s="1"/>
    </row>
    <row r="865" spans="15:15" ht="14.25" customHeight="1" x14ac:dyDescent="0.35">
      <c r="O865" s="1"/>
    </row>
    <row r="866" spans="15:15" ht="14.25" customHeight="1" x14ac:dyDescent="0.35">
      <c r="O866" s="1"/>
    </row>
    <row r="867" spans="15:15" ht="14.25" customHeight="1" x14ac:dyDescent="0.35">
      <c r="O867" s="1"/>
    </row>
    <row r="868" spans="15:15" ht="14.25" customHeight="1" x14ac:dyDescent="0.35">
      <c r="O868" s="1"/>
    </row>
    <row r="869" spans="15:15" ht="14.25" customHeight="1" x14ac:dyDescent="0.35">
      <c r="O869" s="1"/>
    </row>
    <row r="870" spans="15:15" ht="14.25" customHeight="1" x14ac:dyDescent="0.35">
      <c r="O870" s="1"/>
    </row>
    <row r="871" spans="15:15" ht="14.25" customHeight="1" x14ac:dyDescent="0.35">
      <c r="O871" s="1"/>
    </row>
    <row r="872" spans="15:15" ht="14.25" customHeight="1" x14ac:dyDescent="0.35">
      <c r="O872" s="1"/>
    </row>
    <row r="873" spans="15:15" ht="14.25" customHeight="1" x14ac:dyDescent="0.35">
      <c r="O873" s="1"/>
    </row>
    <row r="874" spans="15:15" ht="14.25" customHeight="1" x14ac:dyDescent="0.35">
      <c r="O874" s="1"/>
    </row>
    <row r="875" spans="15:15" ht="14.25" customHeight="1" x14ac:dyDescent="0.35">
      <c r="O875" s="1"/>
    </row>
    <row r="876" spans="15:15" ht="14.25" customHeight="1" x14ac:dyDescent="0.35">
      <c r="O876" s="1"/>
    </row>
    <row r="877" spans="15:15" ht="14.25" customHeight="1" x14ac:dyDescent="0.35">
      <c r="O877" s="1"/>
    </row>
    <row r="878" spans="15:15" ht="14.25" customHeight="1" x14ac:dyDescent="0.35">
      <c r="O878" s="1"/>
    </row>
    <row r="879" spans="15:15" ht="14.25" customHeight="1" x14ac:dyDescent="0.35">
      <c r="O879" s="1"/>
    </row>
    <row r="880" spans="15:15" ht="14.25" customHeight="1" x14ac:dyDescent="0.35">
      <c r="O880" s="1"/>
    </row>
    <row r="881" spans="15:15" ht="14.25" customHeight="1" x14ac:dyDescent="0.35">
      <c r="O881" s="1"/>
    </row>
    <row r="882" spans="15:15" ht="14.25" customHeight="1" x14ac:dyDescent="0.35">
      <c r="O882" s="1"/>
    </row>
    <row r="883" spans="15:15" ht="14.25" customHeight="1" x14ac:dyDescent="0.35">
      <c r="O883" s="1"/>
    </row>
    <row r="884" spans="15:15" ht="14.25" customHeight="1" x14ac:dyDescent="0.35">
      <c r="O884" s="1"/>
    </row>
    <row r="885" spans="15:15" ht="14.25" customHeight="1" x14ac:dyDescent="0.35">
      <c r="O885" s="1"/>
    </row>
    <row r="886" spans="15:15" ht="14.25" customHeight="1" x14ac:dyDescent="0.35">
      <c r="O886" s="1"/>
    </row>
    <row r="887" spans="15:15" ht="14.25" customHeight="1" x14ac:dyDescent="0.35">
      <c r="O887" s="1"/>
    </row>
    <row r="888" spans="15:15" ht="14.25" customHeight="1" x14ac:dyDescent="0.35">
      <c r="O888" s="1"/>
    </row>
    <row r="889" spans="15:15" ht="14.25" customHeight="1" x14ac:dyDescent="0.35">
      <c r="O889" s="1"/>
    </row>
    <row r="890" spans="15:15" ht="14.25" customHeight="1" x14ac:dyDescent="0.35">
      <c r="O890" s="1"/>
    </row>
    <row r="891" spans="15:15" ht="14.25" customHeight="1" x14ac:dyDescent="0.35">
      <c r="O891" s="1"/>
    </row>
    <row r="892" spans="15:15" ht="14.25" customHeight="1" x14ac:dyDescent="0.35">
      <c r="O892" s="1"/>
    </row>
    <row r="893" spans="15:15" ht="14.25" customHeight="1" x14ac:dyDescent="0.35">
      <c r="O893" s="1"/>
    </row>
    <row r="894" spans="15:15" ht="14.25" customHeight="1" x14ac:dyDescent="0.35">
      <c r="O894" s="1"/>
    </row>
    <row r="895" spans="15:15" ht="14.25" customHeight="1" x14ac:dyDescent="0.35">
      <c r="O895" s="1"/>
    </row>
    <row r="896" spans="15:15" ht="14.25" customHeight="1" x14ac:dyDescent="0.35">
      <c r="O896" s="1"/>
    </row>
    <row r="897" spans="15:15" ht="14.25" customHeight="1" x14ac:dyDescent="0.35">
      <c r="O897" s="1"/>
    </row>
    <row r="898" spans="15:15" ht="14.25" customHeight="1" x14ac:dyDescent="0.35">
      <c r="O898" s="1"/>
    </row>
    <row r="899" spans="15:15" ht="14.25" customHeight="1" x14ac:dyDescent="0.35">
      <c r="O899" s="1"/>
    </row>
    <row r="900" spans="15:15" ht="14.25" customHeight="1" x14ac:dyDescent="0.35">
      <c r="O900" s="1"/>
    </row>
    <row r="901" spans="15:15" ht="14.25" customHeight="1" x14ac:dyDescent="0.35">
      <c r="O901" s="1"/>
    </row>
    <row r="902" spans="15:15" ht="14.25" customHeight="1" x14ac:dyDescent="0.35">
      <c r="O902" s="1"/>
    </row>
    <row r="903" spans="15:15" ht="14.25" customHeight="1" x14ac:dyDescent="0.35">
      <c r="O903" s="1"/>
    </row>
    <row r="904" spans="15:15" ht="14.25" customHeight="1" x14ac:dyDescent="0.35">
      <c r="O904" s="1"/>
    </row>
    <row r="905" spans="15:15" ht="14.25" customHeight="1" x14ac:dyDescent="0.35">
      <c r="O905" s="1"/>
    </row>
    <row r="906" spans="15:15" ht="14.25" customHeight="1" x14ac:dyDescent="0.35">
      <c r="O906" s="1"/>
    </row>
    <row r="907" spans="15:15" ht="14.25" customHeight="1" x14ac:dyDescent="0.35">
      <c r="O907" s="1"/>
    </row>
    <row r="908" spans="15:15" ht="14.25" customHeight="1" x14ac:dyDescent="0.35">
      <c r="O908" s="1"/>
    </row>
    <row r="909" spans="15:15" ht="14.25" customHeight="1" x14ac:dyDescent="0.35">
      <c r="O909" s="1"/>
    </row>
    <row r="910" spans="15:15" ht="14.25" customHeight="1" x14ac:dyDescent="0.35">
      <c r="O910" s="1"/>
    </row>
    <row r="911" spans="15:15" ht="14.25" customHeight="1" x14ac:dyDescent="0.35">
      <c r="O911" s="1"/>
    </row>
    <row r="912" spans="15:15" ht="14.25" customHeight="1" x14ac:dyDescent="0.35">
      <c r="O912" s="1"/>
    </row>
    <row r="913" spans="15:15" ht="14.25" customHeight="1" x14ac:dyDescent="0.35">
      <c r="O913" s="1"/>
    </row>
    <row r="914" spans="15:15" ht="14.25" customHeight="1" x14ac:dyDescent="0.35">
      <c r="O914" s="1"/>
    </row>
    <row r="915" spans="15:15" ht="14.25" customHeight="1" x14ac:dyDescent="0.35">
      <c r="O915" s="1"/>
    </row>
    <row r="916" spans="15:15" ht="14.25" customHeight="1" x14ac:dyDescent="0.35">
      <c r="O916" s="1"/>
    </row>
    <row r="917" spans="15:15" ht="14.25" customHeight="1" x14ac:dyDescent="0.35">
      <c r="O917" s="1"/>
    </row>
    <row r="918" spans="15:15" ht="14.25" customHeight="1" x14ac:dyDescent="0.35">
      <c r="O918" s="1"/>
    </row>
    <row r="919" spans="15:15" ht="14.25" customHeight="1" x14ac:dyDescent="0.35">
      <c r="O919" s="1"/>
    </row>
    <row r="920" spans="15:15" ht="14.25" customHeight="1" x14ac:dyDescent="0.35">
      <c r="O920" s="1"/>
    </row>
    <row r="921" spans="15:15" ht="14.25" customHeight="1" x14ac:dyDescent="0.35">
      <c r="O921" s="1"/>
    </row>
    <row r="922" spans="15:15" ht="14.25" customHeight="1" x14ac:dyDescent="0.35">
      <c r="O922" s="1"/>
    </row>
    <row r="923" spans="15:15" ht="14.25" customHeight="1" x14ac:dyDescent="0.35">
      <c r="O923" s="1"/>
    </row>
    <row r="924" spans="15:15" ht="14.25" customHeight="1" x14ac:dyDescent="0.35">
      <c r="O924" s="1"/>
    </row>
    <row r="925" spans="15:15" ht="14.25" customHeight="1" x14ac:dyDescent="0.35">
      <c r="O925" s="1"/>
    </row>
    <row r="926" spans="15:15" ht="14.25" customHeight="1" x14ac:dyDescent="0.35">
      <c r="O926" s="1"/>
    </row>
    <row r="927" spans="15:15" ht="14.25" customHeight="1" x14ac:dyDescent="0.35">
      <c r="O927" s="1"/>
    </row>
    <row r="928" spans="15:15" ht="14.25" customHeight="1" x14ac:dyDescent="0.35">
      <c r="O928" s="1"/>
    </row>
    <row r="929" spans="15:15" ht="14.25" customHeight="1" x14ac:dyDescent="0.35">
      <c r="O929" s="1"/>
    </row>
    <row r="930" spans="15:15" ht="14.25" customHeight="1" x14ac:dyDescent="0.35">
      <c r="O930" s="1"/>
    </row>
    <row r="931" spans="15:15" ht="14.25" customHeight="1" x14ac:dyDescent="0.35">
      <c r="O931" s="1"/>
    </row>
    <row r="932" spans="15:15" ht="14.25" customHeight="1" x14ac:dyDescent="0.35">
      <c r="O932" s="1"/>
    </row>
    <row r="933" spans="15:15" ht="14.25" customHeight="1" x14ac:dyDescent="0.35">
      <c r="O933" s="1"/>
    </row>
    <row r="934" spans="15:15" ht="14.25" customHeight="1" x14ac:dyDescent="0.35">
      <c r="O934" s="1"/>
    </row>
    <row r="935" spans="15:15" ht="14.25" customHeight="1" x14ac:dyDescent="0.35">
      <c r="O935" s="1"/>
    </row>
    <row r="936" spans="15:15" ht="14.25" customHeight="1" x14ac:dyDescent="0.35">
      <c r="O936" s="1"/>
    </row>
    <row r="937" spans="15:15" ht="14.25" customHeight="1" x14ac:dyDescent="0.35">
      <c r="O937" s="1"/>
    </row>
    <row r="938" spans="15:15" ht="14.25" customHeight="1" x14ac:dyDescent="0.35">
      <c r="O938" s="1"/>
    </row>
    <row r="939" spans="15:15" ht="14.25" customHeight="1" x14ac:dyDescent="0.35">
      <c r="O939" s="1"/>
    </row>
    <row r="940" spans="15:15" ht="14.25" customHeight="1" x14ac:dyDescent="0.35">
      <c r="O940" s="1"/>
    </row>
    <row r="941" spans="15:15" ht="14.25" customHeight="1" x14ac:dyDescent="0.35">
      <c r="O941" s="1"/>
    </row>
    <row r="942" spans="15:15" ht="14.25" customHeight="1" x14ac:dyDescent="0.35">
      <c r="O942" s="1"/>
    </row>
    <row r="943" spans="15:15" ht="14.25" customHeight="1" x14ac:dyDescent="0.35">
      <c r="O943" s="1"/>
    </row>
    <row r="944" spans="15:15" ht="14.25" customHeight="1" x14ac:dyDescent="0.35">
      <c r="O944" s="1"/>
    </row>
    <row r="945" spans="15:15" ht="14.25" customHeight="1" x14ac:dyDescent="0.35">
      <c r="O945" s="1"/>
    </row>
    <row r="946" spans="15:15" ht="14.25" customHeight="1" x14ac:dyDescent="0.35">
      <c r="O946" s="1"/>
    </row>
    <row r="947" spans="15:15" ht="14.25" customHeight="1" x14ac:dyDescent="0.35">
      <c r="O947" s="1"/>
    </row>
    <row r="948" spans="15:15" ht="14.25" customHeight="1" x14ac:dyDescent="0.35">
      <c r="O948" s="1"/>
    </row>
    <row r="949" spans="15:15" ht="14.25" customHeight="1" x14ac:dyDescent="0.35">
      <c r="O949" s="1"/>
    </row>
    <row r="950" spans="15:15" ht="14.25" customHeight="1" x14ac:dyDescent="0.35">
      <c r="O950" s="1"/>
    </row>
    <row r="951" spans="15:15" ht="14.25" customHeight="1" x14ac:dyDescent="0.35">
      <c r="O951" s="1"/>
    </row>
    <row r="952" spans="15:15" ht="14.25" customHeight="1" x14ac:dyDescent="0.35">
      <c r="O952" s="1"/>
    </row>
    <row r="953" spans="15:15" ht="14.25" customHeight="1" x14ac:dyDescent="0.35">
      <c r="O953" s="1"/>
    </row>
    <row r="954" spans="15:15" ht="14.25" customHeight="1" x14ac:dyDescent="0.35">
      <c r="O954" s="1"/>
    </row>
    <row r="955" spans="15:15" ht="14.25" customHeight="1" x14ac:dyDescent="0.35">
      <c r="O955" s="1"/>
    </row>
    <row r="956" spans="15:15" ht="14.25" customHeight="1" x14ac:dyDescent="0.35">
      <c r="O956" s="1"/>
    </row>
    <row r="957" spans="15:15" ht="14.25" customHeight="1" x14ac:dyDescent="0.35">
      <c r="O957" s="1"/>
    </row>
    <row r="958" spans="15:15" ht="14.25" customHeight="1" x14ac:dyDescent="0.35">
      <c r="O958" s="1"/>
    </row>
    <row r="959" spans="15:15" ht="14.25" customHeight="1" x14ac:dyDescent="0.35">
      <c r="O959" s="1"/>
    </row>
    <row r="960" spans="15:15" ht="14.25" customHeight="1" x14ac:dyDescent="0.35">
      <c r="O960" s="1"/>
    </row>
    <row r="961" spans="15:15" ht="14.25" customHeight="1" x14ac:dyDescent="0.35">
      <c r="O961" s="1"/>
    </row>
    <row r="962" spans="15:15" ht="14.25" customHeight="1" x14ac:dyDescent="0.35">
      <c r="O962" s="1"/>
    </row>
    <row r="963" spans="15:15" ht="14.25" customHeight="1" x14ac:dyDescent="0.35">
      <c r="O963" s="1"/>
    </row>
    <row r="964" spans="15:15" ht="14.25" customHeight="1" x14ac:dyDescent="0.35">
      <c r="O964" s="1"/>
    </row>
    <row r="965" spans="15:15" ht="14.25" customHeight="1" x14ac:dyDescent="0.35">
      <c r="O965" s="1"/>
    </row>
    <row r="966" spans="15:15" ht="14.25" customHeight="1" x14ac:dyDescent="0.35">
      <c r="O966" s="1"/>
    </row>
    <row r="967" spans="15:15" ht="14.25" customHeight="1" x14ac:dyDescent="0.35">
      <c r="O967" s="1"/>
    </row>
    <row r="968" spans="15:15" ht="14.25" customHeight="1" x14ac:dyDescent="0.35">
      <c r="O968" s="1"/>
    </row>
    <row r="969" spans="15:15" ht="14.25" customHeight="1" x14ac:dyDescent="0.35">
      <c r="O969" s="1"/>
    </row>
    <row r="970" spans="15:15" ht="14.25" customHeight="1" x14ac:dyDescent="0.35">
      <c r="O970" s="1"/>
    </row>
    <row r="971" spans="15:15" ht="14.25" customHeight="1" x14ac:dyDescent="0.35">
      <c r="O971" s="1"/>
    </row>
    <row r="972" spans="15:15" ht="14.25" customHeight="1" x14ac:dyDescent="0.35">
      <c r="O972" s="1"/>
    </row>
    <row r="973" spans="15:15" ht="14.25" customHeight="1" x14ac:dyDescent="0.35">
      <c r="O973" s="1"/>
    </row>
    <row r="974" spans="15:15" ht="14.25" customHeight="1" x14ac:dyDescent="0.35">
      <c r="O974" s="1"/>
    </row>
    <row r="975" spans="15:15" ht="14.25" customHeight="1" x14ac:dyDescent="0.35">
      <c r="O975" s="1"/>
    </row>
    <row r="976" spans="15:15" ht="14.25" customHeight="1" x14ac:dyDescent="0.35">
      <c r="O976" s="1"/>
    </row>
    <row r="977" spans="15:15" ht="14.25" customHeight="1" x14ac:dyDescent="0.35">
      <c r="O977" s="1"/>
    </row>
    <row r="978" spans="15:15" ht="14.25" customHeight="1" x14ac:dyDescent="0.35">
      <c r="O978" s="1"/>
    </row>
    <row r="979" spans="15:15" ht="14.25" customHeight="1" x14ac:dyDescent="0.35">
      <c r="O979" s="1"/>
    </row>
    <row r="980" spans="15:15" ht="14.25" customHeight="1" x14ac:dyDescent="0.35">
      <c r="O980" s="1"/>
    </row>
    <row r="981" spans="15:15" ht="14.25" customHeight="1" x14ac:dyDescent="0.35">
      <c r="O981" s="1"/>
    </row>
    <row r="982" spans="15:15" ht="14.25" customHeight="1" x14ac:dyDescent="0.35">
      <c r="O982" s="1"/>
    </row>
    <row r="983" spans="15:15" ht="14.25" customHeight="1" x14ac:dyDescent="0.35">
      <c r="O983" s="1"/>
    </row>
    <row r="984" spans="15:15" ht="14.25" customHeight="1" x14ac:dyDescent="0.35">
      <c r="O984" s="1"/>
    </row>
    <row r="985" spans="15:15" ht="14.25" customHeight="1" x14ac:dyDescent="0.35">
      <c r="O985" s="1"/>
    </row>
    <row r="986" spans="15:15" ht="14.25" customHeight="1" x14ac:dyDescent="0.35">
      <c r="O986" s="1"/>
    </row>
    <row r="987" spans="15:15" ht="14.25" customHeight="1" x14ac:dyDescent="0.35">
      <c r="O987" s="1"/>
    </row>
    <row r="988" spans="15:15" ht="14.25" customHeight="1" x14ac:dyDescent="0.35">
      <c r="O988" s="1"/>
    </row>
    <row r="989" spans="15:15" ht="14.25" customHeight="1" x14ac:dyDescent="0.35">
      <c r="O989" s="1"/>
    </row>
    <row r="990" spans="15:15" ht="14.25" customHeight="1" x14ac:dyDescent="0.35">
      <c r="O990" s="1"/>
    </row>
    <row r="991" spans="15:15" ht="14.25" customHeight="1" x14ac:dyDescent="0.35">
      <c r="O991" s="1"/>
    </row>
    <row r="992" spans="15:15" ht="14.25" customHeight="1" x14ac:dyDescent="0.35">
      <c r="O992" s="1"/>
    </row>
    <row r="993" spans="15:15" ht="14.25" customHeight="1" x14ac:dyDescent="0.35">
      <c r="O993" s="1"/>
    </row>
    <row r="994" spans="15:15" ht="14.25" customHeight="1" x14ac:dyDescent="0.35">
      <c r="O994" s="1"/>
    </row>
    <row r="995" spans="15:15" ht="14.25" customHeight="1" x14ac:dyDescent="0.35">
      <c r="O995" s="1"/>
    </row>
    <row r="996" spans="15:15" ht="14.25" customHeight="1" x14ac:dyDescent="0.35">
      <c r="O996" s="1"/>
    </row>
    <row r="997" spans="15:15" ht="14.25" customHeight="1" x14ac:dyDescent="0.35">
      <c r="O997" s="1"/>
    </row>
    <row r="998" spans="15:15" ht="14.25" customHeight="1" x14ac:dyDescent="0.35">
      <c r="O998" s="1"/>
    </row>
    <row r="999" spans="15:15" ht="14.25" customHeight="1" x14ac:dyDescent="0.35">
      <c r="O999" s="1"/>
    </row>
    <row r="1000" spans="15:15" ht="14.25" customHeight="1" x14ac:dyDescent="0.35">
      <c r="O1000" s="1"/>
    </row>
  </sheetData>
  <mergeCells count="16">
    <mergeCell ref="B21:B23"/>
    <mergeCell ref="B24:B25"/>
    <mergeCell ref="B8:C8"/>
    <mergeCell ref="I8:J8"/>
    <mergeCell ref="B9:C9"/>
    <mergeCell ref="I9:J9"/>
    <mergeCell ref="F11:K11"/>
    <mergeCell ref="B13:B20"/>
    <mergeCell ref="C13:C16"/>
    <mergeCell ref="C17:C19"/>
    <mergeCell ref="B7:C7"/>
    <mergeCell ref="B2:C2"/>
    <mergeCell ref="B3:C3"/>
    <mergeCell ref="B4:C4"/>
    <mergeCell ref="B5:C5"/>
    <mergeCell ref="B6:C6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CFE8-792E-42EB-9860-A14C857E3D81}">
  <sheetPr>
    <tabColor rgb="FFE2EFD9"/>
  </sheetPr>
  <dimension ref="B1:P1000"/>
  <sheetViews>
    <sheetView topLeftCell="B10" zoomScale="70" zoomScaleNormal="70" workbookViewId="0">
      <selection activeCell="L25" sqref="L25"/>
    </sheetView>
  </sheetViews>
  <sheetFormatPr defaultColWidth="14.453125" defaultRowHeight="15" customHeight="1" x14ac:dyDescent="0.35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 thickBot="1" x14ac:dyDescent="0.4">
      <c r="O1" s="1"/>
    </row>
    <row r="2" spans="2:16" ht="14.25" customHeight="1" x14ac:dyDescent="0.45">
      <c r="B2" s="199" t="s">
        <v>0</v>
      </c>
      <c r="C2" s="200"/>
      <c r="D2" s="2" t="s">
        <v>1</v>
      </c>
      <c r="E2" s="3"/>
      <c r="I2" s="4"/>
      <c r="O2" s="1"/>
    </row>
    <row r="3" spans="2:16" ht="14.25" customHeight="1" x14ac:dyDescent="0.45">
      <c r="B3" s="198" t="s">
        <v>2</v>
      </c>
      <c r="C3" s="186"/>
      <c r="D3" s="5">
        <f ca="1">TODAY()</f>
        <v>45853</v>
      </c>
      <c r="I3" s="4"/>
      <c r="O3" s="1"/>
    </row>
    <row r="4" spans="2:16" ht="14.25" customHeight="1" x14ac:dyDescent="0.45">
      <c r="B4" s="198" t="s">
        <v>3</v>
      </c>
      <c r="C4" s="186"/>
      <c r="D4" s="6">
        <v>3</v>
      </c>
      <c r="E4" s="3"/>
      <c r="O4" s="1"/>
    </row>
    <row r="5" spans="2:16" ht="14.25" customHeight="1" x14ac:dyDescent="0.45">
      <c r="B5" s="198" t="s">
        <v>4</v>
      </c>
      <c r="C5" s="186"/>
      <c r="D5" s="7">
        <v>0.1</v>
      </c>
      <c r="E5" s="3"/>
      <c r="O5" s="1"/>
    </row>
    <row r="6" spans="2:16" ht="14.25" customHeight="1" x14ac:dyDescent="0.45">
      <c r="B6" s="198" t="s">
        <v>5</v>
      </c>
      <c r="C6" s="186"/>
      <c r="D6" s="8">
        <v>0.05</v>
      </c>
      <c r="E6" s="3"/>
      <c r="O6" s="1"/>
    </row>
    <row r="7" spans="2:16" ht="14.25" customHeight="1" x14ac:dyDescent="0.45">
      <c r="B7" s="198" t="s">
        <v>6</v>
      </c>
      <c r="C7" s="186"/>
      <c r="D7" s="9">
        <v>40000</v>
      </c>
      <c r="E7" s="3"/>
      <c r="O7" s="10"/>
      <c r="P7" s="11"/>
    </row>
    <row r="8" spans="2:16" ht="14.25" customHeight="1" x14ac:dyDescent="0.45">
      <c r="B8" s="185"/>
      <c r="C8" s="186"/>
      <c r="D8" s="12"/>
      <c r="E8" s="3"/>
      <c r="I8" s="187"/>
      <c r="J8" s="186"/>
      <c r="K8" s="13"/>
      <c r="O8" s="10"/>
      <c r="P8" s="11"/>
    </row>
    <row r="9" spans="2:16" ht="14.25" customHeight="1" thickBot="1" x14ac:dyDescent="0.5">
      <c r="B9" s="188" t="s">
        <v>7</v>
      </c>
      <c r="C9" s="189"/>
      <c r="D9" s="14">
        <v>0</v>
      </c>
      <c r="E9" s="3"/>
      <c r="F9" s="15"/>
      <c r="G9" s="16"/>
      <c r="H9" s="16"/>
      <c r="I9" s="187"/>
      <c r="J9" s="186"/>
      <c r="K9" s="17"/>
      <c r="O9" s="1"/>
      <c r="P9" s="11"/>
    </row>
    <row r="10" spans="2:16" ht="14.25" customHeight="1" thickBot="1" x14ac:dyDescent="0.4">
      <c r="O10" s="1"/>
      <c r="P10" s="11"/>
    </row>
    <row r="11" spans="2:16" ht="43.5" customHeight="1" thickBot="1" x14ac:dyDescent="0.4">
      <c r="B11" s="4"/>
      <c r="C11" s="4"/>
      <c r="D11" s="4"/>
      <c r="E11" s="4"/>
      <c r="F11" s="190" t="s">
        <v>8</v>
      </c>
      <c r="G11" s="191"/>
      <c r="H11" s="191"/>
      <c r="I11" s="191"/>
      <c r="J11" s="191"/>
      <c r="K11" s="192"/>
      <c r="O11" s="1"/>
    </row>
    <row r="12" spans="2:16" ht="49.5" customHeight="1" thickBot="1" x14ac:dyDescent="0.4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 x14ac:dyDescent="0.35">
      <c r="B13" s="193" t="s">
        <v>19</v>
      </c>
      <c r="C13" s="194" t="s">
        <v>20</v>
      </c>
      <c r="D13" s="24" t="s">
        <v>20</v>
      </c>
      <c r="E13" s="25" t="s">
        <v>21</v>
      </c>
      <c r="F13" s="26">
        <f>'Hardware List-BLE'!D23</f>
        <v>2628000</v>
      </c>
      <c r="G13" s="27"/>
      <c r="H13" s="28">
        <f>F13</f>
        <v>2628000</v>
      </c>
      <c r="I13" s="29">
        <v>0.25</v>
      </c>
      <c r="J13" s="30">
        <f>H13/(1-I13)</f>
        <v>3504000</v>
      </c>
      <c r="K13" s="28">
        <f t="shared" ref="K13:K15" si="0">H13/(1-I13)</f>
        <v>3504000</v>
      </c>
      <c r="O13" s="1"/>
    </row>
    <row r="14" spans="2:16" ht="18" customHeight="1" x14ac:dyDescent="0.35">
      <c r="B14" s="182"/>
      <c r="C14" s="195"/>
      <c r="D14" s="31" t="s">
        <v>22</v>
      </c>
      <c r="E14" s="32" t="s">
        <v>21</v>
      </c>
      <c r="F14" s="33">
        <v>0</v>
      </c>
      <c r="G14" s="27"/>
      <c r="H14" s="34">
        <v>0</v>
      </c>
      <c r="I14" s="29">
        <v>0.25</v>
      </c>
      <c r="J14" s="30">
        <f t="shared" ref="J14" si="1">H14/(1-I14)</f>
        <v>0</v>
      </c>
      <c r="K14" s="34">
        <f t="shared" si="0"/>
        <v>0</v>
      </c>
      <c r="O14" s="1"/>
    </row>
    <row r="15" spans="2:16" ht="18" customHeight="1" x14ac:dyDescent="0.35">
      <c r="B15" s="182"/>
      <c r="C15" s="195"/>
      <c r="D15" s="35" t="s">
        <v>23</v>
      </c>
      <c r="E15" s="36" t="s">
        <v>21</v>
      </c>
      <c r="F15" s="34">
        <f>(SUM(F13:F14)*$D$6)</f>
        <v>131400</v>
      </c>
      <c r="G15" s="37"/>
      <c r="H15" s="34">
        <f>(SUM(H13:H14)*$D$6)</f>
        <v>131400</v>
      </c>
      <c r="I15" s="29">
        <v>0.25</v>
      </c>
      <c r="J15" s="30">
        <f>H15/(1-I15)</f>
        <v>175200</v>
      </c>
      <c r="K15" s="34">
        <f t="shared" si="0"/>
        <v>175200</v>
      </c>
      <c r="O15" s="1"/>
    </row>
    <row r="16" spans="2:16" ht="18" customHeight="1" x14ac:dyDescent="0.35">
      <c r="B16" s="182"/>
      <c r="C16" s="196"/>
      <c r="D16" s="38" t="s">
        <v>24</v>
      </c>
      <c r="E16" s="39"/>
      <c r="F16" s="38"/>
      <c r="G16" s="38"/>
      <c r="H16" s="40">
        <f>SUM(H13:H15)</f>
        <v>2759400</v>
      </c>
      <c r="I16" s="39"/>
      <c r="J16" s="39"/>
      <c r="K16" s="40">
        <f>SUM(K13:K15)</f>
        <v>3679200</v>
      </c>
      <c r="O16" s="1"/>
    </row>
    <row r="17" spans="2:16" ht="18" customHeight="1" x14ac:dyDescent="0.35">
      <c r="B17" s="182"/>
      <c r="C17" s="197" t="s">
        <v>25</v>
      </c>
      <c r="D17" s="35" t="s">
        <v>26</v>
      </c>
      <c r="E17" s="36" t="s">
        <v>21</v>
      </c>
      <c r="F17" s="41">
        <v>600000</v>
      </c>
      <c r="G17" s="37"/>
      <c r="H17" s="34">
        <f t="shared" ref="H17:H18" si="2">F17</f>
        <v>600000</v>
      </c>
      <c r="I17" s="29">
        <v>0.25</v>
      </c>
      <c r="J17" s="30">
        <f t="shared" ref="J17:J18" si="3">H17/(1-I17)</f>
        <v>800000</v>
      </c>
      <c r="K17" s="34">
        <f t="shared" ref="K17:K18" si="4">H17/(1-I17)</f>
        <v>800000</v>
      </c>
      <c r="O17" s="1"/>
    </row>
    <row r="18" spans="2:16" ht="18" customHeight="1" x14ac:dyDescent="0.35">
      <c r="B18" s="182"/>
      <c r="C18" s="195"/>
      <c r="D18" s="43" t="s">
        <v>7</v>
      </c>
      <c r="E18" s="32" t="s">
        <v>21</v>
      </c>
      <c r="F18" s="44">
        <f>D9</f>
        <v>0</v>
      </c>
      <c r="G18" s="37"/>
      <c r="H18" s="34">
        <f t="shared" si="2"/>
        <v>0</v>
      </c>
      <c r="I18" s="29">
        <v>0.25</v>
      </c>
      <c r="J18" s="30">
        <f t="shared" si="3"/>
        <v>0</v>
      </c>
      <c r="K18" s="34">
        <f t="shared" si="4"/>
        <v>0</v>
      </c>
      <c r="O18" s="1"/>
    </row>
    <row r="19" spans="2:16" ht="18" customHeight="1" x14ac:dyDescent="0.35">
      <c r="B19" s="182"/>
      <c r="C19" s="196"/>
      <c r="D19" s="38" t="s">
        <v>27</v>
      </c>
      <c r="E19" s="39"/>
      <c r="F19" s="38"/>
      <c r="G19" s="38"/>
      <c r="H19" s="40">
        <f>SUM(H17:H18)</f>
        <v>600000</v>
      </c>
      <c r="I19" s="39"/>
      <c r="J19" s="45"/>
      <c r="K19" s="40">
        <f>SUM(K17:K18)</f>
        <v>800000</v>
      </c>
      <c r="O19" s="1"/>
    </row>
    <row r="20" spans="2:16" ht="18" customHeight="1" x14ac:dyDescent="0.35">
      <c r="B20" s="183"/>
      <c r="D20" s="46"/>
      <c r="E20" s="47"/>
      <c r="F20" s="46"/>
      <c r="G20" s="48" t="s">
        <v>28</v>
      </c>
      <c r="H20" s="49">
        <f>H16+H19</f>
        <v>3359400</v>
      </c>
      <c r="I20" s="50"/>
      <c r="J20" s="51"/>
      <c r="K20" s="49">
        <f>K16+K19</f>
        <v>4479200</v>
      </c>
      <c r="N20" s="11"/>
      <c r="O20" s="1"/>
      <c r="P20" s="52"/>
    </row>
    <row r="21" spans="2:16" ht="18" customHeight="1" x14ac:dyDescent="0.35">
      <c r="B21" s="181" t="s">
        <v>29</v>
      </c>
      <c r="C21" s="36" t="s">
        <v>30</v>
      </c>
      <c r="D21" s="43" t="s">
        <v>31</v>
      </c>
      <c r="E21" s="32" t="s">
        <v>32</v>
      </c>
      <c r="F21" s="34">
        <v>0</v>
      </c>
      <c r="G21" s="53">
        <f t="shared" ref="G21:G22" si="5">$D$4</f>
        <v>3</v>
      </c>
      <c r="H21" s="34">
        <f>F21</f>
        <v>0</v>
      </c>
      <c r="I21" s="42">
        <v>0</v>
      </c>
      <c r="J21" s="30">
        <f>H21</f>
        <v>0</v>
      </c>
      <c r="K21" s="34">
        <f>J21</f>
        <v>0</v>
      </c>
      <c r="L21" s="52"/>
      <c r="N21" s="11"/>
      <c r="O21" s="1"/>
      <c r="P21" s="52"/>
    </row>
    <row r="22" spans="2:16" ht="18" customHeight="1" x14ac:dyDescent="0.35">
      <c r="B22" s="182"/>
      <c r="C22" s="36" t="s">
        <v>33</v>
      </c>
      <c r="D22" s="54" t="s">
        <v>34</v>
      </c>
      <c r="E22" s="32" t="s">
        <v>32</v>
      </c>
      <c r="F22" s="34">
        <f>D7*12</f>
        <v>480000</v>
      </c>
      <c r="G22" s="53">
        <f t="shared" si="5"/>
        <v>3</v>
      </c>
      <c r="H22" s="34">
        <f>F22*G22</f>
        <v>1440000</v>
      </c>
      <c r="I22" s="42"/>
      <c r="J22" s="55">
        <v>0</v>
      </c>
      <c r="K22" s="34">
        <f>H22</f>
        <v>1440000</v>
      </c>
      <c r="N22" s="11"/>
      <c r="O22" s="1"/>
      <c r="P22" s="52"/>
    </row>
    <row r="23" spans="2:16" ht="18" customHeight="1" x14ac:dyDescent="0.35">
      <c r="B23" s="183"/>
      <c r="D23" s="46"/>
      <c r="E23" s="47"/>
      <c r="F23" s="56"/>
      <c r="G23" s="48" t="s">
        <v>35</v>
      </c>
      <c r="H23" s="49">
        <f>SUM(H21:H22)</f>
        <v>1440000</v>
      </c>
      <c r="I23" s="50"/>
      <c r="J23" s="51"/>
      <c r="K23" s="136">
        <f>SUM(K21:K22)</f>
        <v>1440000</v>
      </c>
      <c r="L23" s="52"/>
      <c r="O23" s="1"/>
    </row>
    <row r="24" spans="2:16" ht="18" customHeight="1" x14ac:dyDescent="0.35">
      <c r="B24" s="184" t="s">
        <v>36</v>
      </c>
      <c r="C24" s="36" t="s">
        <v>36</v>
      </c>
      <c r="D24" s="54" t="s">
        <v>37</v>
      </c>
      <c r="E24" s="32" t="s">
        <v>32</v>
      </c>
      <c r="F24" s="34">
        <f>SUM(F13:F15)*$D$5</f>
        <v>275940</v>
      </c>
      <c r="G24" s="53">
        <f>G21-1</f>
        <v>2</v>
      </c>
      <c r="H24" s="34">
        <f>F24*G24</f>
        <v>551880</v>
      </c>
      <c r="I24" s="29">
        <v>0.25</v>
      </c>
      <c r="J24" s="30">
        <f>H24/(1-I24)</f>
        <v>735840</v>
      </c>
      <c r="K24" s="34">
        <f>J24</f>
        <v>735840</v>
      </c>
      <c r="N24" s="11"/>
      <c r="O24" s="1"/>
      <c r="P24" s="52"/>
    </row>
    <row r="25" spans="2:16" ht="18" customHeight="1" x14ac:dyDescent="0.35">
      <c r="B25" s="183"/>
      <c r="C25" s="57" t="s">
        <v>38</v>
      </c>
      <c r="D25" s="46"/>
      <c r="E25" s="46"/>
      <c r="F25" s="46"/>
      <c r="G25" s="48" t="s">
        <v>38</v>
      </c>
      <c r="H25" s="49">
        <f>SUM(H24)</f>
        <v>551880</v>
      </c>
      <c r="I25" s="50"/>
      <c r="J25" s="51"/>
      <c r="K25" s="49">
        <f>K24</f>
        <v>735840</v>
      </c>
      <c r="O25" s="1"/>
      <c r="P25" s="52"/>
    </row>
    <row r="26" spans="2:16" ht="38.25" customHeight="1" thickBot="1" x14ac:dyDescent="0.4">
      <c r="B26" s="58"/>
      <c r="C26" s="59"/>
      <c r="D26" s="59"/>
      <c r="E26" s="59"/>
      <c r="F26" s="59"/>
      <c r="G26" s="60" t="s">
        <v>142</v>
      </c>
      <c r="H26" s="61">
        <f>H20+H23+H25</f>
        <v>5351280</v>
      </c>
      <c r="I26" s="62">
        <f>1-H26/K26</f>
        <v>0.19590565947011584</v>
      </c>
      <c r="J26" s="63"/>
      <c r="K26" s="61">
        <f>K20+K23+K24</f>
        <v>6655040</v>
      </c>
      <c r="O26" s="1"/>
    </row>
    <row r="27" spans="2:16" ht="14.25" customHeight="1" x14ac:dyDescent="0.35">
      <c r="H27" s="52"/>
      <c r="O27" s="1"/>
    </row>
    <row r="28" spans="2:16" ht="14.25" customHeight="1" x14ac:dyDescent="0.35">
      <c r="L28" s="11"/>
      <c r="O28" s="1"/>
    </row>
    <row r="29" spans="2:16" ht="14.25" customHeight="1" x14ac:dyDescent="0.35">
      <c r="D29" s="52"/>
      <c r="L29" s="64"/>
      <c r="M29" s="64"/>
      <c r="O29" s="1"/>
    </row>
    <row r="30" spans="2:16" ht="14.25" customHeight="1" x14ac:dyDescent="0.35">
      <c r="L30" s="64"/>
      <c r="M30" s="64"/>
      <c r="O30" s="1"/>
    </row>
    <row r="31" spans="2:16" ht="14.25" customHeight="1" x14ac:dyDescent="0.35">
      <c r="O31" s="1"/>
    </row>
    <row r="32" spans="2:16" ht="14.25" customHeight="1" x14ac:dyDescent="0.35">
      <c r="H32" s="52"/>
      <c r="O32" s="1"/>
    </row>
    <row r="33" spans="15:15" ht="14.25" customHeight="1" x14ac:dyDescent="0.35">
      <c r="O33" s="1"/>
    </row>
    <row r="34" spans="15:15" ht="14.25" customHeight="1" x14ac:dyDescent="0.35">
      <c r="O34" s="1"/>
    </row>
    <row r="35" spans="15:15" ht="14.25" customHeight="1" x14ac:dyDescent="0.35">
      <c r="O35" s="1"/>
    </row>
    <row r="36" spans="15:15" ht="14.25" customHeight="1" x14ac:dyDescent="0.35">
      <c r="O36" s="1"/>
    </row>
    <row r="37" spans="15:15" ht="14.25" customHeight="1" x14ac:dyDescent="0.35">
      <c r="O37" s="1"/>
    </row>
    <row r="38" spans="15:15" ht="14.25" customHeight="1" x14ac:dyDescent="0.35">
      <c r="O38" s="1"/>
    </row>
    <row r="39" spans="15:15" ht="14.25" customHeight="1" x14ac:dyDescent="0.35">
      <c r="O39" s="1"/>
    </row>
    <row r="40" spans="15:15" ht="14.25" customHeight="1" x14ac:dyDescent="0.35">
      <c r="O40" s="1"/>
    </row>
    <row r="41" spans="15:15" ht="14.25" customHeight="1" x14ac:dyDescent="0.35">
      <c r="O41" s="1"/>
    </row>
    <row r="42" spans="15:15" ht="14.25" customHeight="1" x14ac:dyDescent="0.35">
      <c r="O42" s="1"/>
    </row>
    <row r="43" spans="15:15" ht="14.25" customHeight="1" x14ac:dyDescent="0.35">
      <c r="O43" s="1"/>
    </row>
    <row r="44" spans="15:15" ht="14.25" customHeight="1" x14ac:dyDescent="0.35">
      <c r="O44" s="1"/>
    </row>
    <row r="45" spans="15:15" ht="14.25" customHeight="1" x14ac:dyDescent="0.35">
      <c r="O45" s="1"/>
    </row>
    <row r="46" spans="15:15" ht="14.25" customHeight="1" x14ac:dyDescent="0.35">
      <c r="O46" s="1"/>
    </row>
    <row r="47" spans="15:15" ht="14.25" customHeight="1" x14ac:dyDescent="0.35">
      <c r="O47" s="1"/>
    </row>
    <row r="48" spans="15:15" ht="14.25" customHeight="1" x14ac:dyDescent="0.35">
      <c r="O48" s="1"/>
    </row>
    <row r="49" spans="15:15" ht="14.25" customHeight="1" x14ac:dyDescent="0.35">
      <c r="O49" s="1"/>
    </row>
    <row r="50" spans="15:15" ht="14.25" customHeight="1" x14ac:dyDescent="0.35">
      <c r="O50" s="1"/>
    </row>
    <row r="51" spans="15:15" ht="14.25" customHeight="1" x14ac:dyDescent="0.35">
      <c r="O51" s="1"/>
    </row>
    <row r="52" spans="15:15" ht="14.25" customHeight="1" x14ac:dyDescent="0.35">
      <c r="O52" s="1"/>
    </row>
    <row r="53" spans="15:15" ht="14.25" customHeight="1" x14ac:dyDescent="0.35">
      <c r="O53" s="1"/>
    </row>
    <row r="54" spans="15:15" ht="14.25" customHeight="1" x14ac:dyDescent="0.35">
      <c r="O54" s="1"/>
    </row>
    <row r="55" spans="15:15" ht="14.25" customHeight="1" x14ac:dyDescent="0.35">
      <c r="O55" s="1"/>
    </row>
    <row r="56" spans="15:15" ht="14.25" customHeight="1" x14ac:dyDescent="0.35">
      <c r="O56" s="1"/>
    </row>
    <row r="57" spans="15:15" ht="14.25" customHeight="1" x14ac:dyDescent="0.35">
      <c r="O57" s="1"/>
    </row>
    <row r="58" spans="15:15" ht="14.25" customHeight="1" x14ac:dyDescent="0.35">
      <c r="O58" s="1"/>
    </row>
    <row r="59" spans="15:15" ht="14.25" customHeight="1" x14ac:dyDescent="0.35">
      <c r="O59" s="1"/>
    </row>
    <row r="60" spans="15:15" ht="14.25" customHeight="1" x14ac:dyDescent="0.35">
      <c r="O60" s="1"/>
    </row>
    <row r="61" spans="15:15" ht="14.25" customHeight="1" x14ac:dyDescent="0.35">
      <c r="O61" s="1"/>
    </row>
    <row r="62" spans="15:15" ht="14.25" customHeight="1" x14ac:dyDescent="0.35">
      <c r="O62" s="1"/>
    </row>
    <row r="63" spans="15:15" ht="14.25" customHeight="1" x14ac:dyDescent="0.35">
      <c r="O63" s="1"/>
    </row>
    <row r="64" spans="15:15" ht="14.25" customHeight="1" x14ac:dyDescent="0.35">
      <c r="O64" s="1"/>
    </row>
    <row r="65" spans="15:15" ht="14.25" customHeight="1" x14ac:dyDescent="0.35">
      <c r="O65" s="1"/>
    </row>
    <row r="66" spans="15:15" ht="14.25" customHeight="1" x14ac:dyDescent="0.35">
      <c r="O66" s="1"/>
    </row>
    <row r="67" spans="15:15" ht="14.25" customHeight="1" x14ac:dyDescent="0.35">
      <c r="O67" s="1"/>
    </row>
    <row r="68" spans="15:15" ht="14.25" customHeight="1" x14ac:dyDescent="0.35">
      <c r="O68" s="1"/>
    </row>
    <row r="69" spans="15:15" ht="14.25" customHeight="1" x14ac:dyDescent="0.35">
      <c r="O69" s="1"/>
    </row>
    <row r="70" spans="15:15" ht="14.25" customHeight="1" x14ac:dyDescent="0.35">
      <c r="O70" s="1"/>
    </row>
    <row r="71" spans="15:15" ht="14.25" customHeight="1" x14ac:dyDescent="0.35">
      <c r="O71" s="1"/>
    </row>
    <row r="72" spans="15:15" ht="14.25" customHeight="1" x14ac:dyDescent="0.35">
      <c r="O72" s="1"/>
    </row>
    <row r="73" spans="15:15" ht="14.25" customHeight="1" x14ac:dyDescent="0.35">
      <c r="O73" s="1"/>
    </row>
    <row r="74" spans="15:15" ht="14.25" customHeight="1" x14ac:dyDescent="0.35">
      <c r="O74" s="1"/>
    </row>
    <row r="75" spans="15:15" ht="14.25" customHeight="1" x14ac:dyDescent="0.35">
      <c r="O75" s="1"/>
    </row>
    <row r="76" spans="15:15" ht="14.25" customHeight="1" x14ac:dyDescent="0.35">
      <c r="O76" s="1"/>
    </row>
    <row r="77" spans="15:15" ht="14.25" customHeight="1" x14ac:dyDescent="0.35">
      <c r="O77" s="1"/>
    </row>
    <row r="78" spans="15:15" ht="14.25" customHeight="1" x14ac:dyDescent="0.35">
      <c r="O78" s="1"/>
    </row>
    <row r="79" spans="15:15" ht="14.25" customHeight="1" x14ac:dyDescent="0.35">
      <c r="O79" s="1"/>
    </row>
    <row r="80" spans="15:15" ht="14.25" customHeight="1" x14ac:dyDescent="0.35">
      <c r="O80" s="1"/>
    </row>
    <row r="81" spans="15:15" ht="14.25" customHeight="1" x14ac:dyDescent="0.35">
      <c r="O81" s="1"/>
    </row>
    <row r="82" spans="15:15" ht="14.25" customHeight="1" x14ac:dyDescent="0.35">
      <c r="O82" s="1"/>
    </row>
    <row r="83" spans="15:15" ht="14.25" customHeight="1" x14ac:dyDescent="0.35">
      <c r="O83" s="1"/>
    </row>
    <row r="84" spans="15:15" ht="14.25" customHeight="1" x14ac:dyDescent="0.35">
      <c r="O84" s="1"/>
    </row>
    <row r="85" spans="15:15" ht="14.25" customHeight="1" x14ac:dyDescent="0.35">
      <c r="O85" s="1"/>
    </row>
    <row r="86" spans="15:15" ht="14.25" customHeight="1" x14ac:dyDescent="0.35">
      <c r="O86" s="1"/>
    </row>
    <row r="87" spans="15:15" ht="14.25" customHeight="1" x14ac:dyDescent="0.35">
      <c r="O87" s="1"/>
    </row>
    <row r="88" spans="15:15" ht="14.25" customHeight="1" x14ac:dyDescent="0.35">
      <c r="O88" s="1"/>
    </row>
    <row r="89" spans="15:15" ht="14.25" customHeight="1" x14ac:dyDescent="0.35">
      <c r="O89" s="1"/>
    </row>
    <row r="90" spans="15:15" ht="14.25" customHeight="1" x14ac:dyDescent="0.35">
      <c r="O90" s="1"/>
    </row>
    <row r="91" spans="15:15" ht="14.25" customHeight="1" x14ac:dyDescent="0.35">
      <c r="O91" s="1"/>
    </row>
    <row r="92" spans="15:15" ht="14.25" customHeight="1" x14ac:dyDescent="0.35">
      <c r="O92" s="1"/>
    </row>
    <row r="93" spans="15:15" ht="14.25" customHeight="1" x14ac:dyDescent="0.35">
      <c r="O93" s="1"/>
    </row>
    <row r="94" spans="15:15" ht="14.25" customHeight="1" x14ac:dyDescent="0.35">
      <c r="O94" s="1"/>
    </row>
    <row r="95" spans="15:15" ht="14.25" customHeight="1" x14ac:dyDescent="0.35">
      <c r="O95" s="1"/>
    </row>
    <row r="96" spans="15:15" ht="14.25" customHeight="1" x14ac:dyDescent="0.35">
      <c r="O96" s="1"/>
    </row>
    <row r="97" spans="15:15" ht="14.25" customHeight="1" x14ac:dyDescent="0.35">
      <c r="O97" s="1"/>
    </row>
    <row r="98" spans="15:15" ht="14.25" customHeight="1" x14ac:dyDescent="0.35">
      <c r="O98" s="1"/>
    </row>
    <row r="99" spans="15:15" ht="14.25" customHeight="1" x14ac:dyDescent="0.35">
      <c r="O99" s="1"/>
    </row>
    <row r="100" spans="15:15" ht="14.25" customHeight="1" x14ac:dyDescent="0.35">
      <c r="O100" s="1"/>
    </row>
    <row r="101" spans="15:15" ht="14.25" customHeight="1" x14ac:dyDescent="0.35">
      <c r="O101" s="1"/>
    </row>
    <row r="102" spans="15:15" ht="14.25" customHeight="1" x14ac:dyDescent="0.35">
      <c r="O102" s="1"/>
    </row>
    <row r="103" spans="15:15" ht="14.25" customHeight="1" x14ac:dyDescent="0.35">
      <c r="O103" s="1"/>
    </row>
    <row r="104" spans="15:15" ht="14.25" customHeight="1" x14ac:dyDescent="0.35">
      <c r="O104" s="1"/>
    </row>
    <row r="105" spans="15:15" ht="14.25" customHeight="1" x14ac:dyDescent="0.35">
      <c r="O105" s="1"/>
    </row>
    <row r="106" spans="15:15" ht="14.25" customHeight="1" x14ac:dyDescent="0.35">
      <c r="O106" s="1"/>
    </row>
    <row r="107" spans="15:15" ht="14.25" customHeight="1" x14ac:dyDescent="0.35">
      <c r="O107" s="1"/>
    </row>
    <row r="108" spans="15:15" ht="14.25" customHeight="1" x14ac:dyDescent="0.35">
      <c r="O108" s="1"/>
    </row>
    <row r="109" spans="15:15" ht="14.25" customHeight="1" x14ac:dyDescent="0.35">
      <c r="O109" s="1"/>
    </row>
    <row r="110" spans="15:15" ht="14.25" customHeight="1" x14ac:dyDescent="0.35">
      <c r="O110" s="1"/>
    </row>
    <row r="111" spans="15:15" ht="14.25" customHeight="1" x14ac:dyDescent="0.35">
      <c r="O111" s="1"/>
    </row>
    <row r="112" spans="15:15" ht="14.25" customHeight="1" x14ac:dyDescent="0.35">
      <c r="O112" s="1"/>
    </row>
    <row r="113" spans="15:15" ht="14.25" customHeight="1" x14ac:dyDescent="0.35">
      <c r="O113" s="1"/>
    </row>
    <row r="114" spans="15:15" ht="14.25" customHeight="1" x14ac:dyDescent="0.35">
      <c r="O114" s="1"/>
    </row>
    <row r="115" spans="15:15" ht="14.25" customHeight="1" x14ac:dyDescent="0.35">
      <c r="O115" s="1"/>
    </row>
    <row r="116" spans="15:15" ht="14.25" customHeight="1" x14ac:dyDescent="0.35">
      <c r="O116" s="1"/>
    </row>
    <row r="117" spans="15:15" ht="14.25" customHeight="1" x14ac:dyDescent="0.35">
      <c r="O117" s="1"/>
    </row>
    <row r="118" spans="15:15" ht="14.25" customHeight="1" x14ac:dyDescent="0.35">
      <c r="O118" s="1"/>
    </row>
    <row r="119" spans="15:15" ht="14.25" customHeight="1" x14ac:dyDescent="0.35">
      <c r="O119" s="1"/>
    </row>
    <row r="120" spans="15:15" ht="14.25" customHeight="1" x14ac:dyDescent="0.35">
      <c r="O120" s="1"/>
    </row>
    <row r="121" spans="15:15" ht="14.25" customHeight="1" x14ac:dyDescent="0.35">
      <c r="O121" s="1"/>
    </row>
    <row r="122" spans="15:15" ht="14.25" customHeight="1" x14ac:dyDescent="0.35">
      <c r="O122" s="1"/>
    </row>
    <row r="123" spans="15:15" ht="14.25" customHeight="1" x14ac:dyDescent="0.35">
      <c r="O123" s="1"/>
    </row>
    <row r="124" spans="15:15" ht="14.25" customHeight="1" x14ac:dyDescent="0.35">
      <c r="O124" s="1"/>
    </row>
    <row r="125" spans="15:15" ht="14.25" customHeight="1" x14ac:dyDescent="0.35">
      <c r="O125" s="1"/>
    </row>
    <row r="126" spans="15:15" ht="14.25" customHeight="1" x14ac:dyDescent="0.35">
      <c r="O126" s="1"/>
    </row>
    <row r="127" spans="15:15" ht="14.25" customHeight="1" x14ac:dyDescent="0.35">
      <c r="O127" s="1"/>
    </row>
    <row r="128" spans="15:15" ht="14.25" customHeight="1" x14ac:dyDescent="0.35">
      <c r="O128" s="1"/>
    </row>
    <row r="129" spans="15:15" ht="14.25" customHeight="1" x14ac:dyDescent="0.35">
      <c r="O129" s="1"/>
    </row>
    <row r="130" spans="15:15" ht="14.25" customHeight="1" x14ac:dyDescent="0.35">
      <c r="O130" s="1"/>
    </row>
    <row r="131" spans="15:15" ht="14.25" customHeight="1" x14ac:dyDescent="0.35">
      <c r="O131" s="1"/>
    </row>
    <row r="132" spans="15:15" ht="14.25" customHeight="1" x14ac:dyDescent="0.35">
      <c r="O132" s="1"/>
    </row>
    <row r="133" spans="15:15" ht="14.25" customHeight="1" x14ac:dyDescent="0.35">
      <c r="O133" s="1"/>
    </row>
    <row r="134" spans="15:15" ht="14.25" customHeight="1" x14ac:dyDescent="0.35">
      <c r="O134" s="1"/>
    </row>
    <row r="135" spans="15:15" ht="14.25" customHeight="1" x14ac:dyDescent="0.35">
      <c r="O135" s="1"/>
    </row>
    <row r="136" spans="15:15" ht="14.25" customHeight="1" x14ac:dyDescent="0.35">
      <c r="O136" s="1"/>
    </row>
    <row r="137" spans="15:15" ht="14.25" customHeight="1" x14ac:dyDescent="0.35">
      <c r="O137" s="1"/>
    </row>
    <row r="138" spans="15:15" ht="14.25" customHeight="1" x14ac:dyDescent="0.35">
      <c r="O138" s="1"/>
    </row>
    <row r="139" spans="15:15" ht="14.25" customHeight="1" x14ac:dyDescent="0.35">
      <c r="O139" s="1"/>
    </row>
    <row r="140" spans="15:15" ht="14.25" customHeight="1" x14ac:dyDescent="0.35">
      <c r="O140" s="1"/>
    </row>
    <row r="141" spans="15:15" ht="14.25" customHeight="1" x14ac:dyDescent="0.35">
      <c r="O141" s="1"/>
    </row>
    <row r="142" spans="15:15" ht="14.25" customHeight="1" x14ac:dyDescent="0.35">
      <c r="O142" s="1"/>
    </row>
    <row r="143" spans="15:15" ht="14.25" customHeight="1" x14ac:dyDescent="0.35">
      <c r="O143" s="1"/>
    </row>
    <row r="144" spans="15:15" ht="14.25" customHeight="1" x14ac:dyDescent="0.35">
      <c r="O144" s="1"/>
    </row>
    <row r="145" spans="15:15" ht="14.25" customHeight="1" x14ac:dyDescent="0.35">
      <c r="O145" s="1"/>
    </row>
    <row r="146" spans="15:15" ht="14.25" customHeight="1" x14ac:dyDescent="0.35">
      <c r="O146" s="1"/>
    </row>
    <row r="147" spans="15:15" ht="14.25" customHeight="1" x14ac:dyDescent="0.35">
      <c r="O147" s="1"/>
    </row>
    <row r="148" spans="15:15" ht="14.25" customHeight="1" x14ac:dyDescent="0.35">
      <c r="O148" s="1"/>
    </row>
    <row r="149" spans="15:15" ht="14.25" customHeight="1" x14ac:dyDescent="0.35">
      <c r="O149" s="1"/>
    </row>
    <row r="150" spans="15:15" ht="14.25" customHeight="1" x14ac:dyDescent="0.35">
      <c r="O150" s="1"/>
    </row>
    <row r="151" spans="15:15" ht="14.25" customHeight="1" x14ac:dyDescent="0.35">
      <c r="O151" s="1"/>
    </row>
    <row r="152" spans="15:15" ht="14.25" customHeight="1" x14ac:dyDescent="0.35">
      <c r="O152" s="1"/>
    </row>
    <row r="153" spans="15:15" ht="14.25" customHeight="1" x14ac:dyDescent="0.35">
      <c r="O153" s="1"/>
    </row>
    <row r="154" spans="15:15" ht="14.25" customHeight="1" x14ac:dyDescent="0.35">
      <c r="O154" s="1"/>
    </row>
    <row r="155" spans="15:15" ht="14.25" customHeight="1" x14ac:dyDescent="0.35">
      <c r="O155" s="1"/>
    </row>
    <row r="156" spans="15:15" ht="14.25" customHeight="1" x14ac:dyDescent="0.35">
      <c r="O156" s="1"/>
    </row>
    <row r="157" spans="15:15" ht="14.25" customHeight="1" x14ac:dyDescent="0.35">
      <c r="O157" s="1"/>
    </row>
    <row r="158" spans="15:15" ht="14.25" customHeight="1" x14ac:dyDescent="0.35">
      <c r="O158" s="1"/>
    </row>
    <row r="159" spans="15:15" ht="14.25" customHeight="1" x14ac:dyDescent="0.35">
      <c r="O159" s="1"/>
    </row>
    <row r="160" spans="15:15" ht="14.25" customHeight="1" x14ac:dyDescent="0.35">
      <c r="O160" s="1"/>
    </row>
    <row r="161" spans="15:15" ht="14.25" customHeight="1" x14ac:dyDescent="0.35">
      <c r="O161" s="1"/>
    </row>
    <row r="162" spans="15:15" ht="14.25" customHeight="1" x14ac:dyDescent="0.35">
      <c r="O162" s="1"/>
    </row>
    <row r="163" spans="15:15" ht="14.25" customHeight="1" x14ac:dyDescent="0.35">
      <c r="O163" s="1"/>
    </row>
    <row r="164" spans="15:15" ht="14.25" customHeight="1" x14ac:dyDescent="0.35">
      <c r="O164" s="1"/>
    </row>
    <row r="165" spans="15:15" ht="14.25" customHeight="1" x14ac:dyDescent="0.35">
      <c r="O165" s="1"/>
    </row>
    <row r="166" spans="15:15" ht="14.25" customHeight="1" x14ac:dyDescent="0.35">
      <c r="O166" s="1"/>
    </row>
    <row r="167" spans="15:15" ht="14.25" customHeight="1" x14ac:dyDescent="0.35">
      <c r="O167" s="1"/>
    </row>
    <row r="168" spans="15:15" ht="14.25" customHeight="1" x14ac:dyDescent="0.35">
      <c r="O168" s="1"/>
    </row>
    <row r="169" spans="15:15" ht="14.25" customHeight="1" x14ac:dyDescent="0.35">
      <c r="O169" s="1"/>
    </row>
    <row r="170" spans="15:15" ht="14.25" customHeight="1" x14ac:dyDescent="0.35">
      <c r="O170" s="1"/>
    </row>
    <row r="171" spans="15:15" ht="14.25" customHeight="1" x14ac:dyDescent="0.35">
      <c r="O171" s="1"/>
    </row>
    <row r="172" spans="15:15" ht="14.25" customHeight="1" x14ac:dyDescent="0.35">
      <c r="O172" s="1"/>
    </row>
    <row r="173" spans="15:15" ht="14.25" customHeight="1" x14ac:dyDescent="0.35">
      <c r="O173" s="1"/>
    </row>
    <row r="174" spans="15:15" ht="14.25" customHeight="1" x14ac:dyDescent="0.35">
      <c r="O174" s="1"/>
    </row>
    <row r="175" spans="15:15" ht="14.25" customHeight="1" x14ac:dyDescent="0.35">
      <c r="O175" s="1"/>
    </row>
    <row r="176" spans="15:15" ht="14.25" customHeight="1" x14ac:dyDescent="0.35">
      <c r="O176" s="1"/>
    </row>
    <row r="177" spans="15:15" ht="14.25" customHeight="1" x14ac:dyDescent="0.35">
      <c r="O177" s="1"/>
    </row>
    <row r="178" spans="15:15" ht="14.25" customHeight="1" x14ac:dyDescent="0.35">
      <c r="O178" s="1"/>
    </row>
    <row r="179" spans="15:15" ht="14.25" customHeight="1" x14ac:dyDescent="0.35">
      <c r="O179" s="1"/>
    </row>
    <row r="180" spans="15:15" ht="14.25" customHeight="1" x14ac:dyDescent="0.35">
      <c r="O180" s="1"/>
    </row>
    <row r="181" spans="15:15" ht="14.25" customHeight="1" x14ac:dyDescent="0.35">
      <c r="O181" s="1"/>
    </row>
    <row r="182" spans="15:15" ht="14.25" customHeight="1" x14ac:dyDescent="0.35">
      <c r="O182" s="1"/>
    </row>
    <row r="183" spans="15:15" ht="14.25" customHeight="1" x14ac:dyDescent="0.35">
      <c r="O183" s="1"/>
    </row>
    <row r="184" spans="15:15" ht="14.25" customHeight="1" x14ac:dyDescent="0.35">
      <c r="O184" s="1"/>
    </row>
    <row r="185" spans="15:15" ht="14.25" customHeight="1" x14ac:dyDescent="0.35">
      <c r="O185" s="1"/>
    </row>
    <row r="186" spans="15:15" ht="14.25" customHeight="1" x14ac:dyDescent="0.35">
      <c r="O186" s="1"/>
    </row>
    <row r="187" spans="15:15" ht="14.25" customHeight="1" x14ac:dyDescent="0.35">
      <c r="O187" s="1"/>
    </row>
    <row r="188" spans="15:15" ht="14.25" customHeight="1" x14ac:dyDescent="0.35">
      <c r="O188" s="1"/>
    </row>
    <row r="189" spans="15:15" ht="14.25" customHeight="1" x14ac:dyDescent="0.35">
      <c r="O189" s="1"/>
    </row>
    <row r="190" spans="15:15" ht="14.25" customHeight="1" x14ac:dyDescent="0.35">
      <c r="O190" s="1"/>
    </row>
    <row r="191" spans="15:15" ht="14.25" customHeight="1" x14ac:dyDescent="0.35">
      <c r="O191" s="1"/>
    </row>
    <row r="192" spans="15:15" ht="14.25" customHeight="1" x14ac:dyDescent="0.35">
      <c r="O192" s="1"/>
    </row>
    <row r="193" spans="15:15" ht="14.25" customHeight="1" x14ac:dyDescent="0.35">
      <c r="O193" s="1"/>
    </row>
    <row r="194" spans="15:15" ht="14.25" customHeight="1" x14ac:dyDescent="0.35">
      <c r="O194" s="1"/>
    </row>
    <row r="195" spans="15:15" ht="14.25" customHeight="1" x14ac:dyDescent="0.35">
      <c r="O195" s="1"/>
    </row>
    <row r="196" spans="15:15" ht="14.25" customHeight="1" x14ac:dyDescent="0.35">
      <c r="O196" s="1"/>
    </row>
    <row r="197" spans="15:15" ht="14.25" customHeight="1" x14ac:dyDescent="0.35">
      <c r="O197" s="1"/>
    </row>
    <row r="198" spans="15:15" ht="14.25" customHeight="1" x14ac:dyDescent="0.35">
      <c r="O198" s="1"/>
    </row>
    <row r="199" spans="15:15" ht="14.25" customHeight="1" x14ac:dyDescent="0.35">
      <c r="O199" s="1"/>
    </row>
    <row r="200" spans="15:15" ht="14.25" customHeight="1" x14ac:dyDescent="0.35">
      <c r="O200" s="1"/>
    </row>
    <row r="201" spans="15:15" ht="14.25" customHeight="1" x14ac:dyDescent="0.35">
      <c r="O201" s="1"/>
    </row>
    <row r="202" spans="15:15" ht="14.25" customHeight="1" x14ac:dyDescent="0.35">
      <c r="O202" s="1"/>
    </row>
    <row r="203" spans="15:15" ht="14.25" customHeight="1" x14ac:dyDescent="0.35">
      <c r="O203" s="1"/>
    </row>
    <row r="204" spans="15:15" ht="14.25" customHeight="1" x14ac:dyDescent="0.35">
      <c r="O204" s="1"/>
    </row>
    <row r="205" spans="15:15" ht="14.25" customHeight="1" x14ac:dyDescent="0.35">
      <c r="O205" s="1"/>
    </row>
    <row r="206" spans="15:15" ht="14.25" customHeight="1" x14ac:dyDescent="0.35">
      <c r="O206" s="1"/>
    </row>
    <row r="207" spans="15:15" ht="14.25" customHeight="1" x14ac:dyDescent="0.35">
      <c r="O207" s="1"/>
    </row>
    <row r="208" spans="15:15" ht="14.25" customHeight="1" x14ac:dyDescent="0.35">
      <c r="O208" s="1"/>
    </row>
    <row r="209" spans="15:15" ht="14.25" customHeight="1" x14ac:dyDescent="0.35">
      <c r="O209" s="1"/>
    </row>
    <row r="210" spans="15:15" ht="14.25" customHeight="1" x14ac:dyDescent="0.35">
      <c r="O210" s="1"/>
    </row>
    <row r="211" spans="15:15" ht="14.25" customHeight="1" x14ac:dyDescent="0.35">
      <c r="O211" s="1"/>
    </row>
    <row r="212" spans="15:15" ht="14.25" customHeight="1" x14ac:dyDescent="0.35">
      <c r="O212" s="1"/>
    </row>
    <row r="213" spans="15:15" ht="14.25" customHeight="1" x14ac:dyDescent="0.35">
      <c r="O213" s="1"/>
    </row>
    <row r="214" spans="15:15" ht="14.25" customHeight="1" x14ac:dyDescent="0.35">
      <c r="O214" s="1"/>
    </row>
    <row r="215" spans="15:15" ht="14.25" customHeight="1" x14ac:dyDescent="0.35">
      <c r="O215" s="1"/>
    </row>
    <row r="216" spans="15:15" ht="14.25" customHeight="1" x14ac:dyDescent="0.35">
      <c r="O216" s="1"/>
    </row>
    <row r="217" spans="15:15" ht="14.25" customHeight="1" x14ac:dyDescent="0.35">
      <c r="O217" s="1"/>
    </row>
    <row r="218" spans="15:15" ht="14.25" customHeight="1" x14ac:dyDescent="0.35">
      <c r="O218" s="1"/>
    </row>
    <row r="219" spans="15:15" ht="14.25" customHeight="1" x14ac:dyDescent="0.35">
      <c r="O219" s="1"/>
    </row>
    <row r="220" spans="15:15" ht="14.25" customHeight="1" x14ac:dyDescent="0.35">
      <c r="O220" s="1"/>
    </row>
    <row r="221" spans="15:15" ht="14.25" customHeight="1" x14ac:dyDescent="0.35">
      <c r="O221" s="1"/>
    </row>
    <row r="222" spans="15:15" ht="14.25" customHeight="1" x14ac:dyDescent="0.35">
      <c r="O222" s="1"/>
    </row>
    <row r="223" spans="15:15" ht="14.25" customHeight="1" x14ac:dyDescent="0.35">
      <c r="O223" s="1"/>
    </row>
    <row r="224" spans="15:15" ht="14.25" customHeight="1" x14ac:dyDescent="0.35">
      <c r="O224" s="1"/>
    </row>
    <row r="225" spans="15:15" ht="14.25" customHeight="1" x14ac:dyDescent="0.35">
      <c r="O225" s="1"/>
    </row>
    <row r="226" spans="15:15" ht="14.25" customHeight="1" x14ac:dyDescent="0.35">
      <c r="O226" s="1"/>
    </row>
    <row r="227" spans="15:15" ht="14.25" customHeight="1" x14ac:dyDescent="0.35">
      <c r="O227" s="1"/>
    </row>
    <row r="228" spans="15:15" ht="14.25" customHeight="1" x14ac:dyDescent="0.35">
      <c r="O228" s="1"/>
    </row>
    <row r="229" spans="15:15" ht="14.25" customHeight="1" x14ac:dyDescent="0.35">
      <c r="O229" s="1"/>
    </row>
    <row r="230" spans="15:15" ht="14.25" customHeight="1" x14ac:dyDescent="0.35">
      <c r="O230" s="1"/>
    </row>
    <row r="231" spans="15:15" ht="14.25" customHeight="1" x14ac:dyDescent="0.35">
      <c r="O231" s="1"/>
    </row>
    <row r="232" spans="15:15" ht="14.25" customHeight="1" x14ac:dyDescent="0.35">
      <c r="O232" s="1"/>
    </row>
    <row r="233" spans="15:15" ht="14.25" customHeight="1" x14ac:dyDescent="0.35">
      <c r="O233" s="1"/>
    </row>
    <row r="234" spans="15:15" ht="14.25" customHeight="1" x14ac:dyDescent="0.35">
      <c r="O234" s="1"/>
    </row>
    <row r="235" spans="15:15" ht="14.25" customHeight="1" x14ac:dyDescent="0.35">
      <c r="O235" s="1"/>
    </row>
    <row r="236" spans="15:15" ht="14.25" customHeight="1" x14ac:dyDescent="0.35">
      <c r="O236" s="1"/>
    </row>
    <row r="237" spans="15:15" ht="14.25" customHeight="1" x14ac:dyDescent="0.35">
      <c r="O237" s="1"/>
    </row>
    <row r="238" spans="15:15" ht="14.25" customHeight="1" x14ac:dyDescent="0.35">
      <c r="O238" s="1"/>
    </row>
    <row r="239" spans="15:15" ht="14.25" customHeight="1" x14ac:dyDescent="0.35">
      <c r="O239" s="1"/>
    </row>
    <row r="240" spans="15:15" ht="14.25" customHeight="1" x14ac:dyDescent="0.35">
      <c r="O240" s="1"/>
    </row>
    <row r="241" spans="15:15" ht="14.25" customHeight="1" x14ac:dyDescent="0.35">
      <c r="O241" s="1"/>
    </row>
    <row r="242" spans="15:15" ht="14.25" customHeight="1" x14ac:dyDescent="0.35">
      <c r="O242" s="1"/>
    </row>
    <row r="243" spans="15:15" ht="14.25" customHeight="1" x14ac:dyDescent="0.35">
      <c r="O243" s="1"/>
    </row>
    <row r="244" spans="15:15" ht="14.25" customHeight="1" x14ac:dyDescent="0.35">
      <c r="O244" s="1"/>
    </row>
    <row r="245" spans="15:15" ht="14.25" customHeight="1" x14ac:dyDescent="0.35">
      <c r="O245" s="1"/>
    </row>
    <row r="246" spans="15:15" ht="14.25" customHeight="1" x14ac:dyDescent="0.35">
      <c r="O246" s="1"/>
    </row>
    <row r="247" spans="15:15" ht="14.25" customHeight="1" x14ac:dyDescent="0.35">
      <c r="O247" s="1"/>
    </row>
    <row r="248" spans="15:15" ht="14.25" customHeight="1" x14ac:dyDescent="0.35">
      <c r="O248" s="1"/>
    </row>
    <row r="249" spans="15:15" ht="14.25" customHeight="1" x14ac:dyDescent="0.35">
      <c r="O249" s="1"/>
    </row>
    <row r="250" spans="15:15" ht="14.25" customHeight="1" x14ac:dyDescent="0.35">
      <c r="O250" s="1"/>
    </row>
    <row r="251" spans="15:15" ht="14.25" customHeight="1" x14ac:dyDescent="0.35">
      <c r="O251" s="1"/>
    </row>
    <row r="252" spans="15:15" ht="14.25" customHeight="1" x14ac:dyDescent="0.35">
      <c r="O252" s="1"/>
    </row>
    <row r="253" spans="15:15" ht="14.25" customHeight="1" x14ac:dyDescent="0.35">
      <c r="O253" s="1"/>
    </row>
    <row r="254" spans="15:15" ht="14.25" customHeight="1" x14ac:dyDescent="0.35">
      <c r="O254" s="1"/>
    </row>
    <row r="255" spans="15:15" ht="14.25" customHeight="1" x14ac:dyDescent="0.35">
      <c r="O255" s="1"/>
    </row>
    <row r="256" spans="15:15" ht="14.25" customHeight="1" x14ac:dyDescent="0.35">
      <c r="O256" s="1"/>
    </row>
    <row r="257" spans="15:15" ht="14.25" customHeight="1" x14ac:dyDescent="0.35">
      <c r="O257" s="1"/>
    </row>
    <row r="258" spans="15:15" ht="14.25" customHeight="1" x14ac:dyDescent="0.35">
      <c r="O258" s="1"/>
    </row>
    <row r="259" spans="15:15" ht="14.25" customHeight="1" x14ac:dyDescent="0.35">
      <c r="O259" s="1"/>
    </row>
    <row r="260" spans="15:15" ht="14.25" customHeight="1" x14ac:dyDescent="0.35">
      <c r="O260" s="1"/>
    </row>
    <row r="261" spans="15:15" ht="14.25" customHeight="1" x14ac:dyDescent="0.35">
      <c r="O261" s="1"/>
    </row>
    <row r="262" spans="15:15" ht="14.25" customHeight="1" x14ac:dyDescent="0.35">
      <c r="O262" s="1"/>
    </row>
    <row r="263" spans="15:15" ht="14.25" customHeight="1" x14ac:dyDescent="0.35">
      <c r="O263" s="1"/>
    </row>
    <row r="264" spans="15:15" ht="14.25" customHeight="1" x14ac:dyDescent="0.35">
      <c r="O264" s="1"/>
    </row>
    <row r="265" spans="15:15" ht="14.25" customHeight="1" x14ac:dyDescent="0.35">
      <c r="O265" s="1"/>
    </row>
    <row r="266" spans="15:15" ht="14.25" customHeight="1" x14ac:dyDescent="0.35">
      <c r="O266" s="1"/>
    </row>
    <row r="267" spans="15:15" ht="14.25" customHeight="1" x14ac:dyDescent="0.35">
      <c r="O267" s="1"/>
    </row>
    <row r="268" spans="15:15" ht="14.25" customHeight="1" x14ac:dyDescent="0.35">
      <c r="O268" s="1"/>
    </row>
    <row r="269" spans="15:15" ht="14.25" customHeight="1" x14ac:dyDescent="0.35">
      <c r="O269" s="1"/>
    </row>
    <row r="270" spans="15:15" ht="14.25" customHeight="1" x14ac:dyDescent="0.35">
      <c r="O270" s="1"/>
    </row>
    <row r="271" spans="15:15" ht="14.25" customHeight="1" x14ac:dyDescent="0.35">
      <c r="O271" s="1"/>
    </row>
    <row r="272" spans="15:15" ht="14.25" customHeight="1" x14ac:dyDescent="0.35">
      <c r="O272" s="1"/>
    </row>
    <row r="273" spans="15:15" ht="14.25" customHeight="1" x14ac:dyDescent="0.35">
      <c r="O273" s="1"/>
    </row>
    <row r="274" spans="15:15" ht="14.25" customHeight="1" x14ac:dyDescent="0.35">
      <c r="O274" s="1"/>
    </row>
    <row r="275" spans="15:15" ht="14.25" customHeight="1" x14ac:dyDescent="0.35">
      <c r="O275" s="1"/>
    </row>
    <row r="276" spans="15:15" ht="14.25" customHeight="1" x14ac:dyDescent="0.35">
      <c r="O276" s="1"/>
    </row>
    <row r="277" spans="15:15" ht="14.25" customHeight="1" x14ac:dyDescent="0.35">
      <c r="O277" s="1"/>
    </row>
    <row r="278" spans="15:15" ht="14.25" customHeight="1" x14ac:dyDescent="0.35">
      <c r="O278" s="1"/>
    </row>
    <row r="279" spans="15:15" ht="14.25" customHeight="1" x14ac:dyDescent="0.35">
      <c r="O279" s="1"/>
    </row>
    <row r="280" spans="15:15" ht="14.25" customHeight="1" x14ac:dyDescent="0.35">
      <c r="O280" s="1"/>
    </row>
    <row r="281" spans="15:15" ht="14.25" customHeight="1" x14ac:dyDescent="0.35">
      <c r="O281" s="1"/>
    </row>
    <row r="282" spans="15:15" ht="14.25" customHeight="1" x14ac:dyDescent="0.35">
      <c r="O282" s="1"/>
    </row>
    <row r="283" spans="15:15" ht="14.25" customHeight="1" x14ac:dyDescent="0.35">
      <c r="O283" s="1"/>
    </row>
    <row r="284" spans="15:15" ht="14.25" customHeight="1" x14ac:dyDescent="0.35">
      <c r="O284" s="1"/>
    </row>
    <row r="285" spans="15:15" ht="14.25" customHeight="1" x14ac:dyDescent="0.35">
      <c r="O285" s="1"/>
    </row>
    <row r="286" spans="15:15" ht="14.25" customHeight="1" x14ac:dyDescent="0.35">
      <c r="O286" s="1"/>
    </row>
    <row r="287" spans="15:15" ht="14.25" customHeight="1" x14ac:dyDescent="0.35">
      <c r="O287" s="1"/>
    </row>
    <row r="288" spans="15:15" ht="14.25" customHeight="1" x14ac:dyDescent="0.35">
      <c r="O288" s="1"/>
    </row>
    <row r="289" spans="15:15" ht="14.25" customHeight="1" x14ac:dyDescent="0.35">
      <c r="O289" s="1"/>
    </row>
    <row r="290" spans="15:15" ht="14.25" customHeight="1" x14ac:dyDescent="0.35">
      <c r="O290" s="1"/>
    </row>
    <row r="291" spans="15:15" ht="14.25" customHeight="1" x14ac:dyDescent="0.35">
      <c r="O291" s="1"/>
    </row>
    <row r="292" spans="15:15" ht="14.25" customHeight="1" x14ac:dyDescent="0.35">
      <c r="O292" s="1"/>
    </row>
    <row r="293" spans="15:15" ht="14.25" customHeight="1" x14ac:dyDescent="0.35">
      <c r="O293" s="1"/>
    </row>
    <row r="294" spans="15:15" ht="14.25" customHeight="1" x14ac:dyDescent="0.35">
      <c r="O294" s="1"/>
    </row>
    <row r="295" spans="15:15" ht="14.25" customHeight="1" x14ac:dyDescent="0.35">
      <c r="O295" s="1"/>
    </row>
    <row r="296" spans="15:15" ht="14.25" customHeight="1" x14ac:dyDescent="0.35">
      <c r="O296" s="1"/>
    </row>
    <row r="297" spans="15:15" ht="14.25" customHeight="1" x14ac:dyDescent="0.35">
      <c r="O297" s="1"/>
    </row>
    <row r="298" spans="15:15" ht="14.25" customHeight="1" x14ac:dyDescent="0.35">
      <c r="O298" s="1"/>
    </row>
    <row r="299" spans="15:15" ht="14.25" customHeight="1" x14ac:dyDescent="0.35">
      <c r="O299" s="1"/>
    </row>
    <row r="300" spans="15:15" ht="14.25" customHeight="1" x14ac:dyDescent="0.35">
      <c r="O300" s="1"/>
    </row>
    <row r="301" spans="15:15" ht="14.25" customHeight="1" x14ac:dyDescent="0.35">
      <c r="O301" s="1"/>
    </row>
    <row r="302" spans="15:15" ht="14.25" customHeight="1" x14ac:dyDescent="0.35">
      <c r="O302" s="1"/>
    </row>
    <row r="303" spans="15:15" ht="14.25" customHeight="1" x14ac:dyDescent="0.35">
      <c r="O303" s="1"/>
    </row>
    <row r="304" spans="15:15" ht="14.25" customHeight="1" x14ac:dyDescent="0.35">
      <c r="O304" s="1"/>
    </row>
    <row r="305" spans="15:15" ht="14.25" customHeight="1" x14ac:dyDescent="0.35">
      <c r="O305" s="1"/>
    </row>
    <row r="306" spans="15:15" ht="14.25" customHeight="1" x14ac:dyDescent="0.35">
      <c r="O306" s="1"/>
    </row>
    <row r="307" spans="15:15" ht="14.25" customHeight="1" x14ac:dyDescent="0.35">
      <c r="O307" s="1"/>
    </row>
    <row r="308" spans="15:15" ht="14.25" customHeight="1" x14ac:dyDescent="0.35">
      <c r="O308" s="1"/>
    </row>
    <row r="309" spans="15:15" ht="14.25" customHeight="1" x14ac:dyDescent="0.35">
      <c r="O309" s="1"/>
    </row>
    <row r="310" spans="15:15" ht="14.25" customHeight="1" x14ac:dyDescent="0.35">
      <c r="O310" s="1"/>
    </row>
    <row r="311" spans="15:15" ht="14.25" customHeight="1" x14ac:dyDescent="0.35">
      <c r="O311" s="1"/>
    </row>
    <row r="312" spans="15:15" ht="14.25" customHeight="1" x14ac:dyDescent="0.35">
      <c r="O312" s="1"/>
    </row>
    <row r="313" spans="15:15" ht="14.25" customHeight="1" x14ac:dyDescent="0.35">
      <c r="O313" s="1"/>
    </row>
    <row r="314" spans="15:15" ht="14.25" customHeight="1" x14ac:dyDescent="0.35">
      <c r="O314" s="1"/>
    </row>
    <row r="315" spans="15:15" ht="14.25" customHeight="1" x14ac:dyDescent="0.35">
      <c r="O315" s="1"/>
    </row>
    <row r="316" spans="15:15" ht="14.25" customHeight="1" x14ac:dyDescent="0.35">
      <c r="O316" s="1"/>
    </row>
    <row r="317" spans="15:15" ht="14.25" customHeight="1" x14ac:dyDescent="0.35">
      <c r="O317" s="1"/>
    </row>
    <row r="318" spans="15:15" ht="14.25" customHeight="1" x14ac:dyDescent="0.35">
      <c r="O318" s="1"/>
    </row>
    <row r="319" spans="15:15" ht="14.25" customHeight="1" x14ac:dyDescent="0.35">
      <c r="O319" s="1"/>
    </row>
    <row r="320" spans="15:15" ht="14.25" customHeight="1" x14ac:dyDescent="0.35">
      <c r="O320" s="1"/>
    </row>
    <row r="321" spans="15:15" ht="14.25" customHeight="1" x14ac:dyDescent="0.35">
      <c r="O321" s="1"/>
    </row>
    <row r="322" spans="15:15" ht="14.25" customHeight="1" x14ac:dyDescent="0.35">
      <c r="O322" s="1"/>
    </row>
    <row r="323" spans="15:15" ht="14.25" customHeight="1" x14ac:dyDescent="0.35">
      <c r="O323" s="1"/>
    </row>
    <row r="324" spans="15:15" ht="14.25" customHeight="1" x14ac:dyDescent="0.35">
      <c r="O324" s="1"/>
    </row>
    <row r="325" spans="15:15" ht="14.25" customHeight="1" x14ac:dyDescent="0.35">
      <c r="O325" s="1"/>
    </row>
    <row r="326" spans="15:15" ht="14.25" customHeight="1" x14ac:dyDescent="0.35">
      <c r="O326" s="1"/>
    </row>
    <row r="327" spans="15:15" ht="14.25" customHeight="1" x14ac:dyDescent="0.35">
      <c r="O327" s="1"/>
    </row>
    <row r="328" spans="15:15" ht="14.25" customHeight="1" x14ac:dyDescent="0.35">
      <c r="O328" s="1"/>
    </row>
    <row r="329" spans="15:15" ht="14.25" customHeight="1" x14ac:dyDescent="0.35">
      <c r="O329" s="1"/>
    </row>
    <row r="330" spans="15:15" ht="14.25" customHeight="1" x14ac:dyDescent="0.35">
      <c r="O330" s="1"/>
    </row>
    <row r="331" spans="15:15" ht="14.25" customHeight="1" x14ac:dyDescent="0.35">
      <c r="O331" s="1"/>
    </row>
    <row r="332" spans="15:15" ht="14.25" customHeight="1" x14ac:dyDescent="0.35">
      <c r="O332" s="1"/>
    </row>
    <row r="333" spans="15:15" ht="14.25" customHeight="1" x14ac:dyDescent="0.35">
      <c r="O333" s="1"/>
    </row>
    <row r="334" spans="15:15" ht="14.25" customHeight="1" x14ac:dyDescent="0.35">
      <c r="O334" s="1"/>
    </row>
    <row r="335" spans="15:15" ht="14.25" customHeight="1" x14ac:dyDescent="0.35">
      <c r="O335" s="1"/>
    </row>
    <row r="336" spans="15:15" ht="14.25" customHeight="1" x14ac:dyDescent="0.35">
      <c r="O336" s="1"/>
    </row>
    <row r="337" spans="15:15" ht="14.25" customHeight="1" x14ac:dyDescent="0.35">
      <c r="O337" s="1"/>
    </row>
    <row r="338" spans="15:15" ht="14.25" customHeight="1" x14ac:dyDescent="0.35">
      <c r="O338" s="1"/>
    </row>
    <row r="339" spans="15:15" ht="14.25" customHeight="1" x14ac:dyDescent="0.35">
      <c r="O339" s="1"/>
    </row>
    <row r="340" spans="15:15" ht="14.25" customHeight="1" x14ac:dyDescent="0.35">
      <c r="O340" s="1"/>
    </row>
    <row r="341" spans="15:15" ht="14.25" customHeight="1" x14ac:dyDescent="0.35">
      <c r="O341" s="1"/>
    </row>
    <row r="342" spans="15:15" ht="14.25" customHeight="1" x14ac:dyDescent="0.35">
      <c r="O342" s="1"/>
    </row>
    <row r="343" spans="15:15" ht="14.25" customHeight="1" x14ac:dyDescent="0.35">
      <c r="O343" s="1"/>
    </row>
    <row r="344" spans="15:15" ht="14.25" customHeight="1" x14ac:dyDescent="0.35">
      <c r="O344" s="1"/>
    </row>
    <row r="345" spans="15:15" ht="14.25" customHeight="1" x14ac:dyDescent="0.35">
      <c r="O345" s="1"/>
    </row>
    <row r="346" spans="15:15" ht="14.25" customHeight="1" x14ac:dyDescent="0.35">
      <c r="O346" s="1"/>
    </row>
    <row r="347" spans="15:15" ht="14.25" customHeight="1" x14ac:dyDescent="0.35">
      <c r="O347" s="1"/>
    </row>
    <row r="348" spans="15:15" ht="14.25" customHeight="1" x14ac:dyDescent="0.35">
      <c r="O348" s="1"/>
    </row>
    <row r="349" spans="15:15" ht="14.25" customHeight="1" x14ac:dyDescent="0.35">
      <c r="O349" s="1"/>
    </row>
    <row r="350" spans="15:15" ht="14.25" customHeight="1" x14ac:dyDescent="0.35">
      <c r="O350" s="1"/>
    </row>
    <row r="351" spans="15:15" ht="14.25" customHeight="1" x14ac:dyDescent="0.35">
      <c r="O351" s="1"/>
    </row>
    <row r="352" spans="15:15" ht="14.25" customHeight="1" x14ac:dyDescent="0.35">
      <c r="O352" s="1"/>
    </row>
    <row r="353" spans="15:15" ht="14.25" customHeight="1" x14ac:dyDescent="0.35">
      <c r="O353" s="1"/>
    </row>
    <row r="354" spans="15:15" ht="14.25" customHeight="1" x14ac:dyDescent="0.35">
      <c r="O354" s="1"/>
    </row>
    <row r="355" spans="15:15" ht="14.25" customHeight="1" x14ac:dyDescent="0.35">
      <c r="O355" s="1"/>
    </row>
    <row r="356" spans="15:15" ht="14.25" customHeight="1" x14ac:dyDescent="0.35">
      <c r="O356" s="1"/>
    </row>
    <row r="357" spans="15:15" ht="14.25" customHeight="1" x14ac:dyDescent="0.35">
      <c r="O357" s="1"/>
    </row>
    <row r="358" spans="15:15" ht="14.25" customHeight="1" x14ac:dyDescent="0.35">
      <c r="O358" s="1"/>
    </row>
    <row r="359" spans="15:15" ht="14.25" customHeight="1" x14ac:dyDescent="0.35">
      <c r="O359" s="1"/>
    </row>
    <row r="360" spans="15:15" ht="14.25" customHeight="1" x14ac:dyDescent="0.35">
      <c r="O360" s="1"/>
    </row>
    <row r="361" spans="15:15" ht="14.25" customHeight="1" x14ac:dyDescent="0.35">
      <c r="O361" s="1"/>
    </row>
    <row r="362" spans="15:15" ht="14.25" customHeight="1" x14ac:dyDescent="0.35">
      <c r="O362" s="1"/>
    </row>
    <row r="363" spans="15:15" ht="14.25" customHeight="1" x14ac:dyDescent="0.35">
      <c r="O363" s="1"/>
    </row>
    <row r="364" spans="15:15" ht="14.25" customHeight="1" x14ac:dyDescent="0.35">
      <c r="O364" s="1"/>
    </row>
    <row r="365" spans="15:15" ht="14.25" customHeight="1" x14ac:dyDescent="0.35">
      <c r="O365" s="1"/>
    </row>
    <row r="366" spans="15:15" ht="14.25" customHeight="1" x14ac:dyDescent="0.35">
      <c r="O366" s="1"/>
    </row>
    <row r="367" spans="15:15" ht="14.25" customHeight="1" x14ac:dyDescent="0.35">
      <c r="O367" s="1"/>
    </row>
    <row r="368" spans="15:15" ht="14.25" customHeight="1" x14ac:dyDescent="0.35">
      <c r="O368" s="1"/>
    </row>
    <row r="369" spans="15:15" ht="14.25" customHeight="1" x14ac:dyDescent="0.35">
      <c r="O369" s="1"/>
    </row>
    <row r="370" spans="15:15" ht="14.25" customHeight="1" x14ac:dyDescent="0.35">
      <c r="O370" s="1"/>
    </row>
    <row r="371" spans="15:15" ht="14.25" customHeight="1" x14ac:dyDescent="0.35">
      <c r="O371" s="1"/>
    </row>
    <row r="372" spans="15:15" ht="14.25" customHeight="1" x14ac:dyDescent="0.35">
      <c r="O372" s="1"/>
    </row>
    <row r="373" spans="15:15" ht="14.25" customHeight="1" x14ac:dyDescent="0.35">
      <c r="O373" s="1"/>
    </row>
    <row r="374" spans="15:15" ht="14.25" customHeight="1" x14ac:dyDescent="0.35">
      <c r="O374" s="1"/>
    </row>
    <row r="375" spans="15:15" ht="14.25" customHeight="1" x14ac:dyDescent="0.35">
      <c r="O375" s="1"/>
    </row>
    <row r="376" spans="15:15" ht="14.25" customHeight="1" x14ac:dyDescent="0.35">
      <c r="O376" s="1"/>
    </row>
    <row r="377" spans="15:15" ht="14.25" customHeight="1" x14ac:dyDescent="0.35">
      <c r="O377" s="1"/>
    </row>
    <row r="378" spans="15:15" ht="14.25" customHeight="1" x14ac:dyDescent="0.35">
      <c r="O378" s="1"/>
    </row>
    <row r="379" spans="15:15" ht="14.25" customHeight="1" x14ac:dyDescent="0.35">
      <c r="O379" s="1"/>
    </row>
    <row r="380" spans="15:15" ht="14.25" customHeight="1" x14ac:dyDescent="0.35">
      <c r="O380" s="1"/>
    </row>
    <row r="381" spans="15:15" ht="14.25" customHeight="1" x14ac:dyDescent="0.35">
      <c r="O381" s="1"/>
    </row>
    <row r="382" spans="15:15" ht="14.25" customHeight="1" x14ac:dyDescent="0.35">
      <c r="O382" s="1"/>
    </row>
    <row r="383" spans="15:15" ht="14.25" customHeight="1" x14ac:dyDescent="0.35">
      <c r="O383" s="1"/>
    </row>
    <row r="384" spans="15:15" ht="14.25" customHeight="1" x14ac:dyDescent="0.35">
      <c r="O384" s="1"/>
    </row>
    <row r="385" spans="15:15" ht="14.25" customHeight="1" x14ac:dyDescent="0.35">
      <c r="O385" s="1"/>
    </row>
    <row r="386" spans="15:15" ht="14.25" customHeight="1" x14ac:dyDescent="0.35">
      <c r="O386" s="1"/>
    </row>
    <row r="387" spans="15:15" ht="14.25" customHeight="1" x14ac:dyDescent="0.35">
      <c r="O387" s="1"/>
    </row>
    <row r="388" spans="15:15" ht="14.25" customHeight="1" x14ac:dyDescent="0.35">
      <c r="O388" s="1"/>
    </row>
    <row r="389" spans="15:15" ht="14.25" customHeight="1" x14ac:dyDescent="0.35">
      <c r="O389" s="1"/>
    </row>
    <row r="390" spans="15:15" ht="14.25" customHeight="1" x14ac:dyDescent="0.35">
      <c r="O390" s="1"/>
    </row>
    <row r="391" spans="15:15" ht="14.25" customHeight="1" x14ac:dyDescent="0.35">
      <c r="O391" s="1"/>
    </row>
    <row r="392" spans="15:15" ht="14.25" customHeight="1" x14ac:dyDescent="0.35">
      <c r="O392" s="1"/>
    </row>
    <row r="393" spans="15:15" ht="14.25" customHeight="1" x14ac:dyDescent="0.35">
      <c r="O393" s="1"/>
    </row>
    <row r="394" spans="15:15" ht="14.25" customHeight="1" x14ac:dyDescent="0.35">
      <c r="O394" s="1"/>
    </row>
    <row r="395" spans="15:15" ht="14.25" customHeight="1" x14ac:dyDescent="0.35">
      <c r="O395" s="1"/>
    </row>
    <row r="396" spans="15:15" ht="14.25" customHeight="1" x14ac:dyDescent="0.35">
      <c r="O396" s="1"/>
    </row>
    <row r="397" spans="15:15" ht="14.25" customHeight="1" x14ac:dyDescent="0.35">
      <c r="O397" s="1"/>
    </row>
    <row r="398" spans="15:15" ht="14.25" customHeight="1" x14ac:dyDescent="0.35">
      <c r="O398" s="1"/>
    </row>
    <row r="399" spans="15:15" ht="14.25" customHeight="1" x14ac:dyDescent="0.35">
      <c r="O399" s="1"/>
    </row>
    <row r="400" spans="15:15" ht="14.25" customHeight="1" x14ac:dyDescent="0.35">
      <c r="O400" s="1"/>
    </row>
    <row r="401" spans="15:15" ht="14.25" customHeight="1" x14ac:dyDescent="0.35">
      <c r="O401" s="1"/>
    </row>
    <row r="402" spans="15:15" ht="14.25" customHeight="1" x14ac:dyDescent="0.35">
      <c r="O402" s="1"/>
    </row>
    <row r="403" spans="15:15" ht="14.25" customHeight="1" x14ac:dyDescent="0.35">
      <c r="O403" s="1"/>
    </row>
    <row r="404" spans="15:15" ht="14.25" customHeight="1" x14ac:dyDescent="0.35">
      <c r="O404" s="1"/>
    </row>
    <row r="405" spans="15:15" ht="14.25" customHeight="1" x14ac:dyDescent="0.35">
      <c r="O405" s="1"/>
    </row>
    <row r="406" spans="15:15" ht="14.25" customHeight="1" x14ac:dyDescent="0.35">
      <c r="O406" s="1"/>
    </row>
    <row r="407" spans="15:15" ht="14.25" customHeight="1" x14ac:dyDescent="0.35">
      <c r="O407" s="1"/>
    </row>
    <row r="408" spans="15:15" ht="14.25" customHeight="1" x14ac:dyDescent="0.35">
      <c r="O408" s="1"/>
    </row>
    <row r="409" spans="15:15" ht="14.25" customHeight="1" x14ac:dyDescent="0.35">
      <c r="O409" s="1"/>
    </row>
    <row r="410" spans="15:15" ht="14.25" customHeight="1" x14ac:dyDescent="0.35">
      <c r="O410" s="1"/>
    </row>
    <row r="411" spans="15:15" ht="14.25" customHeight="1" x14ac:dyDescent="0.35">
      <c r="O411" s="1"/>
    </row>
    <row r="412" spans="15:15" ht="14.25" customHeight="1" x14ac:dyDescent="0.35">
      <c r="O412" s="1"/>
    </row>
    <row r="413" spans="15:15" ht="14.25" customHeight="1" x14ac:dyDescent="0.35">
      <c r="O413" s="1"/>
    </row>
    <row r="414" spans="15:15" ht="14.25" customHeight="1" x14ac:dyDescent="0.35">
      <c r="O414" s="1"/>
    </row>
    <row r="415" spans="15:15" ht="14.25" customHeight="1" x14ac:dyDescent="0.35">
      <c r="O415" s="1"/>
    </row>
    <row r="416" spans="15:15" ht="14.25" customHeight="1" x14ac:dyDescent="0.35">
      <c r="O416" s="1"/>
    </row>
    <row r="417" spans="15:15" ht="14.25" customHeight="1" x14ac:dyDescent="0.35">
      <c r="O417" s="1"/>
    </row>
    <row r="418" spans="15:15" ht="14.25" customHeight="1" x14ac:dyDescent="0.35">
      <c r="O418" s="1"/>
    </row>
    <row r="419" spans="15:15" ht="14.25" customHeight="1" x14ac:dyDescent="0.35">
      <c r="O419" s="1"/>
    </row>
    <row r="420" spans="15:15" ht="14.25" customHeight="1" x14ac:dyDescent="0.35">
      <c r="O420" s="1"/>
    </row>
    <row r="421" spans="15:15" ht="14.25" customHeight="1" x14ac:dyDescent="0.35">
      <c r="O421" s="1"/>
    </row>
    <row r="422" spans="15:15" ht="14.25" customHeight="1" x14ac:dyDescent="0.35">
      <c r="O422" s="1"/>
    </row>
    <row r="423" spans="15:15" ht="14.25" customHeight="1" x14ac:dyDescent="0.35">
      <c r="O423" s="1"/>
    </row>
    <row r="424" spans="15:15" ht="14.25" customHeight="1" x14ac:dyDescent="0.35">
      <c r="O424" s="1"/>
    </row>
    <row r="425" spans="15:15" ht="14.25" customHeight="1" x14ac:dyDescent="0.35">
      <c r="O425" s="1"/>
    </row>
    <row r="426" spans="15:15" ht="14.25" customHeight="1" x14ac:dyDescent="0.35">
      <c r="O426" s="1"/>
    </row>
    <row r="427" spans="15:15" ht="14.25" customHeight="1" x14ac:dyDescent="0.35">
      <c r="O427" s="1"/>
    </row>
    <row r="428" spans="15:15" ht="14.25" customHeight="1" x14ac:dyDescent="0.35">
      <c r="O428" s="1"/>
    </row>
    <row r="429" spans="15:15" ht="14.25" customHeight="1" x14ac:dyDescent="0.35">
      <c r="O429" s="1"/>
    </row>
    <row r="430" spans="15:15" ht="14.25" customHeight="1" x14ac:dyDescent="0.35">
      <c r="O430" s="1"/>
    </row>
    <row r="431" spans="15:15" ht="14.25" customHeight="1" x14ac:dyDescent="0.35">
      <c r="O431" s="1"/>
    </row>
    <row r="432" spans="15:15" ht="14.25" customHeight="1" x14ac:dyDescent="0.35">
      <c r="O432" s="1"/>
    </row>
    <row r="433" spans="15:15" ht="14.25" customHeight="1" x14ac:dyDescent="0.35">
      <c r="O433" s="1"/>
    </row>
    <row r="434" spans="15:15" ht="14.25" customHeight="1" x14ac:dyDescent="0.35">
      <c r="O434" s="1"/>
    </row>
    <row r="435" spans="15:15" ht="14.25" customHeight="1" x14ac:dyDescent="0.35">
      <c r="O435" s="1"/>
    </row>
    <row r="436" spans="15:15" ht="14.25" customHeight="1" x14ac:dyDescent="0.35">
      <c r="O436" s="1"/>
    </row>
    <row r="437" spans="15:15" ht="14.25" customHeight="1" x14ac:dyDescent="0.35">
      <c r="O437" s="1"/>
    </row>
    <row r="438" spans="15:15" ht="14.25" customHeight="1" x14ac:dyDescent="0.35">
      <c r="O438" s="1"/>
    </row>
    <row r="439" spans="15:15" ht="14.25" customHeight="1" x14ac:dyDescent="0.35">
      <c r="O439" s="1"/>
    </row>
    <row r="440" spans="15:15" ht="14.25" customHeight="1" x14ac:dyDescent="0.35">
      <c r="O440" s="1"/>
    </row>
    <row r="441" spans="15:15" ht="14.25" customHeight="1" x14ac:dyDescent="0.35">
      <c r="O441" s="1"/>
    </row>
    <row r="442" spans="15:15" ht="14.25" customHeight="1" x14ac:dyDescent="0.35">
      <c r="O442" s="1"/>
    </row>
    <row r="443" spans="15:15" ht="14.25" customHeight="1" x14ac:dyDescent="0.35">
      <c r="O443" s="1"/>
    </row>
    <row r="444" spans="15:15" ht="14.25" customHeight="1" x14ac:dyDescent="0.35">
      <c r="O444" s="1"/>
    </row>
    <row r="445" spans="15:15" ht="14.25" customHeight="1" x14ac:dyDescent="0.35">
      <c r="O445" s="1"/>
    </row>
    <row r="446" spans="15:15" ht="14.25" customHeight="1" x14ac:dyDescent="0.35">
      <c r="O446" s="1"/>
    </row>
    <row r="447" spans="15:15" ht="14.25" customHeight="1" x14ac:dyDescent="0.35">
      <c r="O447" s="1"/>
    </row>
    <row r="448" spans="15:15" ht="14.25" customHeight="1" x14ac:dyDescent="0.35">
      <c r="O448" s="1"/>
    </row>
    <row r="449" spans="15:15" ht="14.25" customHeight="1" x14ac:dyDescent="0.35">
      <c r="O449" s="1"/>
    </row>
    <row r="450" spans="15:15" ht="14.25" customHeight="1" x14ac:dyDescent="0.35">
      <c r="O450" s="1"/>
    </row>
    <row r="451" spans="15:15" ht="14.25" customHeight="1" x14ac:dyDescent="0.35">
      <c r="O451" s="1"/>
    </row>
    <row r="452" spans="15:15" ht="14.25" customHeight="1" x14ac:dyDescent="0.35">
      <c r="O452" s="1"/>
    </row>
    <row r="453" spans="15:15" ht="14.25" customHeight="1" x14ac:dyDescent="0.35">
      <c r="O453" s="1"/>
    </row>
    <row r="454" spans="15:15" ht="14.25" customHeight="1" x14ac:dyDescent="0.35">
      <c r="O454" s="1"/>
    </row>
    <row r="455" spans="15:15" ht="14.25" customHeight="1" x14ac:dyDescent="0.35">
      <c r="O455" s="1"/>
    </row>
    <row r="456" spans="15:15" ht="14.25" customHeight="1" x14ac:dyDescent="0.35">
      <c r="O456" s="1"/>
    </row>
    <row r="457" spans="15:15" ht="14.25" customHeight="1" x14ac:dyDescent="0.35">
      <c r="O457" s="1"/>
    </row>
    <row r="458" spans="15:15" ht="14.25" customHeight="1" x14ac:dyDescent="0.35">
      <c r="O458" s="1"/>
    </row>
    <row r="459" spans="15:15" ht="14.25" customHeight="1" x14ac:dyDescent="0.35">
      <c r="O459" s="1"/>
    </row>
    <row r="460" spans="15:15" ht="14.25" customHeight="1" x14ac:dyDescent="0.35">
      <c r="O460" s="1"/>
    </row>
    <row r="461" spans="15:15" ht="14.25" customHeight="1" x14ac:dyDescent="0.35">
      <c r="O461" s="1"/>
    </row>
    <row r="462" spans="15:15" ht="14.25" customHeight="1" x14ac:dyDescent="0.35">
      <c r="O462" s="1"/>
    </row>
    <row r="463" spans="15:15" ht="14.25" customHeight="1" x14ac:dyDescent="0.35">
      <c r="O463" s="1"/>
    </row>
    <row r="464" spans="15:15" ht="14.25" customHeight="1" x14ac:dyDescent="0.35">
      <c r="O464" s="1"/>
    </row>
    <row r="465" spans="15:15" ht="14.25" customHeight="1" x14ac:dyDescent="0.35">
      <c r="O465" s="1"/>
    </row>
    <row r="466" spans="15:15" ht="14.25" customHeight="1" x14ac:dyDescent="0.35">
      <c r="O466" s="1"/>
    </row>
    <row r="467" spans="15:15" ht="14.25" customHeight="1" x14ac:dyDescent="0.35">
      <c r="O467" s="1"/>
    </row>
    <row r="468" spans="15:15" ht="14.25" customHeight="1" x14ac:dyDescent="0.35">
      <c r="O468" s="1"/>
    </row>
    <row r="469" spans="15:15" ht="14.25" customHeight="1" x14ac:dyDescent="0.35">
      <c r="O469" s="1"/>
    </row>
    <row r="470" spans="15:15" ht="14.25" customHeight="1" x14ac:dyDescent="0.35">
      <c r="O470" s="1"/>
    </row>
    <row r="471" spans="15:15" ht="14.25" customHeight="1" x14ac:dyDescent="0.35">
      <c r="O471" s="1"/>
    </row>
    <row r="472" spans="15:15" ht="14.25" customHeight="1" x14ac:dyDescent="0.35">
      <c r="O472" s="1"/>
    </row>
    <row r="473" spans="15:15" ht="14.25" customHeight="1" x14ac:dyDescent="0.35">
      <c r="O473" s="1"/>
    </row>
    <row r="474" spans="15:15" ht="14.25" customHeight="1" x14ac:dyDescent="0.35">
      <c r="O474" s="1"/>
    </row>
    <row r="475" spans="15:15" ht="14.25" customHeight="1" x14ac:dyDescent="0.35">
      <c r="O475" s="1"/>
    </row>
    <row r="476" spans="15:15" ht="14.25" customHeight="1" x14ac:dyDescent="0.35">
      <c r="O476" s="1"/>
    </row>
    <row r="477" spans="15:15" ht="14.25" customHeight="1" x14ac:dyDescent="0.35">
      <c r="O477" s="1"/>
    </row>
    <row r="478" spans="15:15" ht="14.25" customHeight="1" x14ac:dyDescent="0.35">
      <c r="O478" s="1"/>
    </row>
    <row r="479" spans="15:15" ht="14.25" customHeight="1" x14ac:dyDescent="0.35">
      <c r="O479" s="1"/>
    </row>
    <row r="480" spans="15:15" ht="14.25" customHeight="1" x14ac:dyDescent="0.35">
      <c r="O480" s="1"/>
    </row>
    <row r="481" spans="15:15" ht="14.25" customHeight="1" x14ac:dyDescent="0.35">
      <c r="O481" s="1"/>
    </row>
    <row r="482" spans="15:15" ht="14.25" customHeight="1" x14ac:dyDescent="0.35">
      <c r="O482" s="1"/>
    </row>
    <row r="483" spans="15:15" ht="14.25" customHeight="1" x14ac:dyDescent="0.35">
      <c r="O483" s="1"/>
    </row>
    <row r="484" spans="15:15" ht="14.25" customHeight="1" x14ac:dyDescent="0.35">
      <c r="O484" s="1"/>
    </row>
    <row r="485" spans="15:15" ht="14.25" customHeight="1" x14ac:dyDescent="0.35">
      <c r="O485" s="1"/>
    </row>
    <row r="486" spans="15:15" ht="14.25" customHeight="1" x14ac:dyDescent="0.35">
      <c r="O486" s="1"/>
    </row>
    <row r="487" spans="15:15" ht="14.25" customHeight="1" x14ac:dyDescent="0.35">
      <c r="O487" s="1"/>
    </row>
    <row r="488" spans="15:15" ht="14.25" customHeight="1" x14ac:dyDescent="0.35">
      <c r="O488" s="1"/>
    </row>
    <row r="489" spans="15:15" ht="14.25" customHeight="1" x14ac:dyDescent="0.35">
      <c r="O489" s="1"/>
    </row>
    <row r="490" spans="15:15" ht="14.25" customHeight="1" x14ac:dyDescent="0.35">
      <c r="O490" s="1"/>
    </row>
    <row r="491" spans="15:15" ht="14.25" customHeight="1" x14ac:dyDescent="0.35">
      <c r="O491" s="1"/>
    </row>
    <row r="492" spans="15:15" ht="14.25" customHeight="1" x14ac:dyDescent="0.35">
      <c r="O492" s="1"/>
    </row>
    <row r="493" spans="15:15" ht="14.25" customHeight="1" x14ac:dyDescent="0.35">
      <c r="O493" s="1"/>
    </row>
    <row r="494" spans="15:15" ht="14.25" customHeight="1" x14ac:dyDescent="0.35">
      <c r="O494" s="1"/>
    </row>
    <row r="495" spans="15:15" ht="14.25" customHeight="1" x14ac:dyDescent="0.35">
      <c r="O495" s="1"/>
    </row>
    <row r="496" spans="15:15" ht="14.25" customHeight="1" x14ac:dyDescent="0.35">
      <c r="O496" s="1"/>
    </row>
    <row r="497" spans="15:15" ht="14.25" customHeight="1" x14ac:dyDescent="0.35">
      <c r="O497" s="1"/>
    </row>
    <row r="498" spans="15:15" ht="14.25" customHeight="1" x14ac:dyDescent="0.35">
      <c r="O498" s="1"/>
    </row>
    <row r="499" spans="15:15" ht="14.25" customHeight="1" x14ac:dyDescent="0.35">
      <c r="O499" s="1"/>
    </row>
    <row r="500" spans="15:15" ht="14.25" customHeight="1" x14ac:dyDescent="0.35">
      <c r="O500" s="1"/>
    </row>
    <row r="501" spans="15:15" ht="14.25" customHeight="1" x14ac:dyDescent="0.35">
      <c r="O501" s="1"/>
    </row>
    <row r="502" spans="15:15" ht="14.25" customHeight="1" x14ac:dyDescent="0.35">
      <c r="O502" s="1"/>
    </row>
    <row r="503" spans="15:15" ht="14.25" customHeight="1" x14ac:dyDescent="0.35">
      <c r="O503" s="1"/>
    </row>
    <row r="504" spans="15:15" ht="14.25" customHeight="1" x14ac:dyDescent="0.35">
      <c r="O504" s="1"/>
    </row>
    <row r="505" spans="15:15" ht="14.25" customHeight="1" x14ac:dyDescent="0.35">
      <c r="O505" s="1"/>
    </row>
    <row r="506" spans="15:15" ht="14.25" customHeight="1" x14ac:dyDescent="0.35">
      <c r="O506" s="1"/>
    </row>
    <row r="507" spans="15:15" ht="14.25" customHeight="1" x14ac:dyDescent="0.35">
      <c r="O507" s="1"/>
    </row>
    <row r="508" spans="15:15" ht="14.25" customHeight="1" x14ac:dyDescent="0.35">
      <c r="O508" s="1"/>
    </row>
    <row r="509" spans="15:15" ht="14.25" customHeight="1" x14ac:dyDescent="0.35">
      <c r="O509" s="1"/>
    </row>
    <row r="510" spans="15:15" ht="14.25" customHeight="1" x14ac:dyDescent="0.35">
      <c r="O510" s="1"/>
    </row>
    <row r="511" spans="15:15" ht="14.25" customHeight="1" x14ac:dyDescent="0.35">
      <c r="O511" s="1"/>
    </row>
    <row r="512" spans="15:15" ht="14.25" customHeight="1" x14ac:dyDescent="0.35">
      <c r="O512" s="1"/>
    </row>
    <row r="513" spans="15:15" ht="14.25" customHeight="1" x14ac:dyDescent="0.35">
      <c r="O513" s="1"/>
    </row>
    <row r="514" spans="15:15" ht="14.25" customHeight="1" x14ac:dyDescent="0.35">
      <c r="O514" s="1"/>
    </row>
    <row r="515" spans="15:15" ht="14.25" customHeight="1" x14ac:dyDescent="0.35">
      <c r="O515" s="1"/>
    </row>
    <row r="516" spans="15:15" ht="14.25" customHeight="1" x14ac:dyDescent="0.35">
      <c r="O516" s="1"/>
    </row>
    <row r="517" spans="15:15" ht="14.25" customHeight="1" x14ac:dyDescent="0.35">
      <c r="O517" s="1"/>
    </row>
    <row r="518" spans="15:15" ht="14.25" customHeight="1" x14ac:dyDescent="0.35">
      <c r="O518" s="1"/>
    </row>
    <row r="519" spans="15:15" ht="14.25" customHeight="1" x14ac:dyDescent="0.35">
      <c r="O519" s="1"/>
    </row>
    <row r="520" spans="15:15" ht="14.25" customHeight="1" x14ac:dyDescent="0.35">
      <c r="O520" s="1"/>
    </row>
    <row r="521" spans="15:15" ht="14.25" customHeight="1" x14ac:dyDescent="0.35">
      <c r="O521" s="1"/>
    </row>
    <row r="522" spans="15:15" ht="14.25" customHeight="1" x14ac:dyDescent="0.35">
      <c r="O522" s="1"/>
    </row>
    <row r="523" spans="15:15" ht="14.25" customHeight="1" x14ac:dyDescent="0.35">
      <c r="O523" s="1"/>
    </row>
    <row r="524" spans="15:15" ht="14.25" customHeight="1" x14ac:dyDescent="0.35">
      <c r="O524" s="1"/>
    </row>
    <row r="525" spans="15:15" ht="14.25" customHeight="1" x14ac:dyDescent="0.35">
      <c r="O525" s="1"/>
    </row>
    <row r="526" spans="15:15" ht="14.25" customHeight="1" x14ac:dyDescent="0.35">
      <c r="O526" s="1"/>
    </row>
    <row r="527" spans="15:15" ht="14.25" customHeight="1" x14ac:dyDescent="0.35">
      <c r="O527" s="1"/>
    </row>
    <row r="528" spans="15:15" ht="14.25" customHeight="1" x14ac:dyDescent="0.35">
      <c r="O528" s="1"/>
    </row>
    <row r="529" spans="15:15" ht="14.25" customHeight="1" x14ac:dyDescent="0.35">
      <c r="O529" s="1"/>
    </row>
    <row r="530" spans="15:15" ht="14.25" customHeight="1" x14ac:dyDescent="0.35">
      <c r="O530" s="1"/>
    </row>
    <row r="531" spans="15:15" ht="14.25" customHeight="1" x14ac:dyDescent="0.35">
      <c r="O531" s="1"/>
    </row>
    <row r="532" spans="15:15" ht="14.25" customHeight="1" x14ac:dyDescent="0.35">
      <c r="O532" s="1"/>
    </row>
    <row r="533" spans="15:15" ht="14.25" customHeight="1" x14ac:dyDescent="0.35">
      <c r="O533" s="1"/>
    </row>
    <row r="534" spans="15:15" ht="14.25" customHeight="1" x14ac:dyDescent="0.35">
      <c r="O534" s="1"/>
    </row>
    <row r="535" spans="15:15" ht="14.25" customHeight="1" x14ac:dyDescent="0.35">
      <c r="O535" s="1"/>
    </row>
    <row r="536" spans="15:15" ht="14.25" customHeight="1" x14ac:dyDescent="0.35">
      <c r="O536" s="1"/>
    </row>
    <row r="537" spans="15:15" ht="14.25" customHeight="1" x14ac:dyDescent="0.35">
      <c r="O537" s="1"/>
    </row>
    <row r="538" spans="15:15" ht="14.25" customHeight="1" x14ac:dyDescent="0.35">
      <c r="O538" s="1"/>
    </row>
    <row r="539" spans="15:15" ht="14.25" customHeight="1" x14ac:dyDescent="0.35">
      <c r="O539" s="1"/>
    </row>
    <row r="540" spans="15:15" ht="14.25" customHeight="1" x14ac:dyDescent="0.35">
      <c r="O540" s="1"/>
    </row>
    <row r="541" spans="15:15" ht="14.25" customHeight="1" x14ac:dyDescent="0.35">
      <c r="O541" s="1"/>
    </row>
    <row r="542" spans="15:15" ht="14.25" customHeight="1" x14ac:dyDescent="0.35">
      <c r="O542" s="1"/>
    </row>
    <row r="543" spans="15:15" ht="14.25" customHeight="1" x14ac:dyDescent="0.35">
      <c r="O543" s="1"/>
    </row>
    <row r="544" spans="15:15" ht="14.25" customHeight="1" x14ac:dyDescent="0.35">
      <c r="O544" s="1"/>
    </row>
    <row r="545" spans="15:15" ht="14.25" customHeight="1" x14ac:dyDescent="0.35">
      <c r="O545" s="1"/>
    </row>
    <row r="546" spans="15:15" ht="14.25" customHeight="1" x14ac:dyDescent="0.35">
      <c r="O546" s="1"/>
    </row>
    <row r="547" spans="15:15" ht="14.25" customHeight="1" x14ac:dyDescent="0.35">
      <c r="O547" s="1"/>
    </row>
    <row r="548" spans="15:15" ht="14.25" customHeight="1" x14ac:dyDescent="0.35">
      <c r="O548" s="1"/>
    </row>
    <row r="549" spans="15:15" ht="14.25" customHeight="1" x14ac:dyDescent="0.35">
      <c r="O549" s="1"/>
    </row>
    <row r="550" spans="15:15" ht="14.25" customHeight="1" x14ac:dyDescent="0.35">
      <c r="O550" s="1"/>
    </row>
    <row r="551" spans="15:15" ht="14.25" customHeight="1" x14ac:dyDescent="0.35">
      <c r="O551" s="1"/>
    </row>
    <row r="552" spans="15:15" ht="14.25" customHeight="1" x14ac:dyDescent="0.35">
      <c r="O552" s="1"/>
    </row>
    <row r="553" spans="15:15" ht="14.25" customHeight="1" x14ac:dyDescent="0.35">
      <c r="O553" s="1"/>
    </row>
    <row r="554" spans="15:15" ht="14.25" customHeight="1" x14ac:dyDescent="0.35">
      <c r="O554" s="1"/>
    </row>
    <row r="555" spans="15:15" ht="14.25" customHeight="1" x14ac:dyDescent="0.35">
      <c r="O555" s="1"/>
    </row>
    <row r="556" spans="15:15" ht="14.25" customHeight="1" x14ac:dyDescent="0.35">
      <c r="O556" s="1"/>
    </row>
    <row r="557" spans="15:15" ht="14.25" customHeight="1" x14ac:dyDescent="0.35">
      <c r="O557" s="1"/>
    </row>
    <row r="558" spans="15:15" ht="14.25" customHeight="1" x14ac:dyDescent="0.35">
      <c r="O558" s="1"/>
    </row>
    <row r="559" spans="15:15" ht="14.25" customHeight="1" x14ac:dyDescent="0.35">
      <c r="O559" s="1"/>
    </row>
    <row r="560" spans="15:15" ht="14.25" customHeight="1" x14ac:dyDescent="0.35">
      <c r="O560" s="1"/>
    </row>
    <row r="561" spans="15:15" ht="14.25" customHeight="1" x14ac:dyDescent="0.35">
      <c r="O561" s="1"/>
    </row>
    <row r="562" spans="15:15" ht="14.25" customHeight="1" x14ac:dyDescent="0.35">
      <c r="O562" s="1"/>
    </row>
    <row r="563" spans="15:15" ht="14.25" customHeight="1" x14ac:dyDescent="0.35">
      <c r="O563" s="1"/>
    </row>
    <row r="564" spans="15:15" ht="14.25" customHeight="1" x14ac:dyDescent="0.35">
      <c r="O564" s="1"/>
    </row>
    <row r="565" spans="15:15" ht="14.25" customHeight="1" x14ac:dyDescent="0.35">
      <c r="O565" s="1"/>
    </row>
    <row r="566" spans="15:15" ht="14.25" customHeight="1" x14ac:dyDescent="0.35">
      <c r="O566" s="1"/>
    </row>
    <row r="567" spans="15:15" ht="14.25" customHeight="1" x14ac:dyDescent="0.35">
      <c r="O567" s="1"/>
    </row>
    <row r="568" spans="15:15" ht="14.25" customHeight="1" x14ac:dyDescent="0.35">
      <c r="O568" s="1"/>
    </row>
    <row r="569" spans="15:15" ht="14.25" customHeight="1" x14ac:dyDescent="0.35">
      <c r="O569" s="1"/>
    </row>
    <row r="570" spans="15:15" ht="14.25" customHeight="1" x14ac:dyDescent="0.35">
      <c r="O570" s="1"/>
    </row>
    <row r="571" spans="15:15" ht="14.25" customHeight="1" x14ac:dyDescent="0.35">
      <c r="O571" s="1"/>
    </row>
    <row r="572" spans="15:15" ht="14.25" customHeight="1" x14ac:dyDescent="0.35">
      <c r="O572" s="1"/>
    </row>
    <row r="573" spans="15:15" ht="14.25" customHeight="1" x14ac:dyDescent="0.35">
      <c r="O573" s="1"/>
    </row>
    <row r="574" spans="15:15" ht="14.25" customHeight="1" x14ac:dyDescent="0.35">
      <c r="O574" s="1"/>
    </row>
    <row r="575" spans="15:15" ht="14.25" customHeight="1" x14ac:dyDescent="0.35">
      <c r="O575" s="1"/>
    </row>
    <row r="576" spans="15:15" ht="14.25" customHeight="1" x14ac:dyDescent="0.35">
      <c r="O576" s="1"/>
    </row>
    <row r="577" spans="15:15" ht="14.25" customHeight="1" x14ac:dyDescent="0.35">
      <c r="O577" s="1"/>
    </row>
    <row r="578" spans="15:15" ht="14.25" customHeight="1" x14ac:dyDescent="0.35">
      <c r="O578" s="1"/>
    </row>
    <row r="579" spans="15:15" ht="14.25" customHeight="1" x14ac:dyDescent="0.35">
      <c r="O579" s="1"/>
    </row>
    <row r="580" spans="15:15" ht="14.25" customHeight="1" x14ac:dyDescent="0.35">
      <c r="O580" s="1"/>
    </row>
    <row r="581" spans="15:15" ht="14.25" customHeight="1" x14ac:dyDescent="0.35">
      <c r="O581" s="1"/>
    </row>
    <row r="582" spans="15:15" ht="14.25" customHeight="1" x14ac:dyDescent="0.35">
      <c r="O582" s="1"/>
    </row>
    <row r="583" spans="15:15" ht="14.25" customHeight="1" x14ac:dyDescent="0.35">
      <c r="O583" s="1"/>
    </row>
    <row r="584" spans="15:15" ht="14.25" customHeight="1" x14ac:dyDescent="0.35">
      <c r="O584" s="1"/>
    </row>
    <row r="585" spans="15:15" ht="14.25" customHeight="1" x14ac:dyDescent="0.35">
      <c r="O585" s="1"/>
    </row>
    <row r="586" spans="15:15" ht="14.25" customHeight="1" x14ac:dyDescent="0.35">
      <c r="O586" s="1"/>
    </row>
    <row r="587" spans="15:15" ht="14.25" customHeight="1" x14ac:dyDescent="0.35">
      <c r="O587" s="1"/>
    </row>
    <row r="588" spans="15:15" ht="14.25" customHeight="1" x14ac:dyDescent="0.35">
      <c r="O588" s="1"/>
    </row>
    <row r="589" spans="15:15" ht="14.25" customHeight="1" x14ac:dyDescent="0.35">
      <c r="O589" s="1"/>
    </row>
    <row r="590" spans="15:15" ht="14.25" customHeight="1" x14ac:dyDescent="0.35">
      <c r="O590" s="1"/>
    </row>
    <row r="591" spans="15:15" ht="14.25" customHeight="1" x14ac:dyDescent="0.35">
      <c r="O591" s="1"/>
    </row>
    <row r="592" spans="15:15" ht="14.25" customHeight="1" x14ac:dyDescent="0.35">
      <c r="O592" s="1"/>
    </row>
    <row r="593" spans="15:15" ht="14.25" customHeight="1" x14ac:dyDescent="0.35">
      <c r="O593" s="1"/>
    </row>
    <row r="594" spans="15:15" ht="14.25" customHeight="1" x14ac:dyDescent="0.35">
      <c r="O594" s="1"/>
    </row>
    <row r="595" spans="15:15" ht="14.25" customHeight="1" x14ac:dyDescent="0.35">
      <c r="O595" s="1"/>
    </row>
    <row r="596" spans="15:15" ht="14.25" customHeight="1" x14ac:dyDescent="0.35">
      <c r="O596" s="1"/>
    </row>
    <row r="597" spans="15:15" ht="14.25" customHeight="1" x14ac:dyDescent="0.35">
      <c r="O597" s="1"/>
    </row>
    <row r="598" spans="15:15" ht="14.25" customHeight="1" x14ac:dyDescent="0.35">
      <c r="O598" s="1"/>
    </row>
    <row r="599" spans="15:15" ht="14.25" customHeight="1" x14ac:dyDescent="0.35">
      <c r="O599" s="1"/>
    </row>
    <row r="600" spans="15:15" ht="14.25" customHeight="1" x14ac:dyDescent="0.35">
      <c r="O600" s="1"/>
    </row>
    <row r="601" spans="15:15" ht="14.25" customHeight="1" x14ac:dyDescent="0.35">
      <c r="O601" s="1"/>
    </row>
    <row r="602" spans="15:15" ht="14.25" customHeight="1" x14ac:dyDescent="0.35">
      <c r="O602" s="1"/>
    </row>
    <row r="603" spans="15:15" ht="14.25" customHeight="1" x14ac:dyDescent="0.35">
      <c r="O603" s="1"/>
    </row>
    <row r="604" spans="15:15" ht="14.25" customHeight="1" x14ac:dyDescent="0.35">
      <c r="O604" s="1"/>
    </row>
    <row r="605" spans="15:15" ht="14.25" customHeight="1" x14ac:dyDescent="0.35">
      <c r="O605" s="1"/>
    </row>
    <row r="606" spans="15:15" ht="14.25" customHeight="1" x14ac:dyDescent="0.35">
      <c r="O606" s="1"/>
    </row>
    <row r="607" spans="15:15" ht="14.25" customHeight="1" x14ac:dyDescent="0.35">
      <c r="O607" s="1"/>
    </row>
    <row r="608" spans="15:15" ht="14.25" customHeight="1" x14ac:dyDescent="0.35">
      <c r="O608" s="1"/>
    </row>
    <row r="609" spans="15:15" ht="14.25" customHeight="1" x14ac:dyDescent="0.35">
      <c r="O609" s="1"/>
    </row>
    <row r="610" spans="15:15" ht="14.25" customHeight="1" x14ac:dyDescent="0.35">
      <c r="O610" s="1"/>
    </row>
    <row r="611" spans="15:15" ht="14.25" customHeight="1" x14ac:dyDescent="0.35">
      <c r="O611" s="1"/>
    </row>
    <row r="612" spans="15:15" ht="14.25" customHeight="1" x14ac:dyDescent="0.35">
      <c r="O612" s="1"/>
    </row>
    <row r="613" spans="15:15" ht="14.25" customHeight="1" x14ac:dyDescent="0.35">
      <c r="O613" s="1"/>
    </row>
    <row r="614" spans="15:15" ht="14.25" customHeight="1" x14ac:dyDescent="0.35">
      <c r="O614" s="1"/>
    </row>
    <row r="615" spans="15:15" ht="14.25" customHeight="1" x14ac:dyDescent="0.35">
      <c r="O615" s="1"/>
    </row>
    <row r="616" spans="15:15" ht="14.25" customHeight="1" x14ac:dyDescent="0.35">
      <c r="O616" s="1"/>
    </row>
    <row r="617" spans="15:15" ht="14.25" customHeight="1" x14ac:dyDescent="0.35">
      <c r="O617" s="1"/>
    </row>
    <row r="618" spans="15:15" ht="14.25" customHeight="1" x14ac:dyDescent="0.35">
      <c r="O618" s="1"/>
    </row>
    <row r="619" spans="15:15" ht="14.25" customHeight="1" x14ac:dyDescent="0.35">
      <c r="O619" s="1"/>
    </row>
    <row r="620" spans="15:15" ht="14.25" customHeight="1" x14ac:dyDescent="0.35">
      <c r="O620" s="1"/>
    </row>
    <row r="621" spans="15:15" ht="14.25" customHeight="1" x14ac:dyDescent="0.35">
      <c r="O621" s="1"/>
    </row>
    <row r="622" spans="15:15" ht="14.25" customHeight="1" x14ac:dyDescent="0.35">
      <c r="O622" s="1"/>
    </row>
    <row r="623" spans="15:15" ht="14.25" customHeight="1" x14ac:dyDescent="0.35">
      <c r="O623" s="1"/>
    </row>
    <row r="624" spans="15:15" ht="14.25" customHeight="1" x14ac:dyDescent="0.35">
      <c r="O624" s="1"/>
    </row>
    <row r="625" spans="15:15" ht="14.25" customHeight="1" x14ac:dyDescent="0.35">
      <c r="O625" s="1"/>
    </row>
    <row r="626" spans="15:15" ht="14.25" customHeight="1" x14ac:dyDescent="0.35">
      <c r="O626" s="1"/>
    </row>
    <row r="627" spans="15:15" ht="14.25" customHeight="1" x14ac:dyDescent="0.35">
      <c r="O627" s="1"/>
    </row>
    <row r="628" spans="15:15" ht="14.25" customHeight="1" x14ac:dyDescent="0.35">
      <c r="O628" s="1"/>
    </row>
    <row r="629" spans="15:15" ht="14.25" customHeight="1" x14ac:dyDescent="0.35">
      <c r="O629" s="1"/>
    </row>
    <row r="630" spans="15:15" ht="14.25" customHeight="1" x14ac:dyDescent="0.35">
      <c r="O630" s="1"/>
    </row>
    <row r="631" spans="15:15" ht="14.25" customHeight="1" x14ac:dyDescent="0.35">
      <c r="O631" s="1"/>
    </row>
    <row r="632" spans="15:15" ht="14.25" customHeight="1" x14ac:dyDescent="0.35">
      <c r="O632" s="1"/>
    </row>
    <row r="633" spans="15:15" ht="14.25" customHeight="1" x14ac:dyDescent="0.35">
      <c r="O633" s="1"/>
    </row>
    <row r="634" spans="15:15" ht="14.25" customHeight="1" x14ac:dyDescent="0.35">
      <c r="O634" s="1"/>
    </row>
    <row r="635" spans="15:15" ht="14.25" customHeight="1" x14ac:dyDescent="0.35">
      <c r="O635" s="1"/>
    </row>
    <row r="636" spans="15:15" ht="14.25" customHeight="1" x14ac:dyDescent="0.35">
      <c r="O636" s="1"/>
    </row>
    <row r="637" spans="15:15" ht="14.25" customHeight="1" x14ac:dyDescent="0.35">
      <c r="O637" s="1"/>
    </row>
    <row r="638" spans="15:15" ht="14.25" customHeight="1" x14ac:dyDescent="0.35">
      <c r="O638" s="1"/>
    </row>
    <row r="639" spans="15:15" ht="14.25" customHeight="1" x14ac:dyDescent="0.35">
      <c r="O639" s="1"/>
    </row>
    <row r="640" spans="15:15" ht="14.25" customHeight="1" x14ac:dyDescent="0.35">
      <c r="O640" s="1"/>
    </row>
    <row r="641" spans="15:15" ht="14.25" customHeight="1" x14ac:dyDescent="0.35">
      <c r="O641" s="1"/>
    </row>
    <row r="642" spans="15:15" ht="14.25" customHeight="1" x14ac:dyDescent="0.35">
      <c r="O642" s="1"/>
    </row>
    <row r="643" spans="15:15" ht="14.25" customHeight="1" x14ac:dyDescent="0.35">
      <c r="O643" s="1"/>
    </row>
    <row r="644" spans="15:15" ht="14.25" customHeight="1" x14ac:dyDescent="0.35">
      <c r="O644" s="1"/>
    </row>
    <row r="645" spans="15:15" ht="14.25" customHeight="1" x14ac:dyDescent="0.35">
      <c r="O645" s="1"/>
    </row>
    <row r="646" spans="15:15" ht="14.25" customHeight="1" x14ac:dyDescent="0.35">
      <c r="O646" s="1"/>
    </row>
    <row r="647" spans="15:15" ht="14.25" customHeight="1" x14ac:dyDescent="0.35">
      <c r="O647" s="1"/>
    </row>
    <row r="648" spans="15:15" ht="14.25" customHeight="1" x14ac:dyDescent="0.35">
      <c r="O648" s="1"/>
    </row>
    <row r="649" spans="15:15" ht="14.25" customHeight="1" x14ac:dyDescent="0.35">
      <c r="O649" s="1"/>
    </row>
    <row r="650" spans="15:15" ht="14.25" customHeight="1" x14ac:dyDescent="0.35">
      <c r="O650" s="1"/>
    </row>
    <row r="651" spans="15:15" ht="14.25" customHeight="1" x14ac:dyDescent="0.35">
      <c r="O651" s="1"/>
    </row>
    <row r="652" spans="15:15" ht="14.25" customHeight="1" x14ac:dyDescent="0.35">
      <c r="O652" s="1"/>
    </row>
    <row r="653" spans="15:15" ht="14.25" customHeight="1" x14ac:dyDescent="0.35">
      <c r="O653" s="1"/>
    </row>
    <row r="654" spans="15:15" ht="14.25" customHeight="1" x14ac:dyDescent="0.35">
      <c r="O654" s="1"/>
    </row>
    <row r="655" spans="15:15" ht="14.25" customHeight="1" x14ac:dyDescent="0.35">
      <c r="O655" s="1"/>
    </row>
    <row r="656" spans="15:15" ht="14.25" customHeight="1" x14ac:dyDescent="0.35">
      <c r="O656" s="1"/>
    </row>
    <row r="657" spans="15:15" ht="14.25" customHeight="1" x14ac:dyDescent="0.35">
      <c r="O657" s="1"/>
    </row>
    <row r="658" spans="15:15" ht="14.25" customHeight="1" x14ac:dyDescent="0.35">
      <c r="O658" s="1"/>
    </row>
    <row r="659" spans="15:15" ht="14.25" customHeight="1" x14ac:dyDescent="0.35">
      <c r="O659" s="1"/>
    </row>
    <row r="660" spans="15:15" ht="14.25" customHeight="1" x14ac:dyDescent="0.35">
      <c r="O660" s="1"/>
    </row>
    <row r="661" spans="15:15" ht="14.25" customHeight="1" x14ac:dyDescent="0.35">
      <c r="O661" s="1"/>
    </row>
    <row r="662" spans="15:15" ht="14.25" customHeight="1" x14ac:dyDescent="0.35">
      <c r="O662" s="1"/>
    </row>
    <row r="663" spans="15:15" ht="14.25" customHeight="1" x14ac:dyDescent="0.35">
      <c r="O663" s="1"/>
    </row>
    <row r="664" spans="15:15" ht="14.25" customHeight="1" x14ac:dyDescent="0.35">
      <c r="O664" s="1"/>
    </row>
    <row r="665" spans="15:15" ht="14.25" customHeight="1" x14ac:dyDescent="0.35">
      <c r="O665" s="1"/>
    </row>
    <row r="666" spans="15:15" ht="14.25" customHeight="1" x14ac:dyDescent="0.35">
      <c r="O666" s="1"/>
    </row>
    <row r="667" spans="15:15" ht="14.25" customHeight="1" x14ac:dyDescent="0.35">
      <c r="O667" s="1"/>
    </row>
    <row r="668" spans="15:15" ht="14.25" customHeight="1" x14ac:dyDescent="0.35">
      <c r="O668" s="1"/>
    </row>
    <row r="669" spans="15:15" ht="14.25" customHeight="1" x14ac:dyDescent="0.35">
      <c r="O669" s="1"/>
    </row>
    <row r="670" spans="15:15" ht="14.25" customHeight="1" x14ac:dyDescent="0.35">
      <c r="O670" s="1"/>
    </row>
    <row r="671" spans="15:15" ht="14.25" customHeight="1" x14ac:dyDescent="0.35">
      <c r="O671" s="1"/>
    </row>
    <row r="672" spans="15:15" ht="14.25" customHeight="1" x14ac:dyDescent="0.35">
      <c r="O672" s="1"/>
    </row>
    <row r="673" spans="15:15" ht="14.25" customHeight="1" x14ac:dyDescent="0.35">
      <c r="O673" s="1"/>
    </row>
    <row r="674" spans="15:15" ht="14.25" customHeight="1" x14ac:dyDescent="0.35">
      <c r="O674" s="1"/>
    </row>
    <row r="675" spans="15:15" ht="14.25" customHeight="1" x14ac:dyDescent="0.35">
      <c r="O675" s="1"/>
    </row>
    <row r="676" spans="15:15" ht="14.25" customHeight="1" x14ac:dyDescent="0.35">
      <c r="O676" s="1"/>
    </row>
    <row r="677" spans="15:15" ht="14.25" customHeight="1" x14ac:dyDescent="0.35">
      <c r="O677" s="1"/>
    </row>
    <row r="678" spans="15:15" ht="14.25" customHeight="1" x14ac:dyDescent="0.35">
      <c r="O678" s="1"/>
    </row>
    <row r="679" spans="15:15" ht="14.25" customHeight="1" x14ac:dyDescent="0.35">
      <c r="O679" s="1"/>
    </row>
    <row r="680" spans="15:15" ht="14.25" customHeight="1" x14ac:dyDescent="0.35">
      <c r="O680" s="1"/>
    </row>
    <row r="681" spans="15:15" ht="14.25" customHeight="1" x14ac:dyDescent="0.35">
      <c r="O681" s="1"/>
    </row>
    <row r="682" spans="15:15" ht="14.25" customHeight="1" x14ac:dyDescent="0.35">
      <c r="O682" s="1"/>
    </row>
    <row r="683" spans="15:15" ht="14.25" customHeight="1" x14ac:dyDescent="0.35">
      <c r="O683" s="1"/>
    </row>
    <row r="684" spans="15:15" ht="14.25" customHeight="1" x14ac:dyDescent="0.35">
      <c r="O684" s="1"/>
    </row>
    <row r="685" spans="15:15" ht="14.25" customHeight="1" x14ac:dyDescent="0.35">
      <c r="O685" s="1"/>
    </row>
    <row r="686" spans="15:15" ht="14.25" customHeight="1" x14ac:dyDescent="0.35">
      <c r="O686" s="1"/>
    </row>
    <row r="687" spans="15:15" ht="14.25" customHeight="1" x14ac:dyDescent="0.35">
      <c r="O687" s="1"/>
    </row>
    <row r="688" spans="15:15" ht="14.25" customHeight="1" x14ac:dyDescent="0.35">
      <c r="O688" s="1"/>
    </row>
    <row r="689" spans="15:15" ht="14.25" customHeight="1" x14ac:dyDescent="0.35">
      <c r="O689" s="1"/>
    </row>
    <row r="690" spans="15:15" ht="14.25" customHeight="1" x14ac:dyDescent="0.35">
      <c r="O690" s="1"/>
    </row>
    <row r="691" spans="15:15" ht="14.25" customHeight="1" x14ac:dyDescent="0.35">
      <c r="O691" s="1"/>
    </row>
    <row r="692" spans="15:15" ht="14.25" customHeight="1" x14ac:dyDescent="0.35">
      <c r="O692" s="1"/>
    </row>
    <row r="693" spans="15:15" ht="14.25" customHeight="1" x14ac:dyDescent="0.35">
      <c r="O693" s="1"/>
    </row>
    <row r="694" spans="15:15" ht="14.25" customHeight="1" x14ac:dyDescent="0.35">
      <c r="O694" s="1"/>
    </row>
    <row r="695" spans="15:15" ht="14.25" customHeight="1" x14ac:dyDescent="0.35">
      <c r="O695" s="1"/>
    </row>
    <row r="696" spans="15:15" ht="14.25" customHeight="1" x14ac:dyDescent="0.35">
      <c r="O696" s="1"/>
    </row>
    <row r="697" spans="15:15" ht="14.25" customHeight="1" x14ac:dyDescent="0.35">
      <c r="O697" s="1"/>
    </row>
    <row r="698" spans="15:15" ht="14.25" customHeight="1" x14ac:dyDescent="0.35">
      <c r="O698" s="1"/>
    </row>
    <row r="699" spans="15:15" ht="14.25" customHeight="1" x14ac:dyDescent="0.35">
      <c r="O699" s="1"/>
    </row>
    <row r="700" spans="15:15" ht="14.25" customHeight="1" x14ac:dyDescent="0.35">
      <c r="O700" s="1"/>
    </row>
    <row r="701" spans="15:15" ht="14.25" customHeight="1" x14ac:dyDescent="0.35">
      <c r="O701" s="1"/>
    </row>
    <row r="702" spans="15:15" ht="14.25" customHeight="1" x14ac:dyDescent="0.35">
      <c r="O702" s="1"/>
    </row>
    <row r="703" spans="15:15" ht="14.25" customHeight="1" x14ac:dyDescent="0.35">
      <c r="O703" s="1"/>
    </row>
    <row r="704" spans="15:15" ht="14.25" customHeight="1" x14ac:dyDescent="0.35">
      <c r="O704" s="1"/>
    </row>
    <row r="705" spans="15:15" ht="14.25" customHeight="1" x14ac:dyDescent="0.35">
      <c r="O705" s="1"/>
    </row>
    <row r="706" spans="15:15" ht="14.25" customHeight="1" x14ac:dyDescent="0.35">
      <c r="O706" s="1"/>
    </row>
    <row r="707" spans="15:15" ht="14.25" customHeight="1" x14ac:dyDescent="0.35">
      <c r="O707" s="1"/>
    </row>
    <row r="708" spans="15:15" ht="14.25" customHeight="1" x14ac:dyDescent="0.35">
      <c r="O708" s="1"/>
    </row>
    <row r="709" spans="15:15" ht="14.25" customHeight="1" x14ac:dyDescent="0.35">
      <c r="O709" s="1"/>
    </row>
    <row r="710" spans="15:15" ht="14.25" customHeight="1" x14ac:dyDescent="0.35">
      <c r="O710" s="1"/>
    </row>
    <row r="711" spans="15:15" ht="14.25" customHeight="1" x14ac:dyDescent="0.35">
      <c r="O711" s="1"/>
    </row>
    <row r="712" spans="15:15" ht="14.25" customHeight="1" x14ac:dyDescent="0.35">
      <c r="O712" s="1"/>
    </row>
    <row r="713" spans="15:15" ht="14.25" customHeight="1" x14ac:dyDescent="0.35">
      <c r="O713" s="1"/>
    </row>
    <row r="714" spans="15:15" ht="14.25" customHeight="1" x14ac:dyDescent="0.35">
      <c r="O714" s="1"/>
    </row>
    <row r="715" spans="15:15" ht="14.25" customHeight="1" x14ac:dyDescent="0.35">
      <c r="O715" s="1"/>
    </row>
    <row r="716" spans="15:15" ht="14.25" customHeight="1" x14ac:dyDescent="0.35">
      <c r="O716" s="1"/>
    </row>
    <row r="717" spans="15:15" ht="14.25" customHeight="1" x14ac:dyDescent="0.35">
      <c r="O717" s="1"/>
    </row>
    <row r="718" spans="15:15" ht="14.25" customHeight="1" x14ac:dyDescent="0.35">
      <c r="O718" s="1"/>
    </row>
    <row r="719" spans="15:15" ht="14.25" customHeight="1" x14ac:dyDescent="0.35">
      <c r="O719" s="1"/>
    </row>
    <row r="720" spans="15:15" ht="14.25" customHeight="1" x14ac:dyDescent="0.35">
      <c r="O720" s="1"/>
    </row>
    <row r="721" spans="15:15" ht="14.25" customHeight="1" x14ac:dyDescent="0.35">
      <c r="O721" s="1"/>
    </row>
    <row r="722" spans="15:15" ht="14.25" customHeight="1" x14ac:dyDescent="0.35">
      <c r="O722" s="1"/>
    </row>
    <row r="723" spans="15:15" ht="14.25" customHeight="1" x14ac:dyDescent="0.35">
      <c r="O723" s="1"/>
    </row>
    <row r="724" spans="15:15" ht="14.25" customHeight="1" x14ac:dyDescent="0.35">
      <c r="O724" s="1"/>
    </row>
    <row r="725" spans="15:15" ht="14.25" customHeight="1" x14ac:dyDescent="0.35">
      <c r="O725" s="1"/>
    </row>
    <row r="726" spans="15:15" ht="14.25" customHeight="1" x14ac:dyDescent="0.35">
      <c r="O726" s="1"/>
    </row>
    <row r="727" spans="15:15" ht="14.25" customHeight="1" x14ac:dyDescent="0.35">
      <c r="O727" s="1"/>
    </row>
    <row r="728" spans="15:15" ht="14.25" customHeight="1" x14ac:dyDescent="0.35">
      <c r="O728" s="1"/>
    </row>
    <row r="729" spans="15:15" ht="14.25" customHeight="1" x14ac:dyDescent="0.35">
      <c r="O729" s="1"/>
    </row>
    <row r="730" spans="15:15" ht="14.25" customHeight="1" x14ac:dyDescent="0.35">
      <c r="O730" s="1"/>
    </row>
    <row r="731" spans="15:15" ht="14.25" customHeight="1" x14ac:dyDescent="0.35">
      <c r="O731" s="1"/>
    </row>
    <row r="732" spans="15:15" ht="14.25" customHeight="1" x14ac:dyDescent="0.35">
      <c r="O732" s="1"/>
    </row>
    <row r="733" spans="15:15" ht="14.25" customHeight="1" x14ac:dyDescent="0.35">
      <c r="O733" s="1"/>
    </row>
    <row r="734" spans="15:15" ht="14.25" customHeight="1" x14ac:dyDescent="0.35">
      <c r="O734" s="1"/>
    </row>
    <row r="735" spans="15:15" ht="14.25" customHeight="1" x14ac:dyDescent="0.35">
      <c r="O735" s="1"/>
    </row>
    <row r="736" spans="15:15" ht="14.25" customHeight="1" x14ac:dyDescent="0.35">
      <c r="O736" s="1"/>
    </row>
    <row r="737" spans="15:15" ht="14.25" customHeight="1" x14ac:dyDescent="0.35">
      <c r="O737" s="1"/>
    </row>
    <row r="738" spans="15:15" ht="14.25" customHeight="1" x14ac:dyDescent="0.35">
      <c r="O738" s="1"/>
    </row>
    <row r="739" spans="15:15" ht="14.25" customHeight="1" x14ac:dyDescent="0.35">
      <c r="O739" s="1"/>
    </row>
    <row r="740" spans="15:15" ht="14.25" customHeight="1" x14ac:dyDescent="0.35">
      <c r="O740" s="1"/>
    </row>
    <row r="741" spans="15:15" ht="14.25" customHeight="1" x14ac:dyDescent="0.35">
      <c r="O741" s="1"/>
    </row>
    <row r="742" spans="15:15" ht="14.25" customHeight="1" x14ac:dyDescent="0.35">
      <c r="O742" s="1"/>
    </row>
    <row r="743" spans="15:15" ht="14.25" customHeight="1" x14ac:dyDescent="0.35">
      <c r="O743" s="1"/>
    </row>
    <row r="744" spans="15:15" ht="14.25" customHeight="1" x14ac:dyDescent="0.35">
      <c r="O744" s="1"/>
    </row>
    <row r="745" spans="15:15" ht="14.25" customHeight="1" x14ac:dyDescent="0.35">
      <c r="O745" s="1"/>
    </row>
    <row r="746" spans="15:15" ht="14.25" customHeight="1" x14ac:dyDescent="0.35">
      <c r="O746" s="1"/>
    </row>
    <row r="747" spans="15:15" ht="14.25" customHeight="1" x14ac:dyDescent="0.35">
      <c r="O747" s="1"/>
    </row>
    <row r="748" spans="15:15" ht="14.25" customHeight="1" x14ac:dyDescent="0.35">
      <c r="O748" s="1"/>
    </row>
    <row r="749" spans="15:15" ht="14.25" customHeight="1" x14ac:dyDescent="0.35">
      <c r="O749" s="1"/>
    </row>
    <row r="750" spans="15:15" ht="14.25" customHeight="1" x14ac:dyDescent="0.35">
      <c r="O750" s="1"/>
    </row>
    <row r="751" spans="15:15" ht="14.25" customHeight="1" x14ac:dyDescent="0.35">
      <c r="O751" s="1"/>
    </row>
    <row r="752" spans="15:15" ht="14.25" customHeight="1" x14ac:dyDescent="0.35">
      <c r="O752" s="1"/>
    </row>
    <row r="753" spans="15:15" ht="14.25" customHeight="1" x14ac:dyDescent="0.35">
      <c r="O753" s="1"/>
    </row>
    <row r="754" spans="15:15" ht="14.25" customHeight="1" x14ac:dyDescent="0.35">
      <c r="O754" s="1"/>
    </row>
    <row r="755" spans="15:15" ht="14.25" customHeight="1" x14ac:dyDescent="0.35">
      <c r="O755" s="1"/>
    </row>
    <row r="756" spans="15:15" ht="14.25" customHeight="1" x14ac:dyDescent="0.35">
      <c r="O756" s="1"/>
    </row>
    <row r="757" spans="15:15" ht="14.25" customHeight="1" x14ac:dyDescent="0.35">
      <c r="O757" s="1"/>
    </row>
    <row r="758" spans="15:15" ht="14.25" customHeight="1" x14ac:dyDescent="0.35">
      <c r="O758" s="1"/>
    </row>
    <row r="759" spans="15:15" ht="14.25" customHeight="1" x14ac:dyDescent="0.35">
      <c r="O759" s="1"/>
    </row>
    <row r="760" spans="15:15" ht="14.25" customHeight="1" x14ac:dyDescent="0.35">
      <c r="O760" s="1"/>
    </row>
    <row r="761" spans="15:15" ht="14.25" customHeight="1" x14ac:dyDescent="0.35">
      <c r="O761" s="1"/>
    </row>
    <row r="762" spans="15:15" ht="14.25" customHeight="1" x14ac:dyDescent="0.35">
      <c r="O762" s="1"/>
    </row>
    <row r="763" spans="15:15" ht="14.25" customHeight="1" x14ac:dyDescent="0.35">
      <c r="O763" s="1"/>
    </row>
    <row r="764" spans="15:15" ht="14.25" customHeight="1" x14ac:dyDescent="0.35">
      <c r="O764" s="1"/>
    </row>
    <row r="765" spans="15:15" ht="14.25" customHeight="1" x14ac:dyDescent="0.35">
      <c r="O765" s="1"/>
    </row>
    <row r="766" spans="15:15" ht="14.25" customHeight="1" x14ac:dyDescent="0.35">
      <c r="O766" s="1"/>
    </row>
    <row r="767" spans="15:15" ht="14.25" customHeight="1" x14ac:dyDescent="0.35">
      <c r="O767" s="1"/>
    </row>
    <row r="768" spans="15:15" ht="14.25" customHeight="1" x14ac:dyDescent="0.35">
      <c r="O768" s="1"/>
    </row>
    <row r="769" spans="15:15" ht="14.25" customHeight="1" x14ac:dyDescent="0.35">
      <c r="O769" s="1"/>
    </row>
    <row r="770" spans="15:15" ht="14.25" customHeight="1" x14ac:dyDescent="0.35">
      <c r="O770" s="1"/>
    </row>
    <row r="771" spans="15:15" ht="14.25" customHeight="1" x14ac:dyDescent="0.35">
      <c r="O771" s="1"/>
    </row>
    <row r="772" spans="15:15" ht="14.25" customHeight="1" x14ac:dyDescent="0.35">
      <c r="O772" s="1"/>
    </row>
    <row r="773" spans="15:15" ht="14.25" customHeight="1" x14ac:dyDescent="0.35">
      <c r="O773" s="1"/>
    </row>
    <row r="774" spans="15:15" ht="14.25" customHeight="1" x14ac:dyDescent="0.35">
      <c r="O774" s="1"/>
    </row>
    <row r="775" spans="15:15" ht="14.25" customHeight="1" x14ac:dyDescent="0.35">
      <c r="O775" s="1"/>
    </row>
    <row r="776" spans="15:15" ht="14.25" customHeight="1" x14ac:dyDescent="0.35">
      <c r="O776" s="1"/>
    </row>
    <row r="777" spans="15:15" ht="14.25" customHeight="1" x14ac:dyDescent="0.35">
      <c r="O777" s="1"/>
    </row>
    <row r="778" spans="15:15" ht="14.25" customHeight="1" x14ac:dyDescent="0.35">
      <c r="O778" s="1"/>
    </row>
    <row r="779" spans="15:15" ht="14.25" customHeight="1" x14ac:dyDescent="0.35">
      <c r="O779" s="1"/>
    </row>
    <row r="780" spans="15:15" ht="14.25" customHeight="1" x14ac:dyDescent="0.35">
      <c r="O780" s="1"/>
    </row>
    <row r="781" spans="15:15" ht="14.25" customHeight="1" x14ac:dyDescent="0.35">
      <c r="O781" s="1"/>
    </row>
    <row r="782" spans="15:15" ht="14.25" customHeight="1" x14ac:dyDescent="0.35">
      <c r="O782" s="1"/>
    </row>
    <row r="783" spans="15:15" ht="14.25" customHeight="1" x14ac:dyDescent="0.35">
      <c r="O783" s="1"/>
    </row>
    <row r="784" spans="15:15" ht="14.25" customHeight="1" x14ac:dyDescent="0.35">
      <c r="O784" s="1"/>
    </row>
    <row r="785" spans="15:15" ht="14.25" customHeight="1" x14ac:dyDescent="0.35">
      <c r="O785" s="1"/>
    </row>
    <row r="786" spans="15:15" ht="14.25" customHeight="1" x14ac:dyDescent="0.35">
      <c r="O786" s="1"/>
    </row>
    <row r="787" spans="15:15" ht="14.25" customHeight="1" x14ac:dyDescent="0.35">
      <c r="O787" s="1"/>
    </row>
    <row r="788" spans="15:15" ht="14.25" customHeight="1" x14ac:dyDescent="0.35">
      <c r="O788" s="1"/>
    </row>
    <row r="789" spans="15:15" ht="14.25" customHeight="1" x14ac:dyDescent="0.35">
      <c r="O789" s="1"/>
    </row>
    <row r="790" spans="15:15" ht="14.25" customHeight="1" x14ac:dyDescent="0.35">
      <c r="O790" s="1"/>
    </row>
    <row r="791" spans="15:15" ht="14.25" customHeight="1" x14ac:dyDescent="0.35">
      <c r="O791" s="1"/>
    </row>
    <row r="792" spans="15:15" ht="14.25" customHeight="1" x14ac:dyDescent="0.35">
      <c r="O792" s="1"/>
    </row>
    <row r="793" spans="15:15" ht="14.25" customHeight="1" x14ac:dyDescent="0.35">
      <c r="O793" s="1"/>
    </row>
    <row r="794" spans="15:15" ht="14.25" customHeight="1" x14ac:dyDescent="0.35">
      <c r="O794" s="1"/>
    </row>
    <row r="795" spans="15:15" ht="14.25" customHeight="1" x14ac:dyDescent="0.35">
      <c r="O795" s="1"/>
    </row>
    <row r="796" spans="15:15" ht="14.25" customHeight="1" x14ac:dyDescent="0.35">
      <c r="O796" s="1"/>
    </row>
    <row r="797" spans="15:15" ht="14.25" customHeight="1" x14ac:dyDescent="0.35">
      <c r="O797" s="1"/>
    </row>
    <row r="798" spans="15:15" ht="14.25" customHeight="1" x14ac:dyDescent="0.35">
      <c r="O798" s="1"/>
    </row>
    <row r="799" spans="15:15" ht="14.25" customHeight="1" x14ac:dyDescent="0.35">
      <c r="O799" s="1"/>
    </row>
    <row r="800" spans="15:15" ht="14.25" customHeight="1" x14ac:dyDescent="0.35">
      <c r="O800" s="1"/>
    </row>
    <row r="801" spans="15:15" ht="14.25" customHeight="1" x14ac:dyDescent="0.35">
      <c r="O801" s="1"/>
    </row>
    <row r="802" spans="15:15" ht="14.25" customHeight="1" x14ac:dyDescent="0.35">
      <c r="O802" s="1"/>
    </row>
    <row r="803" spans="15:15" ht="14.25" customHeight="1" x14ac:dyDescent="0.35">
      <c r="O803" s="1"/>
    </row>
    <row r="804" spans="15:15" ht="14.25" customHeight="1" x14ac:dyDescent="0.35">
      <c r="O804" s="1"/>
    </row>
    <row r="805" spans="15:15" ht="14.25" customHeight="1" x14ac:dyDescent="0.35">
      <c r="O805" s="1"/>
    </row>
    <row r="806" spans="15:15" ht="14.25" customHeight="1" x14ac:dyDescent="0.35">
      <c r="O806" s="1"/>
    </row>
    <row r="807" spans="15:15" ht="14.25" customHeight="1" x14ac:dyDescent="0.35">
      <c r="O807" s="1"/>
    </row>
    <row r="808" spans="15:15" ht="14.25" customHeight="1" x14ac:dyDescent="0.35">
      <c r="O808" s="1"/>
    </row>
    <row r="809" spans="15:15" ht="14.25" customHeight="1" x14ac:dyDescent="0.35">
      <c r="O809" s="1"/>
    </row>
    <row r="810" spans="15:15" ht="14.25" customHeight="1" x14ac:dyDescent="0.35">
      <c r="O810" s="1"/>
    </row>
    <row r="811" spans="15:15" ht="14.25" customHeight="1" x14ac:dyDescent="0.35">
      <c r="O811" s="1"/>
    </row>
    <row r="812" spans="15:15" ht="14.25" customHeight="1" x14ac:dyDescent="0.35">
      <c r="O812" s="1"/>
    </row>
    <row r="813" spans="15:15" ht="14.25" customHeight="1" x14ac:dyDescent="0.35">
      <c r="O813" s="1"/>
    </row>
    <row r="814" spans="15:15" ht="14.25" customHeight="1" x14ac:dyDescent="0.35">
      <c r="O814" s="1"/>
    </row>
    <row r="815" spans="15:15" ht="14.25" customHeight="1" x14ac:dyDescent="0.35">
      <c r="O815" s="1"/>
    </row>
    <row r="816" spans="15:15" ht="14.25" customHeight="1" x14ac:dyDescent="0.35">
      <c r="O816" s="1"/>
    </row>
    <row r="817" spans="15:15" ht="14.25" customHeight="1" x14ac:dyDescent="0.35">
      <c r="O817" s="1"/>
    </row>
    <row r="818" spans="15:15" ht="14.25" customHeight="1" x14ac:dyDescent="0.35">
      <c r="O818" s="1"/>
    </row>
    <row r="819" spans="15:15" ht="14.25" customHeight="1" x14ac:dyDescent="0.35">
      <c r="O819" s="1"/>
    </row>
    <row r="820" spans="15:15" ht="14.25" customHeight="1" x14ac:dyDescent="0.35">
      <c r="O820" s="1"/>
    </row>
    <row r="821" spans="15:15" ht="14.25" customHeight="1" x14ac:dyDescent="0.35">
      <c r="O821" s="1"/>
    </row>
    <row r="822" spans="15:15" ht="14.25" customHeight="1" x14ac:dyDescent="0.35">
      <c r="O822" s="1"/>
    </row>
    <row r="823" spans="15:15" ht="14.25" customHeight="1" x14ac:dyDescent="0.35">
      <c r="O823" s="1"/>
    </row>
    <row r="824" spans="15:15" ht="14.25" customHeight="1" x14ac:dyDescent="0.35">
      <c r="O824" s="1"/>
    </row>
    <row r="825" spans="15:15" ht="14.25" customHeight="1" x14ac:dyDescent="0.35">
      <c r="O825" s="1"/>
    </row>
    <row r="826" spans="15:15" ht="14.25" customHeight="1" x14ac:dyDescent="0.35">
      <c r="O826" s="1"/>
    </row>
    <row r="827" spans="15:15" ht="14.25" customHeight="1" x14ac:dyDescent="0.35">
      <c r="O827" s="1"/>
    </row>
    <row r="828" spans="15:15" ht="14.25" customHeight="1" x14ac:dyDescent="0.35">
      <c r="O828" s="1"/>
    </row>
    <row r="829" spans="15:15" ht="14.25" customHeight="1" x14ac:dyDescent="0.35">
      <c r="O829" s="1"/>
    </row>
    <row r="830" spans="15:15" ht="14.25" customHeight="1" x14ac:dyDescent="0.35">
      <c r="O830" s="1"/>
    </row>
    <row r="831" spans="15:15" ht="14.25" customHeight="1" x14ac:dyDescent="0.35">
      <c r="O831" s="1"/>
    </row>
    <row r="832" spans="15:15" ht="14.25" customHeight="1" x14ac:dyDescent="0.35">
      <c r="O832" s="1"/>
    </row>
    <row r="833" spans="15:15" ht="14.25" customHeight="1" x14ac:dyDescent="0.35">
      <c r="O833" s="1"/>
    </row>
    <row r="834" spans="15:15" ht="14.25" customHeight="1" x14ac:dyDescent="0.35">
      <c r="O834" s="1"/>
    </row>
    <row r="835" spans="15:15" ht="14.25" customHeight="1" x14ac:dyDescent="0.35">
      <c r="O835" s="1"/>
    </row>
    <row r="836" spans="15:15" ht="14.25" customHeight="1" x14ac:dyDescent="0.35">
      <c r="O836" s="1"/>
    </row>
    <row r="837" spans="15:15" ht="14.25" customHeight="1" x14ac:dyDescent="0.35">
      <c r="O837" s="1"/>
    </row>
    <row r="838" spans="15:15" ht="14.25" customHeight="1" x14ac:dyDescent="0.35">
      <c r="O838" s="1"/>
    </row>
    <row r="839" spans="15:15" ht="14.25" customHeight="1" x14ac:dyDescent="0.35">
      <c r="O839" s="1"/>
    </row>
    <row r="840" spans="15:15" ht="14.25" customHeight="1" x14ac:dyDescent="0.35">
      <c r="O840" s="1"/>
    </row>
    <row r="841" spans="15:15" ht="14.25" customHeight="1" x14ac:dyDescent="0.35">
      <c r="O841" s="1"/>
    </row>
    <row r="842" spans="15:15" ht="14.25" customHeight="1" x14ac:dyDescent="0.35">
      <c r="O842" s="1"/>
    </row>
    <row r="843" spans="15:15" ht="14.25" customHeight="1" x14ac:dyDescent="0.35">
      <c r="O843" s="1"/>
    </row>
    <row r="844" spans="15:15" ht="14.25" customHeight="1" x14ac:dyDescent="0.35">
      <c r="O844" s="1"/>
    </row>
    <row r="845" spans="15:15" ht="14.25" customHeight="1" x14ac:dyDescent="0.35">
      <c r="O845" s="1"/>
    </row>
    <row r="846" spans="15:15" ht="14.25" customHeight="1" x14ac:dyDescent="0.35">
      <c r="O846" s="1"/>
    </row>
    <row r="847" spans="15:15" ht="14.25" customHeight="1" x14ac:dyDescent="0.35">
      <c r="O847" s="1"/>
    </row>
    <row r="848" spans="15:15" ht="14.25" customHeight="1" x14ac:dyDescent="0.35">
      <c r="O848" s="1"/>
    </row>
    <row r="849" spans="15:15" ht="14.25" customHeight="1" x14ac:dyDescent="0.35">
      <c r="O849" s="1"/>
    </row>
    <row r="850" spans="15:15" ht="14.25" customHeight="1" x14ac:dyDescent="0.35">
      <c r="O850" s="1"/>
    </row>
    <row r="851" spans="15:15" ht="14.25" customHeight="1" x14ac:dyDescent="0.35">
      <c r="O851" s="1"/>
    </row>
    <row r="852" spans="15:15" ht="14.25" customHeight="1" x14ac:dyDescent="0.35">
      <c r="O852" s="1"/>
    </row>
    <row r="853" spans="15:15" ht="14.25" customHeight="1" x14ac:dyDescent="0.35">
      <c r="O853" s="1"/>
    </row>
    <row r="854" spans="15:15" ht="14.25" customHeight="1" x14ac:dyDescent="0.35">
      <c r="O854" s="1"/>
    </row>
    <row r="855" spans="15:15" ht="14.25" customHeight="1" x14ac:dyDescent="0.35">
      <c r="O855" s="1"/>
    </row>
    <row r="856" spans="15:15" ht="14.25" customHeight="1" x14ac:dyDescent="0.35">
      <c r="O856" s="1"/>
    </row>
    <row r="857" spans="15:15" ht="14.25" customHeight="1" x14ac:dyDescent="0.35">
      <c r="O857" s="1"/>
    </row>
    <row r="858" spans="15:15" ht="14.25" customHeight="1" x14ac:dyDescent="0.35">
      <c r="O858" s="1"/>
    </row>
    <row r="859" spans="15:15" ht="14.25" customHeight="1" x14ac:dyDescent="0.35">
      <c r="O859" s="1"/>
    </row>
    <row r="860" spans="15:15" ht="14.25" customHeight="1" x14ac:dyDescent="0.35">
      <c r="O860" s="1"/>
    </row>
    <row r="861" spans="15:15" ht="14.25" customHeight="1" x14ac:dyDescent="0.35">
      <c r="O861" s="1"/>
    </row>
    <row r="862" spans="15:15" ht="14.25" customHeight="1" x14ac:dyDescent="0.35">
      <c r="O862" s="1"/>
    </row>
    <row r="863" spans="15:15" ht="14.25" customHeight="1" x14ac:dyDescent="0.35">
      <c r="O863" s="1"/>
    </row>
    <row r="864" spans="15:15" ht="14.25" customHeight="1" x14ac:dyDescent="0.35">
      <c r="O864" s="1"/>
    </row>
    <row r="865" spans="15:15" ht="14.25" customHeight="1" x14ac:dyDescent="0.35">
      <c r="O865" s="1"/>
    </row>
    <row r="866" spans="15:15" ht="14.25" customHeight="1" x14ac:dyDescent="0.35">
      <c r="O866" s="1"/>
    </row>
    <row r="867" spans="15:15" ht="14.25" customHeight="1" x14ac:dyDescent="0.35">
      <c r="O867" s="1"/>
    </row>
    <row r="868" spans="15:15" ht="14.25" customHeight="1" x14ac:dyDescent="0.35">
      <c r="O868" s="1"/>
    </row>
    <row r="869" spans="15:15" ht="14.25" customHeight="1" x14ac:dyDescent="0.35">
      <c r="O869" s="1"/>
    </row>
    <row r="870" spans="15:15" ht="14.25" customHeight="1" x14ac:dyDescent="0.35">
      <c r="O870" s="1"/>
    </row>
    <row r="871" spans="15:15" ht="14.25" customHeight="1" x14ac:dyDescent="0.35">
      <c r="O871" s="1"/>
    </row>
    <row r="872" spans="15:15" ht="14.25" customHeight="1" x14ac:dyDescent="0.35">
      <c r="O872" s="1"/>
    </row>
    <row r="873" spans="15:15" ht="14.25" customHeight="1" x14ac:dyDescent="0.35">
      <c r="O873" s="1"/>
    </row>
    <row r="874" spans="15:15" ht="14.25" customHeight="1" x14ac:dyDescent="0.35">
      <c r="O874" s="1"/>
    </row>
    <row r="875" spans="15:15" ht="14.25" customHeight="1" x14ac:dyDescent="0.35">
      <c r="O875" s="1"/>
    </row>
    <row r="876" spans="15:15" ht="14.25" customHeight="1" x14ac:dyDescent="0.35">
      <c r="O876" s="1"/>
    </row>
    <row r="877" spans="15:15" ht="14.25" customHeight="1" x14ac:dyDescent="0.35">
      <c r="O877" s="1"/>
    </row>
    <row r="878" spans="15:15" ht="14.25" customHeight="1" x14ac:dyDescent="0.35">
      <c r="O878" s="1"/>
    </row>
    <row r="879" spans="15:15" ht="14.25" customHeight="1" x14ac:dyDescent="0.35">
      <c r="O879" s="1"/>
    </row>
    <row r="880" spans="15:15" ht="14.25" customHeight="1" x14ac:dyDescent="0.35">
      <c r="O880" s="1"/>
    </row>
    <row r="881" spans="15:15" ht="14.25" customHeight="1" x14ac:dyDescent="0.35">
      <c r="O881" s="1"/>
    </row>
    <row r="882" spans="15:15" ht="14.25" customHeight="1" x14ac:dyDescent="0.35">
      <c r="O882" s="1"/>
    </row>
    <row r="883" spans="15:15" ht="14.25" customHeight="1" x14ac:dyDescent="0.35">
      <c r="O883" s="1"/>
    </row>
    <row r="884" spans="15:15" ht="14.25" customHeight="1" x14ac:dyDescent="0.35">
      <c r="O884" s="1"/>
    </row>
    <row r="885" spans="15:15" ht="14.25" customHeight="1" x14ac:dyDescent="0.35">
      <c r="O885" s="1"/>
    </row>
    <row r="886" spans="15:15" ht="14.25" customHeight="1" x14ac:dyDescent="0.35">
      <c r="O886" s="1"/>
    </row>
    <row r="887" spans="15:15" ht="14.25" customHeight="1" x14ac:dyDescent="0.35">
      <c r="O887" s="1"/>
    </row>
    <row r="888" spans="15:15" ht="14.25" customHeight="1" x14ac:dyDescent="0.35">
      <c r="O888" s="1"/>
    </row>
    <row r="889" spans="15:15" ht="14.25" customHeight="1" x14ac:dyDescent="0.35">
      <c r="O889" s="1"/>
    </row>
    <row r="890" spans="15:15" ht="14.25" customHeight="1" x14ac:dyDescent="0.35">
      <c r="O890" s="1"/>
    </row>
    <row r="891" spans="15:15" ht="14.25" customHeight="1" x14ac:dyDescent="0.35">
      <c r="O891" s="1"/>
    </row>
    <row r="892" spans="15:15" ht="14.25" customHeight="1" x14ac:dyDescent="0.35">
      <c r="O892" s="1"/>
    </row>
    <row r="893" spans="15:15" ht="14.25" customHeight="1" x14ac:dyDescent="0.35">
      <c r="O893" s="1"/>
    </row>
    <row r="894" spans="15:15" ht="14.25" customHeight="1" x14ac:dyDescent="0.35">
      <c r="O894" s="1"/>
    </row>
    <row r="895" spans="15:15" ht="14.25" customHeight="1" x14ac:dyDescent="0.35">
      <c r="O895" s="1"/>
    </row>
    <row r="896" spans="15:15" ht="14.25" customHeight="1" x14ac:dyDescent="0.35">
      <c r="O896" s="1"/>
    </row>
    <row r="897" spans="15:15" ht="14.25" customHeight="1" x14ac:dyDescent="0.35">
      <c r="O897" s="1"/>
    </row>
    <row r="898" spans="15:15" ht="14.25" customHeight="1" x14ac:dyDescent="0.35">
      <c r="O898" s="1"/>
    </row>
    <row r="899" spans="15:15" ht="14.25" customHeight="1" x14ac:dyDescent="0.35">
      <c r="O899" s="1"/>
    </row>
    <row r="900" spans="15:15" ht="14.25" customHeight="1" x14ac:dyDescent="0.35">
      <c r="O900" s="1"/>
    </row>
    <row r="901" spans="15:15" ht="14.25" customHeight="1" x14ac:dyDescent="0.35">
      <c r="O901" s="1"/>
    </row>
    <row r="902" spans="15:15" ht="14.25" customHeight="1" x14ac:dyDescent="0.35">
      <c r="O902" s="1"/>
    </row>
    <row r="903" spans="15:15" ht="14.25" customHeight="1" x14ac:dyDescent="0.35">
      <c r="O903" s="1"/>
    </row>
    <row r="904" spans="15:15" ht="14.25" customHeight="1" x14ac:dyDescent="0.35">
      <c r="O904" s="1"/>
    </row>
    <row r="905" spans="15:15" ht="14.25" customHeight="1" x14ac:dyDescent="0.35">
      <c r="O905" s="1"/>
    </row>
    <row r="906" spans="15:15" ht="14.25" customHeight="1" x14ac:dyDescent="0.35">
      <c r="O906" s="1"/>
    </row>
    <row r="907" spans="15:15" ht="14.25" customHeight="1" x14ac:dyDescent="0.35">
      <c r="O907" s="1"/>
    </row>
    <row r="908" spans="15:15" ht="14.25" customHeight="1" x14ac:dyDescent="0.35">
      <c r="O908" s="1"/>
    </row>
    <row r="909" spans="15:15" ht="14.25" customHeight="1" x14ac:dyDescent="0.35">
      <c r="O909" s="1"/>
    </row>
    <row r="910" spans="15:15" ht="14.25" customHeight="1" x14ac:dyDescent="0.35">
      <c r="O910" s="1"/>
    </row>
    <row r="911" spans="15:15" ht="14.25" customHeight="1" x14ac:dyDescent="0.35">
      <c r="O911" s="1"/>
    </row>
    <row r="912" spans="15:15" ht="14.25" customHeight="1" x14ac:dyDescent="0.35">
      <c r="O912" s="1"/>
    </row>
    <row r="913" spans="15:15" ht="14.25" customHeight="1" x14ac:dyDescent="0.35">
      <c r="O913" s="1"/>
    </row>
    <row r="914" spans="15:15" ht="14.25" customHeight="1" x14ac:dyDescent="0.35">
      <c r="O914" s="1"/>
    </row>
    <row r="915" spans="15:15" ht="14.25" customHeight="1" x14ac:dyDescent="0.35">
      <c r="O915" s="1"/>
    </row>
    <row r="916" spans="15:15" ht="14.25" customHeight="1" x14ac:dyDescent="0.35">
      <c r="O916" s="1"/>
    </row>
    <row r="917" spans="15:15" ht="14.25" customHeight="1" x14ac:dyDescent="0.35">
      <c r="O917" s="1"/>
    </row>
    <row r="918" spans="15:15" ht="14.25" customHeight="1" x14ac:dyDescent="0.35">
      <c r="O918" s="1"/>
    </row>
    <row r="919" spans="15:15" ht="14.25" customHeight="1" x14ac:dyDescent="0.35">
      <c r="O919" s="1"/>
    </row>
    <row r="920" spans="15:15" ht="14.25" customHeight="1" x14ac:dyDescent="0.35">
      <c r="O920" s="1"/>
    </row>
    <row r="921" spans="15:15" ht="14.25" customHeight="1" x14ac:dyDescent="0.35">
      <c r="O921" s="1"/>
    </row>
    <row r="922" spans="15:15" ht="14.25" customHeight="1" x14ac:dyDescent="0.35">
      <c r="O922" s="1"/>
    </row>
    <row r="923" spans="15:15" ht="14.25" customHeight="1" x14ac:dyDescent="0.35">
      <c r="O923" s="1"/>
    </row>
    <row r="924" spans="15:15" ht="14.25" customHeight="1" x14ac:dyDescent="0.35">
      <c r="O924" s="1"/>
    </row>
    <row r="925" spans="15:15" ht="14.25" customHeight="1" x14ac:dyDescent="0.35">
      <c r="O925" s="1"/>
    </row>
    <row r="926" spans="15:15" ht="14.25" customHeight="1" x14ac:dyDescent="0.35">
      <c r="O926" s="1"/>
    </row>
    <row r="927" spans="15:15" ht="14.25" customHeight="1" x14ac:dyDescent="0.35">
      <c r="O927" s="1"/>
    </row>
    <row r="928" spans="15:15" ht="14.25" customHeight="1" x14ac:dyDescent="0.35">
      <c r="O928" s="1"/>
    </row>
    <row r="929" spans="15:15" ht="14.25" customHeight="1" x14ac:dyDescent="0.35">
      <c r="O929" s="1"/>
    </row>
    <row r="930" spans="15:15" ht="14.25" customHeight="1" x14ac:dyDescent="0.35">
      <c r="O930" s="1"/>
    </row>
    <row r="931" spans="15:15" ht="14.25" customHeight="1" x14ac:dyDescent="0.35">
      <c r="O931" s="1"/>
    </row>
    <row r="932" spans="15:15" ht="14.25" customHeight="1" x14ac:dyDescent="0.35">
      <c r="O932" s="1"/>
    </row>
    <row r="933" spans="15:15" ht="14.25" customHeight="1" x14ac:dyDescent="0.35">
      <c r="O933" s="1"/>
    </row>
    <row r="934" spans="15:15" ht="14.25" customHeight="1" x14ac:dyDescent="0.35">
      <c r="O934" s="1"/>
    </row>
    <row r="935" spans="15:15" ht="14.25" customHeight="1" x14ac:dyDescent="0.35">
      <c r="O935" s="1"/>
    </row>
    <row r="936" spans="15:15" ht="14.25" customHeight="1" x14ac:dyDescent="0.35">
      <c r="O936" s="1"/>
    </row>
    <row r="937" spans="15:15" ht="14.25" customHeight="1" x14ac:dyDescent="0.35">
      <c r="O937" s="1"/>
    </row>
    <row r="938" spans="15:15" ht="14.25" customHeight="1" x14ac:dyDescent="0.35">
      <c r="O938" s="1"/>
    </row>
    <row r="939" spans="15:15" ht="14.25" customHeight="1" x14ac:dyDescent="0.35">
      <c r="O939" s="1"/>
    </row>
    <row r="940" spans="15:15" ht="14.25" customHeight="1" x14ac:dyDescent="0.35">
      <c r="O940" s="1"/>
    </row>
    <row r="941" spans="15:15" ht="14.25" customHeight="1" x14ac:dyDescent="0.35">
      <c r="O941" s="1"/>
    </row>
    <row r="942" spans="15:15" ht="14.25" customHeight="1" x14ac:dyDescent="0.35">
      <c r="O942" s="1"/>
    </row>
    <row r="943" spans="15:15" ht="14.25" customHeight="1" x14ac:dyDescent="0.35">
      <c r="O943" s="1"/>
    </row>
    <row r="944" spans="15:15" ht="14.25" customHeight="1" x14ac:dyDescent="0.35">
      <c r="O944" s="1"/>
    </row>
    <row r="945" spans="15:15" ht="14.25" customHeight="1" x14ac:dyDescent="0.35">
      <c r="O945" s="1"/>
    </row>
    <row r="946" spans="15:15" ht="14.25" customHeight="1" x14ac:dyDescent="0.35">
      <c r="O946" s="1"/>
    </row>
    <row r="947" spans="15:15" ht="14.25" customHeight="1" x14ac:dyDescent="0.35">
      <c r="O947" s="1"/>
    </row>
    <row r="948" spans="15:15" ht="14.25" customHeight="1" x14ac:dyDescent="0.35">
      <c r="O948" s="1"/>
    </row>
    <row r="949" spans="15:15" ht="14.25" customHeight="1" x14ac:dyDescent="0.35">
      <c r="O949" s="1"/>
    </row>
    <row r="950" spans="15:15" ht="14.25" customHeight="1" x14ac:dyDescent="0.35">
      <c r="O950" s="1"/>
    </row>
    <row r="951" spans="15:15" ht="14.25" customHeight="1" x14ac:dyDescent="0.35">
      <c r="O951" s="1"/>
    </row>
    <row r="952" spans="15:15" ht="14.25" customHeight="1" x14ac:dyDescent="0.35">
      <c r="O952" s="1"/>
    </row>
    <row r="953" spans="15:15" ht="14.25" customHeight="1" x14ac:dyDescent="0.35">
      <c r="O953" s="1"/>
    </row>
    <row r="954" spans="15:15" ht="14.25" customHeight="1" x14ac:dyDescent="0.35">
      <c r="O954" s="1"/>
    </row>
    <row r="955" spans="15:15" ht="14.25" customHeight="1" x14ac:dyDescent="0.35">
      <c r="O955" s="1"/>
    </row>
    <row r="956" spans="15:15" ht="14.25" customHeight="1" x14ac:dyDescent="0.35">
      <c r="O956" s="1"/>
    </row>
    <row r="957" spans="15:15" ht="14.25" customHeight="1" x14ac:dyDescent="0.35">
      <c r="O957" s="1"/>
    </row>
    <row r="958" spans="15:15" ht="14.25" customHeight="1" x14ac:dyDescent="0.35">
      <c r="O958" s="1"/>
    </row>
    <row r="959" spans="15:15" ht="14.25" customHeight="1" x14ac:dyDescent="0.35">
      <c r="O959" s="1"/>
    </row>
    <row r="960" spans="15:15" ht="14.25" customHeight="1" x14ac:dyDescent="0.35">
      <c r="O960" s="1"/>
    </row>
    <row r="961" spans="15:15" ht="14.25" customHeight="1" x14ac:dyDescent="0.35">
      <c r="O961" s="1"/>
    </row>
    <row r="962" spans="15:15" ht="14.25" customHeight="1" x14ac:dyDescent="0.35">
      <c r="O962" s="1"/>
    </row>
    <row r="963" spans="15:15" ht="14.25" customHeight="1" x14ac:dyDescent="0.35">
      <c r="O963" s="1"/>
    </row>
    <row r="964" spans="15:15" ht="14.25" customHeight="1" x14ac:dyDescent="0.35">
      <c r="O964" s="1"/>
    </row>
    <row r="965" spans="15:15" ht="14.25" customHeight="1" x14ac:dyDescent="0.35">
      <c r="O965" s="1"/>
    </row>
    <row r="966" spans="15:15" ht="14.25" customHeight="1" x14ac:dyDescent="0.35">
      <c r="O966" s="1"/>
    </row>
    <row r="967" spans="15:15" ht="14.25" customHeight="1" x14ac:dyDescent="0.35">
      <c r="O967" s="1"/>
    </row>
    <row r="968" spans="15:15" ht="14.25" customHeight="1" x14ac:dyDescent="0.35">
      <c r="O968" s="1"/>
    </row>
    <row r="969" spans="15:15" ht="14.25" customHeight="1" x14ac:dyDescent="0.35">
      <c r="O969" s="1"/>
    </row>
    <row r="970" spans="15:15" ht="14.25" customHeight="1" x14ac:dyDescent="0.35">
      <c r="O970" s="1"/>
    </row>
    <row r="971" spans="15:15" ht="14.25" customHeight="1" x14ac:dyDescent="0.35">
      <c r="O971" s="1"/>
    </row>
    <row r="972" spans="15:15" ht="14.25" customHeight="1" x14ac:dyDescent="0.35">
      <c r="O972" s="1"/>
    </row>
    <row r="973" spans="15:15" ht="14.25" customHeight="1" x14ac:dyDescent="0.35">
      <c r="O973" s="1"/>
    </row>
    <row r="974" spans="15:15" ht="14.25" customHeight="1" x14ac:dyDescent="0.35">
      <c r="O974" s="1"/>
    </row>
    <row r="975" spans="15:15" ht="14.25" customHeight="1" x14ac:dyDescent="0.35">
      <c r="O975" s="1"/>
    </row>
    <row r="976" spans="15:15" ht="14.25" customHeight="1" x14ac:dyDescent="0.35">
      <c r="O976" s="1"/>
    </row>
    <row r="977" spans="15:15" ht="14.25" customHeight="1" x14ac:dyDescent="0.35">
      <c r="O977" s="1"/>
    </row>
    <row r="978" spans="15:15" ht="14.25" customHeight="1" x14ac:dyDescent="0.35">
      <c r="O978" s="1"/>
    </row>
    <row r="979" spans="15:15" ht="14.25" customHeight="1" x14ac:dyDescent="0.35">
      <c r="O979" s="1"/>
    </row>
    <row r="980" spans="15:15" ht="14.25" customHeight="1" x14ac:dyDescent="0.35">
      <c r="O980" s="1"/>
    </row>
    <row r="981" spans="15:15" ht="14.25" customHeight="1" x14ac:dyDescent="0.35">
      <c r="O981" s="1"/>
    </row>
    <row r="982" spans="15:15" ht="14.25" customHeight="1" x14ac:dyDescent="0.35">
      <c r="O982" s="1"/>
    </row>
    <row r="983" spans="15:15" ht="14.25" customHeight="1" x14ac:dyDescent="0.35">
      <c r="O983" s="1"/>
    </row>
    <row r="984" spans="15:15" ht="14.25" customHeight="1" x14ac:dyDescent="0.35">
      <c r="O984" s="1"/>
    </row>
    <row r="985" spans="15:15" ht="14.25" customHeight="1" x14ac:dyDescent="0.35">
      <c r="O985" s="1"/>
    </row>
    <row r="986" spans="15:15" ht="14.25" customHeight="1" x14ac:dyDescent="0.35">
      <c r="O986" s="1"/>
    </row>
    <row r="987" spans="15:15" ht="14.25" customHeight="1" x14ac:dyDescent="0.35">
      <c r="O987" s="1"/>
    </row>
    <row r="988" spans="15:15" ht="14.25" customHeight="1" x14ac:dyDescent="0.35">
      <c r="O988" s="1"/>
    </row>
    <row r="989" spans="15:15" ht="14.25" customHeight="1" x14ac:dyDescent="0.35">
      <c r="O989" s="1"/>
    </row>
    <row r="990" spans="15:15" ht="14.25" customHeight="1" x14ac:dyDescent="0.35">
      <c r="O990" s="1"/>
    </row>
    <row r="991" spans="15:15" ht="14.25" customHeight="1" x14ac:dyDescent="0.35">
      <c r="O991" s="1"/>
    </row>
    <row r="992" spans="15:15" ht="14.25" customHeight="1" x14ac:dyDescent="0.35">
      <c r="O992" s="1"/>
    </row>
    <row r="993" spans="15:15" ht="14.25" customHeight="1" x14ac:dyDescent="0.35">
      <c r="O993" s="1"/>
    </row>
    <row r="994" spans="15:15" ht="14.25" customHeight="1" x14ac:dyDescent="0.35">
      <c r="O994" s="1"/>
    </row>
    <row r="995" spans="15:15" ht="14.25" customHeight="1" x14ac:dyDescent="0.35">
      <c r="O995" s="1"/>
    </row>
    <row r="996" spans="15:15" ht="14.25" customHeight="1" x14ac:dyDescent="0.35">
      <c r="O996" s="1"/>
    </row>
    <row r="997" spans="15:15" ht="14.25" customHeight="1" x14ac:dyDescent="0.35">
      <c r="O997" s="1"/>
    </row>
    <row r="998" spans="15:15" ht="14.25" customHeight="1" x14ac:dyDescent="0.35">
      <c r="O998" s="1"/>
    </row>
    <row r="999" spans="15:15" ht="14.25" customHeight="1" x14ac:dyDescent="0.35">
      <c r="O999" s="1"/>
    </row>
    <row r="1000" spans="15:15" ht="14.25" customHeight="1" x14ac:dyDescent="0.35">
      <c r="O1000" s="1"/>
    </row>
  </sheetData>
  <mergeCells count="16">
    <mergeCell ref="B21:B23"/>
    <mergeCell ref="B24:B25"/>
    <mergeCell ref="B8:C8"/>
    <mergeCell ref="I8:J8"/>
    <mergeCell ref="B9:C9"/>
    <mergeCell ref="I9:J9"/>
    <mergeCell ref="F11:K11"/>
    <mergeCell ref="B13:B20"/>
    <mergeCell ref="C13:C16"/>
    <mergeCell ref="C17:C19"/>
    <mergeCell ref="B7:C7"/>
    <mergeCell ref="B2:C2"/>
    <mergeCell ref="B3:C3"/>
    <mergeCell ref="B4:C4"/>
    <mergeCell ref="B5:C5"/>
    <mergeCell ref="B6:C6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9DE5-F027-4EA2-9C7C-15192F980DEF}">
  <sheetPr>
    <tabColor rgb="FFE2EFD9"/>
  </sheetPr>
  <dimension ref="B1:P1000"/>
  <sheetViews>
    <sheetView topLeftCell="A11" zoomScale="70" zoomScaleNormal="70" workbookViewId="0">
      <selection activeCell="K26" sqref="K26:K28"/>
    </sheetView>
  </sheetViews>
  <sheetFormatPr defaultColWidth="14.453125" defaultRowHeight="15" customHeight="1" x14ac:dyDescent="0.35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 thickBot="1" x14ac:dyDescent="0.4">
      <c r="O1" s="1"/>
    </row>
    <row r="2" spans="2:16" ht="14.25" customHeight="1" x14ac:dyDescent="0.45">
      <c r="B2" s="199" t="s">
        <v>0</v>
      </c>
      <c r="C2" s="200"/>
      <c r="D2" s="2" t="s">
        <v>1</v>
      </c>
      <c r="E2" s="3"/>
      <c r="I2" s="4"/>
      <c r="O2" s="1"/>
    </row>
    <row r="3" spans="2:16" ht="14.25" customHeight="1" x14ac:dyDescent="0.45">
      <c r="B3" s="198" t="s">
        <v>2</v>
      </c>
      <c r="C3" s="186"/>
      <c r="D3" s="5">
        <f ca="1">TODAY()</f>
        <v>45853</v>
      </c>
      <c r="I3" s="4"/>
      <c r="O3" s="1"/>
    </row>
    <row r="4" spans="2:16" ht="14.25" customHeight="1" x14ac:dyDescent="0.45">
      <c r="B4" s="198" t="s">
        <v>3</v>
      </c>
      <c r="C4" s="186"/>
      <c r="D4" s="6">
        <v>3</v>
      </c>
      <c r="E4" s="3"/>
      <c r="O4" s="1"/>
    </row>
    <row r="5" spans="2:16" ht="14.25" customHeight="1" x14ac:dyDescent="0.45">
      <c r="B5" s="198" t="s">
        <v>4</v>
      </c>
      <c r="C5" s="186"/>
      <c r="D5" s="7">
        <v>0.1</v>
      </c>
      <c r="E5" s="3"/>
      <c r="O5" s="1"/>
    </row>
    <row r="6" spans="2:16" ht="14.25" customHeight="1" x14ac:dyDescent="0.45">
      <c r="B6" s="198" t="s">
        <v>5</v>
      </c>
      <c r="C6" s="186"/>
      <c r="D6" s="8">
        <v>0.05</v>
      </c>
      <c r="E6" s="3"/>
      <c r="O6" s="1"/>
    </row>
    <row r="7" spans="2:16" ht="14.25" customHeight="1" x14ac:dyDescent="0.45">
      <c r="B7" s="198" t="s">
        <v>6</v>
      </c>
      <c r="C7" s="186"/>
      <c r="D7" s="9">
        <v>40000</v>
      </c>
      <c r="E7" s="3"/>
      <c r="O7" s="10"/>
      <c r="P7" s="11"/>
    </row>
    <row r="8" spans="2:16" ht="14.25" customHeight="1" x14ac:dyDescent="0.45">
      <c r="B8" s="185"/>
      <c r="C8" s="186"/>
      <c r="D8" s="12"/>
      <c r="E8" s="3"/>
      <c r="I8" s="187"/>
      <c r="J8" s="186"/>
      <c r="K8" s="13"/>
      <c r="O8" s="10"/>
      <c r="P8" s="11"/>
    </row>
    <row r="9" spans="2:16" ht="14.25" customHeight="1" thickBot="1" x14ac:dyDescent="0.5">
      <c r="B9" s="188" t="s">
        <v>7</v>
      </c>
      <c r="C9" s="189"/>
      <c r="D9" s="14">
        <v>200000</v>
      </c>
      <c r="E9" s="3"/>
      <c r="F9" s="15"/>
      <c r="G9" s="16"/>
      <c r="H9" s="16"/>
      <c r="I9" s="187"/>
      <c r="J9" s="186"/>
      <c r="K9" s="17"/>
      <c r="O9" s="1"/>
      <c r="P9" s="11"/>
    </row>
    <row r="10" spans="2:16" ht="14.25" customHeight="1" thickBot="1" x14ac:dyDescent="0.4">
      <c r="O10" s="1"/>
      <c r="P10" s="11"/>
    </row>
    <row r="11" spans="2:16" ht="43.5" customHeight="1" thickBot="1" x14ac:dyDescent="0.4">
      <c r="B11" s="4"/>
      <c r="C11" s="4"/>
      <c r="D11" s="4"/>
      <c r="E11" s="4"/>
      <c r="F11" s="190" t="s">
        <v>8</v>
      </c>
      <c r="G11" s="191"/>
      <c r="H11" s="191"/>
      <c r="I11" s="191"/>
      <c r="J11" s="191"/>
      <c r="K11" s="192"/>
      <c r="O11" s="1"/>
    </row>
    <row r="12" spans="2:16" ht="49.5" customHeight="1" thickBot="1" x14ac:dyDescent="0.4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 x14ac:dyDescent="0.35">
      <c r="B13" s="193" t="s">
        <v>19</v>
      </c>
      <c r="C13" s="194" t="s">
        <v>20</v>
      </c>
      <c r="D13" s="24" t="s">
        <v>20</v>
      </c>
      <c r="E13" s="25" t="s">
        <v>21</v>
      </c>
      <c r="F13" s="26">
        <f>'Hardware List-BLE'!D31</f>
        <v>3946800</v>
      </c>
      <c r="G13" s="27"/>
      <c r="H13" s="28">
        <f>F13</f>
        <v>3946800</v>
      </c>
      <c r="I13" s="29">
        <v>0.25</v>
      </c>
      <c r="J13" s="30">
        <f>H13/(1-I13)</f>
        <v>5262400</v>
      </c>
      <c r="K13" s="28">
        <f t="shared" ref="K13:K15" si="0">H13/(1-I13)</f>
        <v>5262400</v>
      </c>
      <c r="O13" s="1"/>
    </row>
    <row r="14" spans="2:16" ht="18" customHeight="1" x14ac:dyDescent="0.35">
      <c r="B14" s="182"/>
      <c r="C14" s="195"/>
      <c r="D14" s="31" t="s">
        <v>22</v>
      </c>
      <c r="E14" s="32" t="s">
        <v>21</v>
      </c>
      <c r="F14" s="33">
        <v>0</v>
      </c>
      <c r="G14" s="27"/>
      <c r="H14" s="34">
        <v>0</v>
      </c>
      <c r="I14" s="29">
        <v>0.25</v>
      </c>
      <c r="J14" s="30">
        <f t="shared" ref="J14" si="1">H14/(1-I14)</f>
        <v>0</v>
      </c>
      <c r="K14" s="34">
        <f t="shared" si="0"/>
        <v>0</v>
      </c>
      <c r="O14" s="1"/>
    </row>
    <row r="15" spans="2:16" ht="18" customHeight="1" x14ac:dyDescent="0.35">
      <c r="B15" s="182"/>
      <c r="C15" s="195"/>
      <c r="D15" s="35" t="s">
        <v>23</v>
      </c>
      <c r="E15" s="36" t="s">
        <v>21</v>
      </c>
      <c r="F15" s="34">
        <f>(SUM(F13:F14)*$D$6)</f>
        <v>197340</v>
      </c>
      <c r="G15" s="37"/>
      <c r="H15" s="34">
        <f>(SUM(H13:H14)*$D$6)</f>
        <v>197340</v>
      </c>
      <c r="I15" s="29">
        <v>0.25</v>
      </c>
      <c r="J15" s="30">
        <f>H15/(1-I15)</f>
        <v>263120</v>
      </c>
      <c r="K15" s="34">
        <f t="shared" si="0"/>
        <v>263120</v>
      </c>
      <c r="O15" s="1"/>
    </row>
    <row r="16" spans="2:16" ht="18" customHeight="1" x14ac:dyDescent="0.35">
      <c r="B16" s="182"/>
      <c r="C16" s="196"/>
      <c r="D16" s="38" t="s">
        <v>24</v>
      </c>
      <c r="E16" s="39"/>
      <c r="F16" s="38"/>
      <c r="G16" s="38"/>
      <c r="H16" s="40">
        <f>SUM(H13:H15)</f>
        <v>4144140</v>
      </c>
      <c r="I16" s="39"/>
      <c r="J16" s="39"/>
      <c r="K16" s="40">
        <f>SUM(K13:K15)</f>
        <v>5525520</v>
      </c>
      <c r="O16" s="1"/>
    </row>
    <row r="17" spans="2:16" ht="18" customHeight="1" x14ac:dyDescent="0.35">
      <c r="B17" s="182"/>
      <c r="C17" s="197" t="s">
        <v>25</v>
      </c>
      <c r="D17" s="35" t="s">
        <v>26</v>
      </c>
      <c r="E17" s="36" t="s">
        <v>21</v>
      </c>
      <c r="F17" s="41">
        <v>800000</v>
      </c>
      <c r="G17" s="37"/>
      <c r="H17" s="34">
        <f t="shared" ref="H17:H18" si="2">F17</f>
        <v>800000</v>
      </c>
      <c r="I17" s="29">
        <v>0.25</v>
      </c>
      <c r="J17" s="30">
        <f t="shared" ref="J17:J18" si="3">H17/(1-I17)</f>
        <v>1066666.6666666667</v>
      </c>
      <c r="K17" s="34">
        <f t="shared" ref="K17:K18" si="4">H17/(1-I17)</f>
        <v>1066666.6666666667</v>
      </c>
      <c r="O17" s="1"/>
    </row>
    <row r="18" spans="2:16" ht="18" customHeight="1" x14ac:dyDescent="0.35">
      <c r="B18" s="182"/>
      <c r="C18" s="195"/>
      <c r="D18" s="43" t="s">
        <v>7</v>
      </c>
      <c r="E18" s="32" t="s">
        <v>21</v>
      </c>
      <c r="F18" s="44">
        <v>0</v>
      </c>
      <c r="G18" s="37"/>
      <c r="H18" s="34">
        <f t="shared" si="2"/>
        <v>0</v>
      </c>
      <c r="I18" s="29">
        <v>0.25</v>
      </c>
      <c r="J18" s="30">
        <f t="shared" si="3"/>
        <v>0</v>
      </c>
      <c r="K18" s="34">
        <f t="shared" si="4"/>
        <v>0</v>
      </c>
      <c r="O18" s="1"/>
    </row>
    <row r="19" spans="2:16" ht="18" customHeight="1" x14ac:dyDescent="0.35">
      <c r="B19" s="182"/>
      <c r="C19" s="196"/>
      <c r="D19" s="38" t="s">
        <v>27</v>
      </c>
      <c r="E19" s="39"/>
      <c r="F19" s="38"/>
      <c r="G19" s="38"/>
      <c r="H19" s="40">
        <f>SUM(H17:H18)</f>
        <v>800000</v>
      </c>
      <c r="I19" s="39"/>
      <c r="J19" s="45"/>
      <c r="K19" s="40">
        <f>SUM(K17:K18)</f>
        <v>1066666.6666666667</v>
      </c>
      <c r="O19" s="1"/>
    </row>
    <row r="20" spans="2:16" ht="18" customHeight="1" x14ac:dyDescent="0.35">
      <c r="B20" s="183"/>
      <c r="D20" s="46"/>
      <c r="E20" s="47"/>
      <c r="F20" s="46"/>
      <c r="G20" s="48" t="s">
        <v>28</v>
      </c>
      <c r="H20" s="49">
        <f>H16+H19</f>
        <v>4944140</v>
      </c>
      <c r="I20" s="50"/>
      <c r="J20" s="51"/>
      <c r="K20" s="49">
        <f>K16+K19</f>
        <v>6592186.666666667</v>
      </c>
      <c r="N20" s="11"/>
      <c r="O20" s="1"/>
      <c r="P20" s="52"/>
    </row>
    <row r="21" spans="2:16" ht="18" customHeight="1" x14ac:dyDescent="0.35">
      <c r="B21" s="181" t="s">
        <v>29</v>
      </c>
      <c r="C21" s="36" t="s">
        <v>30</v>
      </c>
      <c r="D21" s="43" t="s">
        <v>31</v>
      </c>
      <c r="E21" s="32" t="s">
        <v>32</v>
      </c>
      <c r="F21" s="34">
        <v>0</v>
      </c>
      <c r="G21" s="53">
        <f t="shared" ref="G21:G22" si="5">$D$4</f>
        <v>3</v>
      </c>
      <c r="H21" s="34">
        <f>F21</f>
        <v>0</v>
      </c>
      <c r="I21" s="42">
        <v>0</v>
      </c>
      <c r="J21" s="30">
        <f>H21</f>
        <v>0</v>
      </c>
      <c r="K21" s="34">
        <f>J21</f>
        <v>0</v>
      </c>
      <c r="L21" s="52"/>
      <c r="N21" s="11"/>
      <c r="O21" s="1"/>
      <c r="P21" s="52"/>
    </row>
    <row r="22" spans="2:16" ht="18" customHeight="1" x14ac:dyDescent="0.35">
      <c r="B22" s="182"/>
      <c r="C22" s="36" t="s">
        <v>33</v>
      </c>
      <c r="D22" s="54" t="s">
        <v>34</v>
      </c>
      <c r="E22" s="32" t="s">
        <v>32</v>
      </c>
      <c r="F22" s="34">
        <f>D7*12</f>
        <v>480000</v>
      </c>
      <c r="G22" s="53">
        <f t="shared" si="5"/>
        <v>3</v>
      </c>
      <c r="H22" s="34">
        <f>F22*G22</f>
        <v>1440000</v>
      </c>
      <c r="I22" s="42"/>
      <c r="J22" s="55">
        <v>0</v>
      </c>
      <c r="K22" s="34">
        <f>H22</f>
        <v>1440000</v>
      </c>
      <c r="N22" s="11"/>
      <c r="O22" s="1"/>
      <c r="P22" s="52"/>
    </row>
    <row r="23" spans="2:16" ht="18" customHeight="1" x14ac:dyDescent="0.35">
      <c r="B23" s="183"/>
      <c r="D23" s="46"/>
      <c r="E23" s="47"/>
      <c r="F23" s="56"/>
      <c r="G23" s="48" t="s">
        <v>35</v>
      </c>
      <c r="H23" s="49">
        <f>SUM(H21:H22)</f>
        <v>1440000</v>
      </c>
      <c r="I23" s="50"/>
      <c r="J23" s="51"/>
      <c r="K23" s="136">
        <f>SUM(K21:K22)</f>
        <v>1440000</v>
      </c>
      <c r="L23" s="52"/>
      <c r="O23" s="1"/>
    </row>
    <row r="24" spans="2:16" ht="18" customHeight="1" x14ac:dyDescent="0.35">
      <c r="B24" s="184" t="s">
        <v>36</v>
      </c>
      <c r="C24" s="36" t="s">
        <v>36</v>
      </c>
      <c r="D24" s="54" t="s">
        <v>37</v>
      </c>
      <c r="E24" s="32" t="s">
        <v>32</v>
      </c>
      <c r="F24" s="34">
        <f>SUM(F13:F15)*$D$5</f>
        <v>414414</v>
      </c>
      <c r="G24" s="53">
        <f>G21-1</f>
        <v>2</v>
      </c>
      <c r="H24" s="34">
        <f>F24*G24</f>
        <v>828828</v>
      </c>
      <c r="I24" s="29">
        <v>0.25</v>
      </c>
      <c r="J24" s="30">
        <f>H24/(1-I24)</f>
        <v>1105104</v>
      </c>
      <c r="K24" s="34">
        <f>J24</f>
        <v>1105104</v>
      </c>
      <c r="N24" s="11"/>
      <c r="O24" s="1"/>
      <c r="P24" s="52"/>
    </row>
    <row r="25" spans="2:16" ht="18" customHeight="1" x14ac:dyDescent="0.35">
      <c r="B25" s="183"/>
      <c r="C25" s="57" t="s">
        <v>38</v>
      </c>
      <c r="D25" s="46"/>
      <c r="E25" s="46"/>
      <c r="F25" s="46"/>
      <c r="G25" s="48" t="s">
        <v>38</v>
      </c>
      <c r="H25" s="49">
        <f>SUM(H24)</f>
        <v>828828</v>
      </c>
      <c r="I25" s="50"/>
      <c r="J25" s="51"/>
      <c r="K25" s="49">
        <f>K24</f>
        <v>1105104</v>
      </c>
      <c r="O25" s="1"/>
      <c r="P25" s="52"/>
    </row>
    <row r="26" spans="2:16" ht="38.25" customHeight="1" thickBot="1" x14ac:dyDescent="0.4">
      <c r="B26" s="58"/>
      <c r="C26" s="59"/>
      <c r="D26" s="59"/>
      <c r="E26" s="59"/>
      <c r="F26" s="59"/>
      <c r="G26" s="60" t="s">
        <v>142</v>
      </c>
      <c r="H26" s="61">
        <f>H20+H23+H25</f>
        <v>7212968</v>
      </c>
      <c r="I26" s="62">
        <f>1-H26/K26</f>
        <v>0.21060101258316111</v>
      </c>
      <c r="J26" s="63"/>
      <c r="K26" s="61">
        <f>K20+K23+K24</f>
        <v>9137290.6666666679</v>
      </c>
      <c r="O26" s="1"/>
    </row>
    <row r="27" spans="2:16" ht="14.25" customHeight="1" x14ac:dyDescent="0.35">
      <c r="H27" s="52"/>
      <c r="K27">
        <f>'Commercials-Phase II'!K26</f>
        <v>6655040</v>
      </c>
      <c r="O27" s="1"/>
    </row>
    <row r="28" spans="2:16" ht="14.25" customHeight="1" x14ac:dyDescent="0.35">
      <c r="K28">
        <f>'Commercials-Phase I'!K26</f>
        <v>8007706.666666667</v>
      </c>
      <c r="L28" s="11"/>
      <c r="O28" s="1"/>
    </row>
    <row r="29" spans="2:16" ht="14.25" customHeight="1" x14ac:dyDescent="0.35">
      <c r="D29" s="52"/>
      <c r="L29" s="64"/>
      <c r="M29" s="64"/>
      <c r="O29" s="1"/>
    </row>
    <row r="30" spans="2:16" ht="14.25" customHeight="1" x14ac:dyDescent="0.35">
      <c r="L30" s="64"/>
      <c r="M30" s="64"/>
      <c r="O30" s="1"/>
    </row>
    <row r="31" spans="2:16" ht="14.25" customHeight="1" x14ac:dyDescent="0.35">
      <c r="O31" s="1"/>
    </row>
    <row r="32" spans="2:16" ht="14.25" customHeight="1" x14ac:dyDescent="0.35">
      <c r="H32" s="52"/>
      <c r="O32" s="1"/>
    </row>
    <row r="33" spans="15:15" ht="14.25" customHeight="1" x14ac:dyDescent="0.35">
      <c r="O33" s="1"/>
    </row>
    <row r="34" spans="15:15" ht="14.25" customHeight="1" x14ac:dyDescent="0.35">
      <c r="O34" s="1"/>
    </row>
    <row r="35" spans="15:15" ht="14.25" customHeight="1" x14ac:dyDescent="0.35">
      <c r="O35" s="1"/>
    </row>
    <row r="36" spans="15:15" ht="14.25" customHeight="1" x14ac:dyDescent="0.35">
      <c r="O36" s="1"/>
    </row>
    <row r="37" spans="15:15" ht="14.25" customHeight="1" x14ac:dyDescent="0.35">
      <c r="O37" s="1"/>
    </row>
    <row r="38" spans="15:15" ht="14.25" customHeight="1" x14ac:dyDescent="0.35">
      <c r="O38" s="1"/>
    </row>
    <row r="39" spans="15:15" ht="14.25" customHeight="1" x14ac:dyDescent="0.35">
      <c r="O39" s="1"/>
    </row>
    <row r="40" spans="15:15" ht="14.25" customHeight="1" x14ac:dyDescent="0.35">
      <c r="O40" s="1"/>
    </row>
    <row r="41" spans="15:15" ht="14.25" customHeight="1" x14ac:dyDescent="0.35">
      <c r="O41" s="1"/>
    </row>
    <row r="42" spans="15:15" ht="14.25" customHeight="1" x14ac:dyDescent="0.35">
      <c r="O42" s="1"/>
    </row>
    <row r="43" spans="15:15" ht="14.25" customHeight="1" x14ac:dyDescent="0.35">
      <c r="O43" s="1"/>
    </row>
    <row r="44" spans="15:15" ht="14.25" customHeight="1" x14ac:dyDescent="0.35">
      <c r="O44" s="1"/>
    </row>
    <row r="45" spans="15:15" ht="14.25" customHeight="1" x14ac:dyDescent="0.35">
      <c r="O45" s="1"/>
    </row>
    <row r="46" spans="15:15" ht="14.25" customHeight="1" x14ac:dyDescent="0.35">
      <c r="O46" s="1"/>
    </row>
    <row r="47" spans="15:15" ht="14.25" customHeight="1" x14ac:dyDescent="0.35">
      <c r="O47" s="1"/>
    </row>
    <row r="48" spans="15:15" ht="14.25" customHeight="1" x14ac:dyDescent="0.35">
      <c r="O48" s="1"/>
    </row>
    <row r="49" spans="15:15" ht="14.25" customHeight="1" x14ac:dyDescent="0.35">
      <c r="O49" s="1"/>
    </row>
    <row r="50" spans="15:15" ht="14.25" customHeight="1" x14ac:dyDescent="0.35">
      <c r="O50" s="1"/>
    </row>
    <row r="51" spans="15:15" ht="14.25" customHeight="1" x14ac:dyDescent="0.35">
      <c r="O51" s="1"/>
    </row>
    <row r="52" spans="15:15" ht="14.25" customHeight="1" x14ac:dyDescent="0.35">
      <c r="O52" s="1"/>
    </row>
    <row r="53" spans="15:15" ht="14.25" customHeight="1" x14ac:dyDescent="0.35">
      <c r="O53" s="1"/>
    </row>
    <row r="54" spans="15:15" ht="14.25" customHeight="1" x14ac:dyDescent="0.35">
      <c r="O54" s="1"/>
    </row>
    <row r="55" spans="15:15" ht="14.25" customHeight="1" x14ac:dyDescent="0.35">
      <c r="O55" s="1"/>
    </row>
    <row r="56" spans="15:15" ht="14.25" customHeight="1" x14ac:dyDescent="0.35">
      <c r="O56" s="1"/>
    </row>
    <row r="57" spans="15:15" ht="14.25" customHeight="1" x14ac:dyDescent="0.35">
      <c r="O57" s="1"/>
    </row>
    <row r="58" spans="15:15" ht="14.25" customHeight="1" x14ac:dyDescent="0.35">
      <c r="O58" s="1"/>
    </row>
    <row r="59" spans="15:15" ht="14.25" customHeight="1" x14ac:dyDescent="0.35">
      <c r="O59" s="1"/>
    </row>
    <row r="60" spans="15:15" ht="14.25" customHeight="1" x14ac:dyDescent="0.35">
      <c r="O60" s="1"/>
    </row>
    <row r="61" spans="15:15" ht="14.25" customHeight="1" x14ac:dyDescent="0.35">
      <c r="O61" s="1"/>
    </row>
    <row r="62" spans="15:15" ht="14.25" customHeight="1" x14ac:dyDescent="0.35">
      <c r="O62" s="1"/>
    </row>
    <row r="63" spans="15:15" ht="14.25" customHeight="1" x14ac:dyDescent="0.35">
      <c r="O63" s="1"/>
    </row>
    <row r="64" spans="15:15" ht="14.25" customHeight="1" x14ac:dyDescent="0.35">
      <c r="O64" s="1"/>
    </row>
    <row r="65" spans="15:15" ht="14.25" customHeight="1" x14ac:dyDescent="0.35">
      <c r="O65" s="1"/>
    </row>
    <row r="66" spans="15:15" ht="14.25" customHeight="1" x14ac:dyDescent="0.35">
      <c r="O66" s="1"/>
    </row>
    <row r="67" spans="15:15" ht="14.25" customHeight="1" x14ac:dyDescent="0.35">
      <c r="O67" s="1"/>
    </row>
    <row r="68" spans="15:15" ht="14.25" customHeight="1" x14ac:dyDescent="0.35">
      <c r="O68" s="1"/>
    </row>
    <row r="69" spans="15:15" ht="14.25" customHeight="1" x14ac:dyDescent="0.35">
      <c r="O69" s="1"/>
    </row>
    <row r="70" spans="15:15" ht="14.25" customHeight="1" x14ac:dyDescent="0.35">
      <c r="O70" s="1"/>
    </row>
    <row r="71" spans="15:15" ht="14.25" customHeight="1" x14ac:dyDescent="0.35">
      <c r="O71" s="1"/>
    </row>
    <row r="72" spans="15:15" ht="14.25" customHeight="1" x14ac:dyDescent="0.35">
      <c r="O72" s="1"/>
    </row>
    <row r="73" spans="15:15" ht="14.25" customHeight="1" x14ac:dyDescent="0.35">
      <c r="O73" s="1"/>
    </row>
    <row r="74" spans="15:15" ht="14.25" customHeight="1" x14ac:dyDescent="0.35">
      <c r="O74" s="1"/>
    </row>
    <row r="75" spans="15:15" ht="14.25" customHeight="1" x14ac:dyDescent="0.35">
      <c r="O75" s="1"/>
    </row>
    <row r="76" spans="15:15" ht="14.25" customHeight="1" x14ac:dyDescent="0.35">
      <c r="O76" s="1"/>
    </row>
    <row r="77" spans="15:15" ht="14.25" customHeight="1" x14ac:dyDescent="0.35">
      <c r="O77" s="1"/>
    </row>
    <row r="78" spans="15:15" ht="14.25" customHeight="1" x14ac:dyDescent="0.35">
      <c r="O78" s="1"/>
    </row>
    <row r="79" spans="15:15" ht="14.25" customHeight="1" x14ac:dyDescent="0.35">
      <c r="O79" s="1"/>
    </row>
    <row r="80" spans="15:15" ht="14.25" customHeight="1" x14ac:dyDescent="0.35">
      <c r="O80" s="1"/>
    </row>
    <row r="81" spans="15:15" ht="14.25" customHeight="1" x14ac:dyDescent="0.35">
      <c r="O81" s="1"/>
    </row>
    <row r="82" spans="15:15" ht="14.25" customHeight="1" x14ac:dyDescent="0.35">
      <c r="O82" s="1"/>
    </row>
    <row r="83" spans="15:15" ht="14.25" customHeight="1" x14ac:dyDescent="0.35">
      <c r="O83" s="1"/>
    </row>
    <row r="84" spans="15:15" ht="14.25" customHeight="1" x14ac:dyDescent="0.35">
      <c r="O84" s="1"/>
    </row>
    <row r="85" spans="15:15" ht="14.25" customHeight="1" x14ac:dyDescent="0.35">
      <c r="O85" s="1"/>
    </row>
    <row r="86" spans="15:15" ht="14.25" customHeight="1" x14ac:dyDescent="0.35">
      <c r="O86" s="1"/>
    </row>
    <row r="87" spans="15:15" ht="14.25" customHeight="1" x14ac:dyDescent="0.35">
      <c r="O87" s="1"/>
    </row>
    <row r="88" spans="15:15" ht="14.25" customHeight="1" x14ac:dyDescent="0.35">
      <c r="O88" s="1"/>
    </row>
    <row r="89" spans="15:15" ht="14.25" customHeight="1" x14ac:dyDescent="0.35">
      <c r="O89" s="1"/>
    </row>
    <row r="90" spans="15:15" ht="14.25" customHeight="1" x14ac:dyDescent="0.35">
      <c r="O90" s="1"/>
    </row>
    <row r="91" spans="15:15" ht="14.25" customHeight="1" x14ac:dyDescent="0.35">
      <c r="O91" s="1"/>
    </row>
    <row r="92" spans="15:15" ht="14.25" customHeight="1" x14ac:dyDescent="0.35">
      <c r="O92" s="1"/>
    </row>
    <row r="93" spans="15:15" ht="14.25" customHeight="1" x14ac:dyDescent="0.35">
      <c r="O93" s="1"/>
    </row>
    <row r="94" spans="15:15" ht="14.25" customHeight="1" x14ac:dyDescent="0.35">
      <c r="O94" s="1"/>
    </row>
    <row r="95" spans="15:15" ht="14.25" customHeight="1" x14ac:dyDescent="0.35">
      <c r="O95" s="1"/>
    </row>
    <row r="96" spans="15:15" ht="14.25" customHeight="1" x14ac:dyDescent="0.35">
      <c r="O96" s="1"/>
    </row>
    <row r="97" spans="15:15" ht="14.25" customHeight="1" x14ac:dyDescent="0.35">
      <c r="O97" s="1"/>
    </row>
    <row r="98" spans="15:15" ht="14.25" customHeight="1" x14ac:dyDescent="0.35">
      <c r="O98" s="1"/>
    </row>
    <row r="99" spans="15:15" ht="14.25" customHeight="1" x14ac:dyDescent="0.35">
      <c r="O99" s="1"/>
    </row>
    <row r="100" spans="15:15" ht="14.25" customHeight="1" x14ac:dyDescent="0.35">
      <c r="O100" s="1"/>
    </row>
    <row r="101" spans="15:15" ht="14.25" customHeight="1" x14ac:dyDescent="0.35">
      <c r="O101" s="1"/>
    </row>
    <row r="102" spans="15:15" ht="14.25" customHeight="1" x14ac:dyDescent="0.35">
      <c r="O102" s="1"/>
    </row>
    <row r="103" spans="15:15" ht="14.25" customHeight="1" x14ac:dyDescent="0.35">
      <c r="O103" s="1"/>
    </row>
    <row r="104" spans="15:15" ht="14.25" customHeight="1" x14ac:dyDescent="0.35">
      <c r="O104" s="1"/>
    </row>
    <row r="105" spans="15:15" ht="14.25" customHeight="1" x14ac:dyDescent="0.35">
      <c r="O105" s="1"/>
    </row>
    <row r="106" spans="15:15" ht="14.25" customHeight="1" x14ac:dyDescent="0.35">
      <c r="O106" s="1"/>
    </row>
    <row r="107" spans="15:15" ht="14.25" customHeight="1" x14ac:dyDescent="0.35">
      <c r="O107" s="1"/>
    </row>
    <row r="108" spans="15:15" ht="14.25" customHeight="1" x14ac:dyDescent="0.35">
      <c r="O108" s="1"/>
    </row>
    <row r="109" spans="15:15" ht="14.25" customHeight="1" x14ac:dyDescent="0.35">
      <c r="O109" s="1"/>
    </row>
    <row r="110" spans="15:15" ht="14.25" customHeight="1" x14ac:dyDescent="0.35">
      <c r="O110" s="1"/>
    </row>
    <row r="111" spans="15:15" ht="14.25" customHeight="1" x14ac:dyDescent="0.35">
      <c r="O111" s="1"/>
    </row>
    <row r="112" spans="15:15" ht="14.25" customHeight="1" x14ac:dyDescent="0.35">
      <c r="O112" s="1"/>
    </row>
    <row r="113" spans="15:15" ht="14.25" customHeight="1" x14ac:dyDescent="0.35">
      <c r="O113" s="1"/>
    </row>
    <row r="114" spans="15:15" ht="14.25" customHeight="1" x14ac:dyDescent="0.35">
      <c r="O114" s="1"/>
    </row>
    <row r="115" spans="15:15" ht="14.25" customHeight="1" x14ac:dyDescent="0.35">
      <c r="O115" s="1"/>
    </row>
    <row r="116" spans="15:15" ht="14.25" customHeight="1" x14ac:dyDescent="0.35">
      <c r="O116" s="1"/>
    </row>
    <row r="117" spans="15:15" ht="14.25" customHeight="1" x14ac:dyDescent="0.35">
      <c r="O117" s="1"/>
    </row>
    <row r="118" spans="15:15" ht="14.25" customHeight="1" x14ac:dyDescent="0.35">
      <c r="O118" s="1"/>
    </row>
    <row r="119" spans="15:15" ht="14.25" customHeight="1" x14ac:dyDescent="0.35">
      <c r="O119" s="1"/>
    </row>
    <row r="120" spans="15:15" ht="14.25" customHeight="1" x14ac:dyDescent="0.35">
      <c r="O120" s="1"/>
    </row>
    <row r="121" spans="15:15" ht="14.25" customHeight="1" x14ac:dyDescent="0.35">
      <c r="O121" s="1"/>
    </row>
    <row r="122" spans="15:15" ht="14.25" customHeight="1" x14ac:dyDescent="0.35">
      <c r="O122" s="1"/>
    </row>
    <row r="123" spans="15:15" ht="14.25" customHeight="1" x14ac:dyDescent="0.35">
      <c r="O123" s="1"/>
    </row>
    <row r="124" spans="15:15" ht="14.25" customHeight="1" x14ac:dyDescent="0.35">
      <c r="O124" s="1"/>
    </row>
    <row r="125" spans="15:15" ht="14.25" customHeight="1" x14ac:dyDescent="0.35">
      <c r="O125" s="1"/>
    </row>
    <row r="126" spans="15:15" ht="14.25" customHeight="1" x14ac:dyDescent="0.35">
      <c r="O126" s="1"/>
    </row>
    <row r="127" spans="15:15" ht="14.25" customHeight="1" x14ac:dyDescent="0.35">
      <c r="O127" s="1"/>
    </row>
    <row r="128" spans="15:15" ht="14.25" customHeight="1" x14ac:dyDescent="0.35">
      <c r="O128" s="1"/>
    </row>
    <row r="129" spans="15:15" ht="14.25" customHeight="1" x14ac:dyDescent="0.35">
      <c r="O129" s="1"/>
    </row>
    <row r="130" spans="15:15" ht="14.25" customHeight="1" x14ac:dyDescent="0.35">
      <c r="O130" s="1"/>
    </row>
    <row r="131" spans="15:15" ht="14.25" customHeight="1" x14ac:dyDescent="0.35">
      <c r="O131" s="1"/>
    </row>
    <row r="132" spans="15:15" ht="14.25" customHeight="1" x14ac:dyDescent="0.35">
      <c r="O132" s="1"/>
    </row>
    <row r="133" spans="15:15" ht="14.25" customHeight="1" x14ac:dyDescent="0.35">
      <c r="O133" s="1"/>
    </row>
    <row r="134" spans="15:15" ht="14.25" customHeight="1" x14ac:dyDescent="0.35">
      <c r="O134" s="1"/>
    </row>
    <row r="135" spans="15:15" ht="14.25" customHeight="1" x14ac:dyDescent="0.35">
      <c r="O135" s="1"/>
    </row>
    <row r="136" spans="15:15" ht="14.25" customHeight="1" x14ac:dyDescent="0.35">
      <c r="O136" s="1"/>
    </row>
    <row r="137" spans="15:15" ht="14.25" customHeight="1" x14ac:dyDescent="0.35">
      <c r="O137" s="1"/>
    </row>
    <row r="138" spans="15:15" ht="14.25" customHeight="1" x14ac:dyDescent="0.35">
      <c r="O138" s="1"/>
    </row>
    <row r="139" spans="15:15" ht="14.25" customHeight="1" x14ac:dyDescent="0.35">
      <c r="O139" s="1"/>
    </row>
    <row r="140" spans="15:15" ht="14.25" customHeight="1" x14ac:dyDescent="0.35">
      <c r="O140" s="1"/>
    </row>
    <row r="141" spans="15:15" ht="14.25" customHeight="1" x14ac:dyDescent="0.35">
      <c r="O141" s="1"/>
    </row>
    <row r="142" spans="15:15" ht="14.25" customHeight="1" x14ac:dyDescent="0.35">
      <c r="O142" s="1"/>
    </row>
    <row r="143" spans="15:15" ht="14.25" customHeight="1" x14ac:dyDescent="0.35">
      <c r="O143" s="1"/>
    </row>
    <row r="144" spans="15:15" ht="14.25" customHeight="1" x14ac:dyDescent="0.35">
      <c r="O144" s="1"/>
    </row>
    <row r="145" spans="15:15" ht="14.25" customHeight="1" x14ac:dyDescent="0.35">
      <c r="O145" s="1"/>
    </row>
    <row r="146" spans="15:15" ht="14.25" customHeight="1" x14ac:dyDescent="0.35">
      <c r="O146" s="1"/>
    </row>
    <row r="147" spans="15:15" ht="14.25" customHeight="1" x14ac:dyDescent="0.35">
      <c r="O147" s="1"/>
    </row>
    <row r="148" spans="15:15" ht="14.25" customHeight="1" x14ac:dyDescent="0.35">
      <c r="O148" s="1"/>
    </row>
    <row r="149" spans="15:15" ht="14.25" customHeight="1" x14ac:dyDescent="0.35">
      <c r="O149" s="1"/>
    </row>
    <row r="150" spans="15:15" ht="14.25" customHeight="1" x14ac:dyDescent="0.35">
      <c r="O150" s="1"/>
    </row>
    <row r="151" spans="15:15" ht="14.25" customHeight="1" x14ac:dyDescent="0.35">
      <c r="O151" s="1"/>
    </row>
    <row r="152" spans="15:15" ht="14.25" customHeight="1" x14ac:dyDescent="0.35">
      <c r="O152" s="1"/>
    </row>
    <row r="153" spans="15:15" ht="14.25" customHeight="1" x14ac:dyDescent="0.35">
      <c r="O153" s="1"/>
    </row>
    <row r="154" spans="15:15" ht="14.25" customHeight="1" x14ac:dyDescent="0.35">
      <c r="O154" s="1"/>
    </row>
    <row r="155" spans="15:15" ht="14.25" customHeight="1" x14ac:dyDescent="0.35">
      <c r="O155" s="1"/>
    </row>
    <row r="156" spans="15:15" ht="14.25" customHeight="1" x14ac:dyDescent="0.35">
      <c r="O156" s="1"/>
    </row>
    <row r="157" spans="15:15" ht="14.25" customHeight="1" x14ac:dyDescent="0.35">
      <c r="O157" s="1"/>
    </row>
    <row r="158" spans="15:15" ht="14.25" customHeight="1" x14ac:dyDescent="0.35">
      <c r="O158" s="1"/>
    </row>
    <row r="159" spans="15:15" ht="14.25" customHeight="1" x14ac:dyDescent="0.35">
      <c r="O159" s="1"/>
    </row>
    <row r="160" spans="15:15" ht="14.25" customHeight="1" x14ac:dyDescent="0.35">
      <c r="O160" s="1"/>
    </row>
    <row r="161" spans="15:15" ht="14.25" customHeight="1" x14ac:dyDescent="0.35">
      <c r="O161" s="1"/>
    </row>
    <row r="162" spans="15:15" ht="14.25" customHeight="1" x14ac:dyDescent="0.35">
      <c r="O162" s="1"/>
    </row>
    <row r="163" spans="15:15" ht="14.25" customHeight="1" x14ac:dyDescent="0.35">
      <c r="O163" s="1"/>
    </row>
    <row r="164" spans="15:15" ht="14.25" customHeight="1" x14ac:dyDescent="0.35">
      <c r="O164" s="1"/>
    </row>
    <row r="165" spans="15:15" ht="14.25" customHeight="1" x14ac:dyDescent="0.35">
      <c r="O165" s="1"/>
    </row>
    <row r="166" spans="15:15" ht="14.25" customHeight="1" x14ac:dyDescent="0.35">
      <c r="O166" s="1"/>
    </row>
    <row r="167" spans="15:15" ht="14.25" customHeight="1" x14ac:dyDescent="0.35">
      <c r="O167" s="1"/>
    </row>
    <row r="168" spans="15:15" ht="14.25" customHeight="1" x14ac:dyDescent="0.35">
      <c r="O168" s="1"/>
    </row>
    <row r="169" spans="15:15" ht="14.25" customHeight="1" x14ac:dyDescent="0.35">
      <c r="O169" s="1"/>
    </row>
    <row r="170" spans="15:15" ht="14.25" customHeight="1" x14ac:dyDescent="0.35">
      <c r="O170" s="1"/>
    </row>
    <row r="171" spans="15:15" ht="14.25" customHeight="1" x14ac:dyDescent="0.35">
      <c r="O171" s="1"/>
    </row>
    <row r="172" spans="15:15" ht="14.25" customHeight="1" x14ac:dyDescent="0.35">
      <c r="O172" s="1"/>
    </row>
    <row r="173" spans="15:15" ht="14.25" customHeight="1" x14ac:dyDescent="0.35">
      <c r="O173" s="1"/>
    </row>
    <row r="174" spans="15:15" ht="14.25" customHeight="1" x14ac:dyDescent="0.35">
      <c r="O174" s="1"/>
    </row>
    <row r="175" spans="15:15" ht="14.25" customHeight="1" x14ac:dyDescent="0.35">
      <c r="O175" s="1"/>
    </row>
    <row r="176" spans="15:15" ht="14.25" customHeight="1" x14ac:dyDescent="0.35">
      <c r="O176" s="1"/>
    </row>
    <row r="177" spans="15:15" ht="14.25" customHeight="1" x14ac:dyDescent="0.35">
      <c r="O177" s="1"/>
    </row>
    <row r="178" spans="15:15" ht="14.25" customHeight="1" x14ac:dyDescent="0.35">
      <c r="O178" s="1"/>
    </row>
    <row r="179" spans="15:15" ht="14.25" customHeight="1" x14ac:dyDescent="0.35">
      <c r="O179" s="1"/>
    </row>
    <row r="180" spans="15:15" ht="14.25" customHeight="1" x14ac:dyDescent="0.35">
      <c r="O180" s="1"/>
    </row>
    <row r="181" spans="15:15" ht="14.25" customHeight="1" x14ac:dyDescent="0.35">
      <c r="O181" s="1"/>
    </row>
    <row r="182" spans="15:15" ht="14.25" customHeight="1" x14ac:dyDescent="0.35">
      <c r="O182" s="1"/>
    </row>
    <row r="183" spans="15:15" ht="14.25" customHeight="1" x14ac:dyDescent="0.35">
      <c r="O183" s="1"/>
    </row>
    <row r="184" spans="15:15" ht="14.25" customHeight="1" x14ac:dyDescent="0.35">
      <c r="O184" s="1"/>
    </row>
    <row r="185" spans="15:15" ht="14.25" customHeight="1" x14ac:dyDescent="0.35">
      <c r="O185" s="1"/>
    </row>
    <row r="186" spans="15:15" ht="14.25" customHeight="1" x14ac:dyDescent="0.35">
      <c r="O186" s="1"/>
    </row>
    <row r="187" spans="15:15" ht="14.25" customHeight="1" x14ac:dyDescent="0.35">
      <c r="O187" s="1"/>
    </row>
    <row r="188" spans="15:15" ht="14.25" customHeight="1" x14ac:dyDescent="0.35">
      <c r="O188" s="1"/>
    </row>
    <row r="189" spans="15:15" ht="14.25" customHeight="1" x14ac:dyDescent="0.35">
      <c r="O189" s="1"/>
    </row>
    <row r="190" spans="15:15" ht="14.25" customHeight="1" x14ac:dyDescent="0.35">
      <c r="O190" s="1"/>
    </row>
    <row r="191" spans="15:15" ht="14.25" customHeight="1" x14ac:dyDescent="0.35">
      <c r="O191" s="1"/>
    </row>
    <row r="192" spans="15:15" ht="14.25" customHeight="1" x14ac:dyDescent="0.35">
      <c r="O192" s="1"/>
    </row>
    <row r="193" spans="15:15" ht="14.25" customHeight="1" x14ac:dyDescent="0.35">
      <c r="O193" s="1"/>
    </row>
    <row r="194" spans="15:15" ht="14.25" customHeight="1" x14ac:dyDescent="0.35">
      <c r="O194" s="1"/>
    </row>
    <row r="195" spans="15:15" ht="14.25" customHeight="1" x14ac:dyDescent="0.35">
      <c r="O195" s="1"/>
    </row>
    <row r="196" spans="15:15" ht="14.25" customHeight="1" x14ac:dyDescent="0.35">
      <c r="O196" s="1"/>
    </row>
    <row r="197" spans="15:15" ht="14.25" customHeight="1" x14ac:dyDescent="0.35">
      <c r="O197" s="1"/>
    </row>
    <row r="198" spans="15:15" ht="14.25" customHeight="1" x14ac:dyDescent="0.35">
      <c r="O198" s="1"/>
    </row>
    <row r="199" spans="15:15" ht="14.25" customHeight="1" x14ac:dyDescent="0.35">
      <c r="O199" s="1"/>
    </row>
    <row r="200" spans="15:15" ht="14.25" customHeight="1" x14ac:dyDescent="0.35">
      <c r="O200" s="1"/>
    </row>
    <row r="201" spans="15:15" ht="14.25" customHeight="1" x14ac:dyDescent="0.35">
      <c r="O201" s="1"/>
    </row>
    <row r="202" spans="15:15" ht="14.25" customHeight="1" x14ac:dyDescent="0.35">
      <c r="O202" s="1"/>
    </row>
    <row r="203" spans="15:15" ht="14.25" customHeight="1" x14ac:dyDescent="0.35">
      <c r="O203" s="1"/>
    </row>
    <row r="204" spans="15:15" ht="14.25" customHeight="1" x14ac:dyDescent="0.35">
      <c r="O204" s="1"/>
    </row>
    <row r="205" spans="15:15" ht="14.25" customHeight="1" x14ac:dyDescent="0.35">
      <c r="O205" s="1"/>
    </row>
    <row r="206" spans="15:15" ht="14.25" customHeight="1" x14ac:dyDescent="0.35">
      <c r="O206" s="1"/>
    </row>
    <row r="207" spans="15:15" ht="14.25" customHeight="1" x14ac:dyDescent="0.35">
      <c r="O207" s="1"/>
    </row>
    <row r="208" spans="15:15" ht="14.25" customHeight="1" x14ac:dyDescent="0.35">
      <c r="O208" s="1"/>
    </row>
    <row r="209" spans="15:15" ht="14.25" customHeight="1" x14ac:dyDescent="0.35">
      <c r="O209" s="1"/>
    </row>
    <row r="210" spans="15:15" ht="14.25" customHeight="1" x14ac:dyDescent="0.35">
      <c r="O210" s="1"/>
    </row>
    <row r="211" spans="15:15" ht="14.25" customHeight="1" x14ac:dyDescent="0.35">
      <c r="O211" s="1"/>
    </row>
    <row r="212" spans="15:15" ht="14.25" customHeight="1" x14ac:dyDescent="0.35">
      <c r="O212" s="1"/>
    </row>
    <row r="213" spans="15:15" ht="14.25" customHeight="1" x14ac:dyDescent="0.35">
      <c r="O213" s="1"/>
    </row>
    <row r="214" spans="15:15" ht="14.25" customHeight="1" x14ac:dyDescent="0.35">
      <c r="O214" s="1"/>
    </row>
    <row r="215" spans="15:15" ht="14.25" customHeight="1" x14ac:dyDescent="0.35">
      <c r="O215" s="1"/>
    </row>
    <row r="216" spans="15:15" ht="14.25" customHeight="1" x14ac:dyDescent="0.35">
      <c r="O216" s="1"/>
    </row>
    <row r="217" spans="15:15" ht="14.25" customHeight="1" x14ac:dyDescent="0.35">
      <c r="O217" s="1"/>
    </row>
    <row r="218" spans="15:15" ht="14.25" customHeight="1" x14ac:dyDescent="0.35">
      <c r="O218" s="1"/>
    </row>
    <row r="219" spans="15:15" ht="14.25" customHeight="1" x14ac:dyDescent="0.35">
      <c r="O219" s="1"/>
    </row>
    <row r="220" spans="15:15" ht="14.25" customHeight="1" x14ac:dyDescent="0.35">
      <c r="O220" s="1"/>
    </row>
    <row r="221" spans="15:15" ht="14.25" customHeight="1" x14ac:dyDescent="0.35">
      <c r="O221" s="1"/>
    </row>
    <row r="222" spans="15:15" ht="14.25" customHeight="1" x14ac:dyDescent="0.35">
      <c r="O222" s="1"/>
    </row>
    <row r="223" spans="15:15" ht="14.25" customHeight="1" x14ac:dyDescent="0.35">
      <c r="O223" s="1"/>
    </row>
    <row r="224" spans="15:15" ht="14.25" customHeight="1" x14ac:dyDescent="0.35">
      <c r="O224" s="1"/>
    </row>
    <row r="225" spans="15:15" ht="14.25" customHeight="1" x14ac:dyDescent="0.35">
      <c r="O225" s="1"/>
    </row>
    <row r="226" spans="15:15" ht="14.25" customHeight="1" x14ac:dyDescent="0.35">
      <c r="O226" s="1"/>
    </row>
    <row r="227" spans="15:15" ht="14.25" customHeight="1" x14ac:dyDescent="0.35">
      <c r="O227" s="1"/>
    </row>
    <row r="228" spans="15:15" ht="14.25" customHeight="1" x14ac:dyDescent="0.35">
      <c r="O228" s="1"/>
    </row>
    <row r="229" spans="15:15" ht="14.25" customHeight="1" x14ac:dyDescent="0.35">
      <c r="O229" s="1"/>
    </row>
    <row r="230" spans="15:15" ht="14.25" customHeight="1" x14ac:dyDescent="0.35">
      <c r="O230" s="1"/>
    </row>
    <row r="231" spans="15:15" ht="14.25" customHeight="1" x14ac:dyDescent="0.35">
      <c r="O231" s="1"/>
    </row>
    <row r="232" spans="15:15" ht="14.25" customHeight="1" x14ac:dyDescent="0.35">
      <c r="O232" s="1"/>
    </row>
    <row r="233" spans="15:15" ht="14.25" customHeight="1" x14ac:dyDescent="0.35">
      <c r="O233" s="1"/>
    </row>
    <row r="234" spans="15:15" ht="14.25" customHeight="1" x14ac:dyDescent="0.35">
      <c r="O234" s="1"/>
    </row>
    <row r="235" spans="15:15" ht="14.25" customHeight="1" x14ac:dyDescent="0.35">
      <c r="O235" s="1"/>
    </row>
    <row r="236" spans="15:15" ht="14.25" customHeight="1" x14ac:dyDescent="0.35">
      <c r="O236" s="1"/>
    </row>
    <row r="237" spans="15:15" ht="14.25" customHeight="1" x14ac:dyDescent="0.35">
      <c r="O237" s="1"/>
    </row>
    <row r="238" spans="15:15" ht="14.25" customHeight="1" x14ac:dyDescent="0.35">
      <c r="O238" s="1"/>
    </row>
    <row r="239" spans="15:15" ht="14.25" customHeight="1" x14ac:dyDescent="0.35">
      <c r="O239" s="1"/>
    </row>
    <row r="240" spans="15:15" ht="14.25" customHeight="1" x14ac:dyDescent="0.35">
      <c r="O240" s="1"/>
    </row>
    <row r="241" spans="15:15" ht="14.25" customHeight="1" x14ac:dyDescent="0.35">
      <c r="O241" s="1"/>
    </row>
    <row r="242" spans="15:15" ht="14.25" customHeight="1" x14ac:dyDescent="0.35">
      <c r="O242" s="1"/>
    </row>
    <row r="243" spans="15:15" ht="14.25" customHeight="1" x14ac:dyDescent="0.35">
      <c r="O243" s="1"/>
    </row>
    <row r="244" spans="15:15" ht="14.25" customHeight="1" x14ac:dyDescent="0.35">
      <c r="O244" s="1"/>
    </row>
    <row r="245" spans="15:15" ht="14.25" customHeight="1" x14ac:dyDescent="0.35">
      <c r="O245" s="1"/>
    </row>
    <row r="246" spans="15:15" ht="14.25" customHeight="1" x14ac:dyDescent="0.35">
      <c r="O246" s="1"/>
    </row>
    <row r="247" spans="15:15" ht="14.25" customHeight="1" x14ac:dyDescent="0.35">
      <c r="O247" s="1"/>
    </row>
    <row r="248" spans="15:15" ht="14.25" customHeight="1" x14ac:dyDescent="0.35">
      <c r="O248" s="1"/>
    </row>
    <row r="249" spans="15:15" ht="14.25" customHeight="1" x14ac:dyDescent="0.35">
      <c r="O249" s="1"/>
    </row>
    <row r="250" spans="15:15" ht="14.25" customHeight="1" x14ac:dyDescent="0.35">
      <c r="O250" s="1"/>
    </row>
    <row r="251" spans="15:15" ht="14.25" customHeight="1" x14ac:dyDescent="0.35">
      <c r="O251" s="1"/>
    </row>
    <row r="252" spans="15:15" ht="14.25" customHeight="1" x14ac:dyDescent="0.35">
      <c r="O252" s="1"/>
    </row>
    <row r="253" spans="15:15" ht="14.25" customHeight="1" x14ac:dyDescent="0.35">
      <c r="O253" s="1"/>
    </row>
    <row r="254" spans="15:15" ht="14.25" customHeight="1" x14ac:dyDescent="0.35">
      <c r="O254" s="1"/>
    </row>
    <row r="255" spans="15:15" ht="14.25" customHeight="1" x14ac:dyDescent="0.35">
      <c r="O255" s="1"/>
    </row>
    <row r="256" spans="15:15" ht="14.25" customHeight="1" x14ac:dyDescent="0.35">
      <c r="O256" s="1"/>
    </row>
    <row r="257" spans="15:15" ht="14.25" customHeight="1" x14ac:dyDescent="0.35">
      <c r="O257" s="1"/>
    </row>
    <row r="258" spans="15:15" ht="14.25" customHeight="1" x14ac:dyDescent="0.35">
      <c r="O258" s="1"/>
    </row>
    <row r="259" spans="15:15" ht="14.25" customHeight="1" x14ac:dyDescent="0.35">
      <c r="O259" s="1"/>
    </row>
    <row r="260" spans="15:15" ht="14.25" customHeight="1" x14ac:dyDescent="0.35">
      <c r="O260" s="1"/>
    </row>
    <row r="261" spans="15:15" ht="14.25" customHeight="1" x14ac:dyDescent="0.35">
      <c r="O261" s="1"/>
    </row>
    <row r="262" spans="15:15" ht="14.25" customHeight="1" x14ac:dyDescent="0.35">
      <c r="O262" s="1"/>
    </row>
    <row r="263" spans="15:15" ht="14.25" customHeight="1" x14ac:dyDescent="0.35">
      <c r="O263" s="1"/>
    </row>
    <row r="264" spans="15:15" ht="14.25" customHeight="1" x14ac:dyDescent="0.35">
      <c r="O264" s="1"/>
    </row>
    <row r="265" spans="15:15" ht="14.25" customHeight="1" x14ac:dyDescent="0.35">
      <c r="O265" s="1"/>
    </row>
    <row r="266" spans="15:15" ht="14.25" customHeight="1" x14ac:dyDescent="0.35">
      <c r="O266" s="1"/>
    </row>
    <row r="267" spans="15:15" ht="14.25" customHeight="1" x14ac:dyDescent="0.35">
      <c r="O267" s="1"/>
    </row>
    <row r="268" spans="15:15" ht="14.25" customHeight="1" x14ac:dyDescent="0.35">
      <c r="O268" s="1"/>
    </row>
    <row r="269" spans="15:15" ht="14.25" customHeight="1" x14ac:dyDescent="0.35">
      <c r="O269" s="1"/>
    </row>
    <row r="270" spans="15:15" ht="14.25" customHeight="1" x14ac:dyDescent="0.35">
      <c r="O270" s="1"/>
    </row>
    <row r="271" spans="15:15" ht="14.25" customHeight="1" x14ac:dyDescent="0.35">
      <c r="O271" s="1"/>
    </row>
    <row r="272" spans="15:15" ht="14.25" customHeight="1" x14ac:dyDescent="0.35">
      <c r="O272" s="1"/>
    </row>
    <row r="273" spans="15:15" ht="14.25" customHeight="1" x14ac:dyDescent="0.35">
      <c r="O273" s="1"/>
    </row>
    <row r="274" spans="15:15" ht="14.25" customHeight="1" x14ac:dyDescent="0.35">
      <c r="O274" s="1"/>
    </row>
    <row r="275" spans="15:15" ht="14.25" customHeight="1" x14ac:dyDescent="0.35">
      <c r="O275" s="1"/>
    </row>
    <row r="276" spans="15:15" ht="14.25" customHeight="1" x14ac:dyDescent="0.35">
      <c r="O276" s="1"/>
    </row>
    <row r="277" spans="15:15" ht="14.25" customHeight="1" x14ac:dyDescent="0.35">
      <c r="O277" s="1"/>
    </row>
    <row r="278" spans="15:15" ht="14.25" customHeight="1" x14ac:dyDescent="0.35">
      <c r="O278" s="1"/>
    </row>
    <row r="279" spans="15:15" ht="14.25" customHeight="1" x14ac:dyDescent="0.35">
      <c r="O279" s="1"/>
    </row>
    <row r="280" spans="15:15" ht="14.25" customHeight="1" x14ac:dyDescent="0.35">
      <c r="O280" s="1"/>
    </row>
    <row r="281" spans="15:15" ht="14.25" customHeight="1" x14ac:dyDescent="0.35">
      <c r="O281" s="1"/>
    </row>
    <row r="282" spans="15:15" ht="14.25" customHeight="1" x14ac:dyDescent="0.35">
      <c r="O282" s="1"/>
    </row>
    <row r="283" spans="15:15" ht="14.25" customHeight="1" x14ac:dyDescent="0.35">
      <c r="O283" s="1"/>
    </row>
    <row r="284" spans="15:15" ht="14.25" customHeight="1" x14ac:dyDescent="0.35">
      <c r="O284" s="1"/>
    </row>
    <row r="285" spans="15:15" ht="14.25" customHeight="1" x14ac:dyDescent="0.35">
      <c r="O285" s="1"/>
    </row>
    <row r="286" spans="15:15" ht="14.25" customHeight="1" x14ac:dyDescent="0.35">
      <c r="O286" s="1"/>
    </row>
    <row r="287" spans="15:15" ht="14.25" customHeight="1" x14ac:dyDescent="0.35">
      <c r="O287" s="1"/>
    </row>
    <row r="288" spans="15:15" ht="14.25" customHeight="1" x14ac:dyDescent="0.35">
      <c r="O288" s="1"/>
    </row>
    <row r="289" spans="15:15" ht="14.25" customHeight="1" x14ac:dyDescent="0.35">
      <c r="O289" s="1"/>
    </row>
    <row r="290" spans="15:15" ht="14.25" customHeight="1" x14ac:dyDescent="0.35">
      <c r="O290" s="1"/>
    </row>
    <row r="291" spans="15:15" ht="14.25" customHeight="1" x14ac:dyDescent="0.35">
      <c r="O291" s="1"/>
    </row>
    <row r="292" spans="15:15" ht="14.25" customHeight="1" x14ac:dyDescent="0.35">
      <c r="O292" s="1"/>
    </row>
    <row r="293" spans="15:15" ht="14.25" customHeight="1" x14ac:dyDescent="0.35">
      <c r="O293" s="1"/>
    </row>
    <row r="294" spans="15:15" ht="14.25" customHeight="1" x14ac:dyDescent="0.35">
      <c r="O294" s="1"/>
    </row>
    <row r="295" spans="15:15" ht="14.25" customHeight="1" x14ac:dyDescent="0.35">
      <c r="O295" s="1"/>
    </row>
    <row r="296" spans="15:15" ht="14.25" customHeight="1" x14ac:dyDescent="0.35">
      <c r="O296" s="1"/>
    </row>
    <row r="297" spans="15:15" ht="14.25" customHeight="1" x14ac:dyDescent="0.35">
      <c r="O297" s="1"/>
    </row>
    <row r="298" spans="15:15" ht="14.25" customHeight="1" x14ac:dyDescent="0.35">
      <c r="O298" s="1"/>
    </row>
    <row r="299" spans="15:15" ht="14.25" customHeight="1" x14ac:dyDescent="0.35">
      <c r="O299" s="1"/>
    </row>
    <row r="300" spans="15:15" ht="14.25" customHeight="1" x14ac:dyDescent="0.35">
      <c r="O300" s="1"/>
    </row>
    <row r="301" spans="15:15" ht="14.25" customHeight="1" x14ac:dyDescent="0.35">
      <c r="O301" s="1"/>
    </row>
    <row r="302" spans="15:15" ht="14.25" customHeight="1" x14ac:dyDescent="0.35">
      <c r="O302" s="1"/>
    </row>
    <row r="303" spans="15:15" ht="14.25" customHeight="1" x14ac:dyDescent="0.35">
      <c r="O303" s="1"/>
    </row>
    <row r="304" spans="15:15" ht="14.25" customHeight="1" x14ac:dyDescent="0.35">
      <c r="O304" s="1"/>
    </row>
    <row r="305" spans="15:15" ht="14.25" customHeight="1" x14ac:dyDescent="0.35">
      <c r="O305" s="1"/>
    </row>
    <row r="306" spans="15:15" ht="14.25" customHeight="1" x14ac:dyDescent="0.35">
      <c r="O306" s="1"/>
    </row>
    <row r="307" spans="15:15" ht="14.25" customHeight="1" x14ac:dyDescent="0.35">
      <c r="O307" s="1"/>
    </row>
    <row r="308" spans="15:15" ht="14.25" customHeight="1" x14ac:dyDescent="0.35">
      <c r="O308" s="1"/>
    </row>
    <row r="309" spans="15:15" ht="14.25" customHeight="1" x14ac:dyDescent="0.35">
      <c r="O309" s="1"/>
    </row>
    <row r="310" spans="15:15" ht="14.25" customHeight="1" x14ac:dyDescent="0.35">
      <c r="O310" s="1"/>
    </row>
    <row r="311" spans="15:15" ht="14.25" customHeight="1" x14ac:dyDescent="0.35">
      <c r="O311" s="1"/>
    </row>
    <row r="312" spans="15:15" ht="14.25" customHeight="1" x14ac:dyDescent="0.35">
      <c r="O312" s="1"/>
    </row>
    <row r="313" spans="15:15" ht="14.25" customHeight="1" x14ac:dyDescent="0.35">
      <c r="O313" s="1"/>
    </row>
    <row r="314" spans="15:15" ht="14.25" customHeight="1" x14ac:dyDescent="0.35">
      <c r="O314" s="1"/>
    </row>
    <row r="315" spans="15:15" ht="14.25" customHeight="1" x14ac:dyDescent="0.35">
      <c r="O315" s="1"/>
    </row>
    <row r="316" spans="15:15" ht="14.25" customHeight="1" x14ac:dyDescent="0.35">
      <c r="O316" s="1"/>
    </row>
    <row r="317" spans="15:15" ht="14.25" customHeight="1" x14ac:dyDescent="0.35">
      <c r="O317" s="1"/>
    </row>
    <row r="318" spans="15:15" ht="14.25" customHeight="1" x14ac:dyDescent="0.35">
      <c r="O318" s="1"/>
    </row>
    <row r="319" spans="15:15" ht="14.25" customHeight="1" x14ac:dyDescent="0.35">
      <c r="O319" s="1"/>
    </row>
    <row r="320" spans="15:15" ht="14.25" customHeight="1" x14ac:dyDescent="0.35">
      <c r="O320" s="1"/>
    </row>
    <row r="321" spans="15:15" ht="14.25" customHeight="1" x14ac:dyDescent="0.35">
      <c r="O321" s="1"/>
    </row>
    <row r="322" spans="15:15" ht="14.25" customHeight="1" x14ac:dyDescent="0.35">
      <c r="O322" s="1"/>
    </row>
    <row r="323" spans="15:15" ht="14.25" customHeight="1" x14ac:dyDescent="0.35">
      <c r="O323" s="1"/>
    </row>
    <row r="324" spans="15:15" ht="14.25" customHeight="1" x14ac:dyDescent="0.35">
      <c r="O324" s="1"/>
    </row>
    <row r="325" spans="15:15" ht="14.25" customHeight="1" x14ac:dyDescent="0.35">
      <c r="O325" s="1"/>
    </row>
    <row r="326" spans="15:15" ht="14.25" customHeight="1" x14ac:dyDescent="0.35">
      <c r="O326" s="1"/>
    </row>
    <row r="327" spans="15:15" ht="14.25" customHeight="1" x14ac:dyDescent="0.35">
      <c r="O327" s="1"/>
    </row>
    <row r="328" spans="15:15" ht="14.25" customHeight="1" x14ac:dyDescent="0.35">
      <c r="O328" s="1"/>
    </row>
    <row r="329" spans="15:15" ht="14.25" customHeight="1" x14ac:dyDescent="0.35">
      <c r="O329" s="1"/>
    </row>
    <row r="330" spans="15:15" ht="14.25" customHeight="1" x14ac:dyDescent="0.35">
      <c r="O330" s="1"/>
    </row>
    <row r="331" spans="15:15" ht="14.25" customHeight="1" x14ac:dyDescent="0.35">
      <c r="O331" s="1"/>
    </row>
    <row r="332" spans="15:15" ht="14.25" customHeight="1" x14ac:dyDescent="0.35">
      <c r="O332" s="1"/>
    </row>
    <row r="333" spans="15:15" ht="14.25" customHeight="1" x14ac:dyDescent="0.35">
      <c r="O333" s="1"/>
    </row>
    <row r="334" spans="15:15" ht="14.25" customHeight="1" x14ac:dyDescent="0.35">
      <c r="O334" s="1"/>
    </row>
    <row r="335" spans="15:15" ht="14.25" customHeight="1" x14ac:dyDescent="0.35">
      <c r="O335" s="1"/>
    </row>
    <row r="336" spans="15:15" ht="14.25" customHeight="1" x14ac:dyDescent="0.35">
      <c r="O336" s="1"/>
    </row>
    <row r="337" spans="15:15" ht="14.25" customHeight="1" x14ac:dyDescent="0.35">
      <c r="O337" s="1"/>
    </row>
    <row r="338" spans="15:15" ht="14.25" customHeight="1" x14ac:dyDescent="0.35">
      <c r="O338" s="1"/>
    </row>
    <row r="339" spans="15:15" ht="14.25" customHeight="1" x14ac:dyDescent="0.35">
      <c r="O339" s="1"/>
    </row>
    <row r="340" spans="15:15" ht="14.25" customHeight="1" x14ac:dyDescent="0.35">
      <c r="O340" s="1"/>
    </row>
    <row r="341" spans="15:15" ht="14.25" customHeight="1" x14ac:dyDescent="0.35">
      <c r="O341" s="1"/>
    </row>
    <row r="342" spans="15:15" ht="14.25" customHeight="1" x14ac:dyDescent="0.35">
      <c r="O342" s="1"/>
    </row>
    <row r="343" spans="15:15" ht="14.25" customHeight="1" x14ac:dyDescent="0.35">
      <c r="O343" s="1"/>
    </row>
    <row r="344" spans="15:15" ht="14.25" customHeight="1" x14ac:dyDescent="0.35">
      <c r="O344" s="1"/>
    </row>
    <row r="345" spans="15:15" ht="14.25" customHeight="1" x14ac:dyDescent="0.35">
      <c r="O345" s="1"/>
    </row>
    <row r="346" spans="15:15" ht="14.25" customHeight="1" x14ac:dyDescent="0.35">
      <c r="O346" s="1"/>
    </row>
    <row r="347" spans="15:15" ht="14.25" customHeight="1" x14ac:dyDescent="0.35">
      <c r="O347" s="1"/>
    </row>
    <row r="348" spans="15:15" ht="14.25" customHeight="1" x14ac:dyDescent="0.35">
      <c r="O348" s="1"/>
    </row>
    <row r="349" spans="15:15" ht="14.25" customHeight="1" x14ac:dyDescent="0.35">
      <c r="O349" s="1"/>
    </row>
    <row r="350" spans="15:15" ht="14.25" customHeight="1" x14ac:dyDescent="0.35">
      <c r="O350" s="1"/>
    </row>
    <row r="351" spans="15:15" ht="14.25" customHeight="1" x14ac:dyDescent="0.35">
      <c r="O351" s="1"/>
    </row>
    <row r="352" spans="15:15" ht="14.25" customHeight="1" x14ac:dyDescent="0.35">
      <c r="O352" s="1"/>
    </row>
    <row r="353" spans="15:15" ht="14.25" customHeight="1" x14ac:dyDescent="0.35">
      <c r="O353" s="1"/>
    </row>
    <row r="354" spans="15:15" ht="14.25" customHeight="1" x14ac:dyDescent="0.35">
      <c r="O354" s="1"/>
    </row>
    <row r="355" spans="15:15" ht="14.25" customHeight="1" x14ac:dyDescent="0.35">
      <c r="O355" s="1"/>
    </row>
    <row r="356" spans="15:15" ht="14.25" customHeight="1" x14ac:dyDescent="0.35">
      <c r="O356" s="1"/>
    </row>
    <row r="357" spans="15:15" ht="14.25" customHeight="1" x14ac:dyDescent="0.35">
      <c r="O357" s="1"/>
    </row>
    <row r="358" spans="15:15" ht="14.25" customHeight="1" x14ac:dyDescent="0.35">
      <c r="O358" s="1"/>
    </row>
    <row r="359" spans="15:15" ht="14.25" customHeight="1" x14ac:dyDescent="0.35">
      <c r="O359" s="1"/>
    </row>
    <row r="360" spans="15:15" ht="14.25" customHeight="1" x14ac:dyDescent="0.35">
      <c r="O360" s="1"/>
    </row>
    <row r="361" spans="15:15" ht="14.25" customHeight="1" x14ac:dyDescent="0.35">
      <c r="O361" s="1"/>
    </row>
    <row r="362" spans="15:15" ht="14.25" customHeight="1" x14ac:dyDescent="0.35">
      <c r="O362" s="1"/>
    </row>
    <row r="363" spans="15:15" ht="14.25" customHeight="1" x14ac:dyDescent="0.35">
      <c r="O363" s="1"/>
    </row>
    <row r="364" spans="15:15" ht="14.25" customHeight="1" x14ac:dyDescent="0.35">
      <c r="O364" s="1"/>
    </row>
    <row r="365" spans="15:15" ht="14.25" customHeight="1" x14ac:dyDescent="0.35">
      <c r="O365" s="1"/>
    </row>
    <row r="366" spans="15:15" ht="14.25" customHeight="1" x14ac:dyDescent="0.35">
      <c r="O366" s="1"/>
    </row>
    <row r="367" spans="15:15" ht="14.25" customHeight="1" x14ac:dyDescent="0.35">
      <c r="O367" s="1"/>
    </row>
    <row r="368" spans="15:15" ht="14.25" customHeight="1" x14ac:dyDescent="0.35">
      <c r="O368" s="1"/>
    </row>
    <row r="369" spans="15:15" ht="14.25" customHeight="1" x14ac:dyDescent="0.35">
      <c r="O369" s="1"/>
    </row>
    <row r="370" spans="15:15" ht="14.25" customHeight="1" x14ac:dyDescent="0.35">
      <c r="O370" s="1"/>
    </row>
    <row r="371" spans="15:15" ht="14.25" customHeight="1" x14ac:dyDescent="0.35">
      <c r="O371" s="1"/>
    </row>
    <row r="372" spans="15:15" ht="14.25" customHeight="1" x14ac:dyDescent="0.35">
      <c r="O372" s="1"/>
    </row>
    <row r="373" spans="15:15" ht="14.25" customHeight="1" x14ac:dyDescent="0.35">
      <c r="O373" s="1"/>
    </row>
    <row r="374" spans="15:15" ht="14.25" customHeight="1" x14ac:dyDescent="0.35">
      <c r="O374" s="1"/>
    </row>
    <row r="375" spans="15:15" ht="14.25" customHeight="1" x14ac:dyDescent="0.35">
      <c r="O375" s="1"/>
    </row>
    <row r="376" spans="15:15" ht="14.25" customHeight="1" x14ac:dyDescent="0.35">
      <c r="O376" s="1"/>
    </row>
    <row r="377" spans="15:15" ht="14.25" customHeight="1" x14ac:dyDescent="0.35">
      <c r="O377" s="1"/>
    </row>
    <row r="378" spans="15:15" ht="14.25" customHeight="1" x14ac:dyDescent="0.35">
      <c r="O378" s="1"/>
    </row>
    <row r="379" spans="15:15" ht="14.25" customHeight="1" x14ac:dyDescent="0.35">
      <c r="O379" s="1"/>
    </row>
    <row r="380" spans="15:15" ht="14.25" customHeight="1" x14ac:dyDescent="0.35">
      <c r="O380" s="1"/>
    </row>
    <row r="381" spans="15:15" ht="14.25" customHeight="1" x14ac:dyDescent="0.35">
      <c r="O381" s="1"/>
    </row>
    <row r="382" spans="15:15" ht="14.25" customHeight="1" x14ac:dyDescent="0.35">
      <c r="O382" s="1"/>
    </row>
    <row r="383" spans="15:15" ht="14.25" customHeight="1" x14ac:dyDescent="0.35">
      <c r="O383" s="1"/>
    </row>
    <row r="384" spans="15:15" ht="14.25" customHeight="1" x14ac:dyDescent="0.35">
      <c r="O384" s="1"/>
    </row>
    <row r="385" spans="15:15" ht="14.25" customHeight="1" x14ac:dyDescent="0.35">
      <c r="O385" s="1"/>
    </row>
    <row r="386" spans="15:15" ht="14.25" customHeight="1" x14ac:dyDescent="0.35">
      <c r="O386" s="1"/>
    </row>
    <row r="387" spans="15:15" ht="14.25" customHeight="1" x14ac:dyDescent="0.35">
      <c r="O387" s="1"/>
    </row>
    <row r="388" spans="15:15" ht="14.25" customHeight="1" x14ac:dyDescent="0.35">
      <c r="O388" s="1"/>
    </row>
    <row r="389" spans="15:15" ht="14.25" customHeight="1" x14ac:dyDescent="0.35">
      <c r="O389" s="1"/>
    </row>
    <row r="390" spans="15:15" ht="14.25" customHeight="1" x14ac:dyDescent="0.35">
      <c r="O390" s="1"/>
    </row>
    <row r="391" spans="15:15" ht="14.25" customHeight="1" x14ac:dyDescent="0.35">
      <c r="O391" s="1"/>
    </row>
    <row r="392" spans="15:15" ht="14.25" customHeight="1" x14ac:dyDescent="0.35">
      <c r="O392" s="1"/>
    </row>
    <row r="393" spans="15:15" ht="14.25" customHeight="1" x14ac:dyDescent="0.35">
      <c r="O393" s="1"/>
    </row>
    <row r="394" spans="15:15" ht="14.25" customHeight="1" x14ac:dyDescent="0.35">
      <c r="O394" s="1"/>
    </row>
    <row r="395" spans="15:15" ht="14.25" customHeight="1" x14ac:dyDescent="0.35">
      <c r="O395" s="1"/>
    </row>
    <row r="396" spans="15:15" ht="14.25" customHeight="1" x14ac:dyDescent="0.35">
      <c r="O396" s="1"/>
    </row>
    <row r="397" spans="15:15" ht="14.25" customHeight="1" x14ac:dyDescent="0.35">
      <c r="O397" s="1"/>
    </row>
    <row r="398" spans="15:15" ht="14.25" customHeight="1" x14ac:dyDescent="0.35">
      <c r="O398" s="1"/>
    </row>
    <row r="399" spans="15:15" ht="14.25" customHeight="1" x14ac:dyDescent="0.35">
      <c r="O399" s="1"/>
    </row>
    <row r="400" spans="15:15" ht="14.25" customHeight="1" x14ac:dyDescent="0.35">
      <c r="O400" s="1"/>
    </row>
    <row r="401" spans="15:15" ht="14.25" customHeight="1" x14ac:dyDescent="0.35">
      <c r="O401" s="1"/>
    </row>
    <row r="402" spans="15:15" ht="14.25" customHeight="1" x14ac:dyDescent="0.35">
      <c r="O402" s="1"/>
    </row>
    <row r="403" spans="15:15" ht="14.25" customHeight="1" x14ac:dyDescent="0.35">
      <c r="O403" s="1"/>
    </row>
    <row r="404" spans="15:15" ht="14.25" customHeight="1" x14ac:dyDescent="0.35">
      <c r="O404" s="1"/>
    </row>
    <row r="405" spans="15:15" ht="14.25" customHeight="1" x14ac:dyDescent="0.35">
      <c r="O405" s="1"/>
    </row>
    <row r="406" spans="15:15" ht="14.25" customHeight="1" x14ac:dyDescent="0.35">
      <c r="O406" s="1"/>
    </row>
    <row r="407" spans="15:15" ht="14.25" customHeight="1" x14ac:dyDescent="0.35">
      <c r="O407" s="1"/>
    </row>
    <row r="408" spans="15:15" ht="14.25" customHeight="1" x14ac:dyDescent="0.35">
      <c r="O408" s="1"/>
    </row>
    <row r="409" spans="15:15" ht="14.25" customHeight="1" x14ac:dyDescent="0.35">
      <c r="O409" s="1"/>
    </row>
    <row r="410" spans="15:15" ht="14.25" customHeight="1" x14ac:dyDescent="0.35">
      <c r="O410" s="1"/>
    </row>
    <row r="411" spans="15:15" ht="14.25" customHeight="1" x14ac:dyDescent="0.35">
      <c r="O411" s="1"/>
    </row>
    <row r="412" spans="15:15" ht="14.25" customHeight="1" x14ac:dyDescent="0.35">
      <c r="O412" s="1"/>
    </row>
    <row r="413" spans="15:15" ht="14.25" customHeight="1" x14ac:dyDescent="0.35">
      <c r="O413" s="1"/>
    </row>
    <row r="414" spans="15:15" ht="14.25" customHeight="1" x14ac:dyDescent="0.35">
      <c r="O414" s="1"/>
    </row>
    <row r="415" spans="15:15" ht="14.25" customHeight="1" x14ac:dyDescent="0.35">
      <c r="O415" s="1"/>
    </row>
    <row r="416" spans="15:15" ht="14.25" customHeight="1" x14ac:dyDescent="0.35">
      <c r="O416" s="1"/>
    </row>
    <row r="417" spans="15:15" ht="14.25" customHeight="1" x14ac:dyDescent="0.35">
      <c r="O417" s="1"/>
    </row>
    <row r="418" spans="15:15" ht="14.25" customHeight="1" x14ac:dyDescent="0.35">
      <c r="O418" s="1"/>
    </row>
    <row r="419" spans="15:15" ht="14.25" customHeight="1" x14ac:dyDescent="0.35">
      <c r="O419" s="1"/>
    </row>
    <row r="420" spans="15:15" ht="14.25" customHeight="1" x14ac:dyDescent="0.35">
      <c r="O420" s="1"/>
    </row>
    <row r="421" spans="15:15" ht="14.25" customHeight="1" x14ac:dyDescent="0.35">
      <c r="O421" s="1"/>
    </row>
    <row r="422" spans="15:15" ht="14.25" customHeight="1" x14ac:dyDescent="0.35">
      <c r="O422" s="1"/>
    </row>
    <row r="423" spans="15:15" ht="14.25" customHeight="1" x14ac:dyDescent="0.35">
      <c r="O423" s="1"/>
    </row>
    <row r="424" spans="15:15" ht="14.25" customHeight="1" x14ac:dyDescent="0.35">
      <c r="O424" s="1"/>
    </row>
    <row r="425" spans="15:15" ht="14.25" customHeight="1" x14ac:dyDescent="0.35">
      <c r="O425" s="1"/>
    </row>
    <row r="426" spans="15:15" ht="14.25" customHeight="1" x14ac:dyDescent="0.35">
      <c r="O426" s="1"/>
    </row>
    <row r="427" spans="15:15" ht="14.25" customHeight="1" x14ac:dyDescent="0.35">
      <c r="O427" s="1"/>
    </row>
    <row r="428" spans="15:15" ht="14.25" customHeight="1" x14ac:dyDescent="0.35">
      <c r="O428" s="1"/>
    </row>
    <row r="429" spans="15:15" ht="14.25" customHeight="1" x14ac:dyDescent="0.35">
      <c r="O429" s="1"/>
    </row>
    <row r="430" spans="15:15" ht="14.25" customHeight="1" x14ac:dyDescent="0.35">
      <c r="O430" s="1"/>
    </row>
    <row r="431" spans="15:15" ht="14.25" customHeight="1" x14ac:dyDescent="0.35">
      <c r="O431" s="1"/>
    </row>
    <row r="432" spans="15:15" ht="14.25" customHeight="1" x14ac:dyDescent="0.35">
      <c r="O432" s="1"/>
    </row>
    <row r="433" spans="15:15" ht="14.25" customHeight="1" x14ac:dyDescent="0.35">
      <c r="O433" s="1"/>
    </row>
    <row r="434" spans="15:15" ht="14.25" customHeight="1" x14ac:dyDescent="0.35">
      <c r="O434" s="1"/>
    </row>
    <row r="435" spans="15:15" ht="14.25" customHeight="1" x14ac:dyDescent="0.35">
      <c r="O435" s="1"/>
    </row>
    <row r="436" spans="15:15" ht="14.25" customHeight="1" x14ac:dyDescent="0.35">
      <c r="O436" s="1"/>
    </row>
    <row r="437" spans="15:15" ht="14.25" customHeight="1" x14ac:dyDescent="0.35">
      <c r="O437" s="1"/>
    </row>
    <row r="438" spans="15:15" ht="14.25" customHeight="1" x14ac:dyDescent="0.35">
      <c r="O438" s="1"/>
    </row>
    <row r="439" spans="15:15" ht="14.25" customHeight="1" x14ac:dyDescent="0.35">
      <c r="O439" s="1"/>
    </row>
    <row r="440" spans="15:15" ht="14.25" customHeight="1" x14ac:dyDescent="0.35">
      <c r="O440" s="1"/>
    </row>
    <row r="441" spans="15:15" ht="14.25" customHeight="1" x14ac:dyDescent="0.35">
      <c r="O441" s="1"/>
    </row>
    <row r="442" spans="15:15" ht="14.25" customHeight="1" x14ac:dyDescent="0.35">
      <c r="O442" s="1"/>
    </row>
    <row r="443" spans="15:15" ht="14.25" customHeight="1" x14ac:dyDescent="0.35">
      <c r="O443" s="1"/>
    </row>
    <row r="444" spans="15:15" ht="14.25" customHeight="1" x14ac:dyDescent="0.35">
      <c r="O444" s="1"/>
    </row>
    <row r="445" spans="15:15" ht="14.25" customHeight="1" x14ac:dyDescent="0.35">
      <c r="O445" s="1"/>
    </row>
    <row r="446" spans="15:15" ht="14.25" customHeight="1" x14ac:dyDescent="0.35">
      <c r="O446" s="1"/>
    </row>
    <row r="447" spans="15:15" ht="14.25" customHeight="1" x14ac:dyDescent="0.35">
      <c r="O447" s="1"/>
    </row>
    <row r="448" spans="15:15" ht="14.25" customHeight="1" x14ac:dyDescent="0.35">
      <c r="O448" s="1"/>
    </row>
    <row r="449" spans="15:15" ht="14.25" customHeight="1" x14ac:dyDescent="0.35">
      <c r="O449" s="1"/>
    </row>
    <row r="450" spans="15:15" ht="14.25" customHeight="1" x14ac:dyDescent="0.35">
      <c r="O450" s="1"/>
    </row>
    <row r="451" spans="15:15" ht="14.25" customHeight="1" x14ac:dyDescent="0.35">
      <c r="O451" s="1"/>
    </row>
    <row r="452" spans="15:15" ht="14.25" customHeight="1" x14ac:dyDescent="0.35">
      <c r="O452" s="1"/>
    </row>
    <row r="453" spans="15:15" ht="14.25" customHeight="1" x14ac:dyDescent="0.35">
      <c r="O453" s="1"/>
    </row>
    <row r="454" spans="15:15" ht="14.25" customHeight="1" x14ac:dyDescent="0.35">
      <c r="O454" s="1"/>
    </row>
    <row r="455" spans="15:15" ht="14.25" customHeight="1" x14ac:dyDescent="0.35">
      <c r="O455" s="1"/>
    </row>
    <row r="456" spans="15:15" ht="14.25" customHeight="1" x14ac:dyDescent="0.35">
      <c r="O456" s="1"/>
    </row>
    <row r="457" spans="15:15" ht="14.25" customHeight="1" x14ac:dyDescent="0.35">
      <c r="O457" s="1"/>
    </row>
    <row r="458" spans="15:15" ht="14.25" customHeight="1" x14ac:dyDescent="0.35">
      <c r="O458" s="1"/>
    </row>
    <row r="459" spans="15:15" ht="14.25" customHeight="1" x14ac:dyDescent="0.35">
      <c r="O459" s="1"/>
    </row>
    <row r="460" spans="15:15" ht="14.25" customHeight="1" x14ac:dyDescent="0.35">
      <c r="O460" s="1"/>
    </row>
    <row r="461" spans="15:15" ht="14.25" customHeight="1" x14ac:dyDescent="0.35">
      <c r="O461" s="1"/>
    </row>
    <row r="462" spans="15:15" ht="14.25" customHeight="1" x14ac:dyDescent="0.35">
      <c r="O462" s="1"/>
    </row>
    <row r="463" spans="15:15" ht="14.25" customHeight="1" x14ac:dyDescent="0.35">
      <c r="O463" s="1"/>
    </row>
    <row r="464" spans="15:15" ht="14.25" customHeight="1" x14ac:dyDescent="0.35">
      <c r="O464" s="1"/>
    </row>
    <row r="465" spans="15:15" ht="14.25" customHeight="1" x14ac:dyDescent="0.35">
      <c r="O465" s="1"/>
    </row>
    <row r="466" spans="15:15" ht="14.25" customHeight="1" x14ac:dyDescent="0.35">
      <c r="O466" s="1"/>
    </row>
    <row r="467" spans="15:15" ht="14.25" customHeight="1" x14ac:dyDescent="0.35">
      <c r="O467" s="1"/>
    </row>
    <row r="468" spans="15:15" ht="14.25" customHeight="1" x14ac:dyDescent="0.35">
      <c r="O468" s="1"/>
    </row>
    <row r="469" spans="15:15" ht="14.25" customHeight="1" x14ac:dyDescent="0.35">
      <c r="O469" s="1"/>
    </row>
    <row r="470" spans="15:15" ht="14.25" customHeight="1" x14ac:dyDescent="0.35">
      <c r="O470" s="1"/>
    </row>
    <row r="471" spans="15:15" ht="14.25" customHeight="1" x14ac:dyDescent="0.35">
      <c r="O471" s="1"/>
    </row>
    <row r="472" spans="15:15" ht="14.25" customHeight="1" x14ac:dyDescent="0.35">
      <c r="O472" s="1"/>
    </row>
    <row r="473" spans="15:15" ht="14.25" customHeight="1" x14ac:dyDescent="0.35">
      <c r="O473" s="1"/>
    </row>
    <row r="474" spans="15:15" ht="14.25" customHeight="1" x14ac:dyDescent="0.35">
      <c r="O474" s="1"/>
    </row>
    <row r="475" spans="15:15" ht="14.25" customHeight="1" x14ac:dyDescent="0.35">
      <c r="O475" s="1"/>
    </row>
    <row r="476" spans="15:15" ht="14.25" customHeight="1" x14ac:dyDescent="0.35">
      <c r="O476" s="1"/>
    </row>
    <row r="477" spans="15:15" ht="14.25" customHeight="1" x14ac:dyDescent="0.35">
      <c r="O477" s="1"/>
    </row>
    <row r="478" spans="15:15" ht="14.25" customHeight="1" x14ac:dyDescent="0.35">
      <c r="O478" s="1"/>
    </row>
    <row r="479" spans="15:15" ht="14.25" customHeight="1" x14ac:dyDescent="0.35">
      <c r="O479" s="1"/>
    </row>
    <row r="480" spans="15:15" ht="14.25" customHeight="1" x14ac:dyDescent="0.35">
      <c r="O480" s="1"/>
    </row>
    <row r="481" spans="15:15" ht="14.25" customHeight="1" x14ac:dyDescent="0.35">
      <c r="O481" s="1"/>
    </row>
    <row r="482" spans="15:15" ht="14.25" customHeight="1" x14ac:dyDescent="0.35">
      <c r="O482" s="1"/>
    </row>
    <row r="483" spans="15:15" ht="14.25" customHeight="1" x14ac:dyDescent="0.35">
      <c r="O483" s="1"/>
    </row>
    <row r="484" spans="15:15" ht="14.25" customHeight="1" x14ac:dyDescent="0.35">
      <c r="O484" s="1"/>
    </row>
    <row r="485" spans="15:15" ht="14.25" customHeight="1" x14ac:dyDescent="0.35">
      <c r="O485" s="1"/>
    </row>
    <row r="486" spans="15:15" ht="14.25" customHeight="1" x14ac:dyDescent="0.35">
      <c r="O486" s="1"/>
    </row>
    <row r="487" spans="15:15" ht="14.25" customHeight="1" x14ac:dyDescent="0.35">
      <c r="O487" s="1"/>
    </row>
    <row r="488" spans="15:15" ht="14.25" customHeight="1" x14ac:dyDescent="0.35">
      <c r="O488" s="1"/>
    </row>
    <row r="489" spans="15:15" ht="14.25" customHeight="1" x14ac:dyDescent="0.35">
      <c r="O489" s="1"/>
    </row>
    <row r="490" spans="15:15" ht="14.25" customHeight="1" x14ac:dyDescent="0.35">
      <c r="O490" s="1"/>
    </row>
    <row r="491" spans="15:15" ht="14.25" customHeight="1" x14ac:dyDescent="0.35">
      <c r="O491" s="1"/>
    </row>
    <row r="492" spans="15:15" ht="14.25" customHeight="1" x14ac:dyDescent="0.35">
      <c r="O492" s="1"/>
    </row>
    <row r="493" spans="15:15" ht="14.25" customHeight="1" x14ac:dyDescent="0.35">
      <c r="O493" s="1"/>
    </row>
    <row r="494" spans="15:15" ht="14.25" customHeight="1" x14ac:dyDescent="0.35">
      <c r="O494" s="1"/>
    </row>
    <row r="495" spans="15:15" ht="14.25" customHeight="1" x14ac:dyDescent="0.35">
      <c r="O495" s="1"/>
    </row>
    <row r="496" spans="15:15" ht="14.25" customHeight="1" x14ac:dyDescent="0.35">
      <c r="O496" s="1"/>
    </row>
    <row r="497" spans="15:15" ht="14.25" customHeight="1" x14ac:dyDescent="0.35">
      <c r="O497" s="1"/>
    </row>
    <row r="498" spans="15:15" ht="14.25" customHeight="1" x14ac:dyDescent="0.35">
      <c r="O498" s="1"/>
    </row>
    <row r="499" spans="15:15" ht="14.25" customHeight="1" x14ac:dyDescent="0.35">
      <c r="O499" s="1"/>
    </row>
    <row r="500" spans="15:15" ht="14.25" customHeight="1" x14ac:dyDescent="0.35">
      <c r="O500" s="1"/>
    </row>
    <row r="501" spans="15:15" ht="14.25" customHeight="1" x14ac:dyDescent="0.35">
      <c r="O501" s="1"/>
    </row>
    <row r="502" spans="15:15" ht="14.25" customHeight="1" x14ac:dyDescent="0.35">
      <c r="O502" s="1"/>
    </row>
    <row r="503" spans="15:15" ht="14.25" customHeight="1" x14ac:dyDescent="0.35">
      <c r="O503" s="1"/>
    </row>
    <row r="504" spans="15:15" ht="14.25" customHeight="1" x14ac:dyDescent="0.35">
      <c r="O504" s="1"/>
    </row>
    <row r="505" spans="15:15" ht="14.25" customHeight="1" x14ac:dyDescent="0.35">
      <c r="O505" s="1"/>
    </row>
    <row r="506" spans="15:15" ht="14.25" customHeight="1" x14ac:dyDescent="0.35">
      <c r="O506" s="1"/>
    </row>
    <row r="507" spans="15:15" ht="14.25" customHeight="1" x14ac:dyDescent="0.35">
      <c r="O507" s="1"/>
    </row>
    <row r="508" spans="15:15" ht="14.25" customHeight="1" x14ac:dyDescent="0.35">
      <c r="O508" s="1"/>
    </row>
    <row r="509" spans="15:15" ht="14.25" customHeight="1" x14ac:dyDescent="0.35">
      <c r="O509" s="1"/>
    </row>
    <row r="510" spans="15:15" ht="14.25" customHeight="1" x14ac:dyDescent="0.35">
      <c r="O510" s="1"/>
    </row>
    <row r="511" spans="15:15" ht="14.25" customHeight="1" x14ac:dyDescent="0.35">
      <c r="O511" s="1"/>
    </row>
    <row r="512" spans="15:15" ht="14.25" customHeight="1" x14ac:dyDescent="0.35">
      <c r="O512" s="1"/>
    </row>
    <row r="513" spans="15:15" ht="14.25" customHeight="1" x14ac:dyDescent="0.35">
      <c r="O513" s="1"/>
    </row>
    <row r="514" spans="15:15" ht="14.25" customHeight="1" x14ac:dyDescent="0.35">
      <c r="O514" s="1"/>
    </row>
    <row r="515" spans="15:15" ht="14.25" customHeight="1" x14ac:dyDescent="0.35">
      <c r="O515" s="1"/>
    </row>
    <row r="516" spans="15:15" ht="14.25" customHeight="1" x14ac:dyDescent="0.35">
      <c r="O516" s="1"/>
    </row>
    <row r="517" spans="15:15" ht="14.25" customHeight="1" x14ac:dyDescent="0.35">
      <c r="O517" s="1"/>
    </row>
    <row r="518" spans="15:15" ht="14.25" customHeight="1" x14ac:dyDescent="0.35">
      <c r="O518" s="1"/>
    </row>
    <row r="519" spans="15:15" ht="14.25" customHeight="1" x14ac:dyDescent="0.35">
      <c r="O519" s="1"/>
    </row>
    <row r="520" spans="15:15" ht="14.25" customHeight="1" x14ac:dyDescent="0.35">
      <c r="O520" s="1"/>
    </row>
    <row r="521" spans="15:15" ht="14.25" customHeight="1" x14ac:dyDescent="0.35">
      <c r="O521" s="1"/>
    </row>
    <row r="522" spans="15:15" ht="14.25" customHeight="1" x14ac:dyDescent="0.35">
      <c r="O522" s="1"/>
    </row>
    <row r="523" spans="15:15" ht="14.25" customHeight="1" x14ac:dyDescent="0.35">
      <c r="O523" s="1"/>
    </row>
    <row r="524" spans="15:15" ht="14.25" customHeight="1" x14ac:dyDescent="0.35">
      <c r="O524" s="1"/>
    </row>
    <row r="525" spans="15:15" ht="14.25" customHeight="1" x14ac:dyDescent="0.35">
      <c r="O525" s="1"/>
    </row>
    <row r="526" spans="15:15" ht="14.25" customHeight="1" x14ac:dyDescent="0.35">
      <c r="O526" s="1"/>
    </row>
    <row r="527" spans="15:15" ht="14.25" customHeight="1" x14ac:dyDescent="0.35">
      <c r="O527" s="1"/>
    </row>
    <row r="528" spans="15:15" ht="14.25" customHeight="1" x14ac:dyDescent="0.35">
      <c r="O528" s="1"/>
    </row>
    <row r="529" spans="15:15" ht="14.25" customHeight="1" x14ac:dyDescent="0.35">
      <c r="O529" s="1"/>
    </row>
    <row r="530" spans="15:15" ht="14.25" customHeight="1" x14ac:dyDescent="0.35">
      <c r="O530" s="1"/>
    </row>
    <row r="531" spans="15:15" ht="14.25" customHeight="1" x14ac:dyDescent="0.35">
      <c r="O531" s="1"/>
    </row>
    <row r="532" spans="15:15" ht="14.25" customHeight="1" x14ac:dyDescent="0.35">
      <c r="O532" s="1"/>
    </row>
    <row r="533" spans="15:15" ht="14.25" customHeight="1" x14ac:dyDescent="0.35">
      <c r="O533" s="1"/>
    </row>
    <row r="534" spans="15:15" ht="14.25" customHeight="1" x14ac:dyDescent="0.35">
      <c r="O534" s="1"/>
    </row>
    <row r="535" spans="15:15" ht="14.25" customHeight="1" x14ac:dyDescent="0.35">
      <c r="O535" s="1"/>
    </row>
    <row r="536" spans="15:15" ht="14.25" customHeight="1" x14ac:dyDescent="0.35">
      <c r="O536" s="1"/>
    </row>
    <row r="537" spans="15:15" ht="14.25" customHeight="1" x14ac:dyDescent="0.35">
      <c r="O537" s="1"/>
    </row>
    <row r="538" spans="15:15" ht="14.25" customHeight="1" x14ac:dyDescent="0.35">
      <c r="O538" s="1"/>
    </row>
    <row r="539" spans="15:15" ht="14.25" customHeight="1" x14ac:dyDescent="0.35">
      <c r="O539" s="1"/>
    </row>
    <row r="540" spans="15:15" ht="14.25" customHeight="1" x14ac:dyDescent="0.35">
      <c r="O540" s="1"/>
    </row>
    <row r="541" spans="15:15" ht="14.25" customHeight="1" x14ac:dyDescent="0.35">
      <c r="O541" s="1"/>
    </row>
    <row r="542" spans="15:15" ht="14.25" customHeight="1" x14ac:dyDescent="0.35">
      <c r="O542" s="1"/>
    </row>
    <row r="543" spans="15:15" ht="14.25" customHeight="1" x14ac:dyDescent="0.35">
      <c r="O543" s="1"/>
    </row>
    <row r="544" spans="15:15" ht="14.25" customHeight="1" x14ac:dyDescent="0.35">
      <c r="O544" s="1"/>
    </row>
    <row r="545" spans="15:15" ht="14.25" customHeight="1" x14ac:dyDescent="0.35">
      <c r="O545" s="1"/>
    </row>
    <row r="546" spans="15:15" ht="14.25" customHeight="1" x14ac:dyDescent="0.35">
      <c r="O546" s="1"/>
    </row>
    <row r="547" spans="15:15" ht="14.25" customHeight="1" x14ac:dyDescent="0.35">
      <c r="O547" s="1"/>
    </row>
    <row r="548" spans="15:15" ht="14.25" customHeight="1" x14ac:dyDescent="0.35">
      <c r="O548" s="1"/>
    </row>
    <row r="549" spans="15:15" ht="14.25" customHeight="1" x14ac:dyDescent="0.35">
      <c r="O549" s="1"/>
    </row>
    <row r="550" spans="15:15" ht="14.25" customHeight="1" x14ac:dyDescent="0.35">
      <c r="O550" s="1"/>
    </row>
    <row r="551" spans="15:15" ht="14.25" customHeight="1" x14ac:dyDescent="0.35">
      <c r="O551" s="1"/>
    </row>
    <row r="552" spans="15:15" ht="14.25" customHeight="1" x14ac:dyDescent="0.35">
      <c r="O552" s="1"/>
    </row>
    <row r="553" spans="15:15" ht="14.25" customHeight="1" x14ac:dyDescent="0.35">
      <c r="O553" s="1"/>
    </row>
    <row r="554" spans="15:15" ht="14.25" customHeight="1" x14ac:dyDescent="0.35">
      <c r="O554" s="1"/>
    </row>
    <row r="555" spans="15:15" ht="14.25" customHeight="1" x14ac:dyDescent="0.35">
      <c r="O555" s="1"/>
    </row>
    <row r="556" spans="15:15" ht="14.25" customHeight="1" x14ac:dyDescent="0.35">
      <c r="O556" s="1"/>
    </row>
    <row r="557" spans="15:15" ht="14.25" customHeight="1" x14ac:dyDescent="0.35">
      <c r="O557" s="1"/>
    </row>
    <row r="558" spans="15:15" ht="14.25" customHeight="1" x14ac:dyDescent="0.35">
      <c r="O558" s="1"/>
    </row>
    <row r="559" spans="15:15" ht="14.25" customHeight="1" x14ac:dyDescent="0.35">
      <c r="O559" s="1"/>
    </row>
    <row r="560" spans="15:15" ht="14.25" customHeight="1" x14ac:dyDescent="0.35">
      <c r="O560" s="1"/>
    </row>
    <row r="561" spans="15:15" ht="14.25" customHeight="1" x14ac:dyDescent="0.35">
      <c r="O561" s="1"/>
    </row>
    <row r="562" spans="15:15" ht="14.25" customHeight="1" x14ac:dyDescent="0.35">
      <c r="O562" s="1"/>
    </row>
    <row r="563" spans="15:15" ht="14.25" customHeight="1" x14ac:dyDescent="0.35">
      <c r="O563" s="1"/>
    </row>
    <row r="564" spans="15:15" ht="14.25" customHeight="1" x14ac:dyDescent="0.35">
      <c r="O564" s="1"/>
    </row>
    <row r="565" spans="15:15" ht="14.25" customHeight="1" x14ac:dyDescent="0.35">
      <c r="O565" s="1"/>
    </row>
    <row r="566" spans="15:15" ht="14.25" customHeight="1" x14ac:dyDescent="0.35">
      <c r="O566" s="1"/>
    </row>
    <row r="567" spans="15:15" ht="14.25" customHeight="1" x14ac:dyDescent="0.35">
      <c r="O567" s="1"/>
    </row>
    <row r="568" spans="15:15" ht="14.25" customHeight="1" x14ac:dyDescent="0.35">
      <c r="O568" s="1"/>
    </row>
    <row r="569" spans="15:15" ht="14.25" customHeight="1" x14ac:dyDescent="0.35">
      <c r="O569" s="1"/>
    </row>
    <row r="570" spans="15:15" ht="14.25" customHeight="1" x14ac:dyDescent="0.35">
      <c r="O570" s="1"/>
    </row>
    <row r="571" spans="15:15" ht="14.25" customHeight="1" x14ac:dyDescent="0.35">
      <c r="O571" s="1"/>
    </row>
    <row r="572" spans="15:15" ht="14.25" customHeight="1" x14ac:dyDescent="0.35">
      <c r="O572" s="1"/>
    </row>
    <row r="573" spans="15:15" ht="14.25" customHeight="1" x14ac:dyDescent="0.35">
      <c r="O573" s="1"/>
    </row>
    <row r="574" spans="15:15" ht="14.25" customHeight="1" x14ac:dyDescent="0.35">
      <c r="O574" s="1"/>
    </row>
    <row r="575" spans="15:15" ht="14.25" customHeight="1" x14ac:dyDescent="0.35">
      <c r="O575" s="1"/>
    </row>
    <row r="576" spans="15:15" ht="14.25" customHeight="1" x14ac:dyDescent="0.35">
      <c r="O576" s="1"/>
    </row>
    <row r="577" spans="15:15" ht="14.25" customHeight="1" x14ac:dyDescent="0.35">
      <c r="O577" s="1"/>
    </row>
    <row r="578" spans="15:15" ht="14.25" customHeight="1" x14ac:dyDescent="0.35">
      <c r="O578" s="1"/>
    </row>
    <row r="579" spans="15:15" ht="14.25" customHeight="1" x14ac:dyDescent="0.35">
      <c r="O579" s="1"/>
    </row>
    <row r="580" spans="15:15" ht="14.25" customHeight="1" x14ac:dyDescent="0.35">
      <c r="O580" s="1"/>
    </row>
    <row r="581" spans="15:15" ht="14.25" customHeight="1" x14ac:dyDescent="0.35">
      <c r="O581" s="1"/>
    </row>
    <row r="582" spans="15:15" ht="14.25" customHeight="1" x14ac:dyDescent="0.35">
      <c r="O582" s="1"/>
    </row>
    <row r="583" spans="15:15" ht="14.25" customHeight="1" x14ac:dyDescent="0.35">
      <c r="O583" s="1"/>
    </row>
    <row r="584" spans="15:15" ht="14.25" customHeight="1" x14ac:dyDescent="0.35">
      <c r="O584" s="1"/>
    </row>
    <row r="585" spans="15:15" ht="14.25" customHeight="1" x14ac:dyDescent="0.35">
      <c r="O585" s="1"/>
    </row>
    <row r="586" spans="15:15" ht="14.25" customHeight="1" x14ac:dyDescent="0.35">
      <c r="O586" s="1"/>
    </row>
    <row r="587" spans="15:15" ht="14.25" customHeight="1" x14ac:dyDescent="0.35">
      <c r="O587" s="1"/>
    </row>
    <row r="588" spans="15:15" ht="14.25" customHeight="1" x14ac:dyDescent="0.35">
      <c r="O588" s="1"/>
    </row>
    <row r="589" spans="15:15" ht="14.25" customHeight="1" x14ac:dyDescent="0.35">
      <c r="O589" s="1"/>
    </row>
    <row r="590" spans="15:15" ht="14.25" customHeight="1" x14ac:dyDescent="0.35">
      <c r="O590" s="1"/>
    </row>
    <row r="591" spans="15:15" ht="14.25" customHeight="1" x14ac:dyDescent="0.35">
      <c r="O591" s="1"/>
    </row>
    <row r="592" spans="15:15" ht="14.25" customHeight="1" x14ac:dyDescent="0.35">
      <c r="O592" s="1"/>
    </row>
    <row r="593" spans="15:15" ht="14.25" customHeight="1" x14ac:dyDescent="0.35">
      <c r="O593" s="1"/>
    </row>
    <row r="594" spans="15:15" ht="14.25" customHeight="1" x14ac:dyDescent="0.35">
      <c r="O594" s="1"/>
    </row>
    <row r="595" spans="15:15" ht="14.25" customHeight="1" x14ac:dyDescent="0.35">
      <c r="O595" s="1"/>
    </row>
    <row r="596" spans="15:15" ht="14.25" customHeight="1" x14ac:dyDescent="0.35">
      <c r="O596" s="1"/>
    </row>
    <row r="597" spans="15:15" ht="14.25" customHeight="1" x14ac:dyDescent="0.35">
      <c r="O597" s="1"/>
    </row>
    <row r="598" spans="15:15" ht="14.25" customHeight="1" x14ac:dyDescent="0.35">
      <c r="O598" s="1"/>
    </row>
    <row r="599" spans="15:15" ht="14.25" customHeight="1" x14ac:dyDescent="0.35">
      <c r="O599" s="1"/>
    </row>
    <row r="600" spans="15:15" ht="14.25" customHeight="1" x14ac:dyDescent="0.35">
      <c r="O600" s="1"/>
    </row>
    <row r="601" spans="15:15" ht="14.25" customHeight="1" x14ac:dyDescent="0.35">
      <c r="O601" s="1"/>
    </row>
    <row r="602" spans="15:15" ht="14.25" customHeight="1" x14ac:dyDescent="0.35">
      <c r="O602" s="1"/>
    </row>
    <row r="603" spans="15:15" ht="14.25" customHeight="1" x14ac:dyDescent="0.35">
      <c r="O603" s="1"/>
    </row>
    <row r="604" spans="15:15" ht="14.25" customHeight="1" x14ac:dyDescent="0.35">
      <c r="O604" s="1"/>
    </row>
    <row r="605" spans="15:15" ht="14.25" customHeight="1" x14ac:dyDescent="0.35">
      <c r="O605" s="1"/>
    </row>
    <row r="606" spans="15:15" ht="14.25" customHeight="1" x14ac:dyDescent="0.35">
      <c r="O606" s="1"/>
    </row>
    <row r="607" spans="15:15" ht="14.25" customHeight="1" x14ac:dyDescent="0.35">
      <c r="O607" s="1"/>
    </row>
    <row r="608" spans="15:15" ht="14.25" customHeight="1" x14ac:dyDescent="0.35">
      <c r="O608" s="1"/>
    </row>
    <row r="609" spans="15:15" ht="14.25" customHeight="1" x14ac:dyDescent="0.35">
      <c r="O609" s="1"/>
    </row>
    <row r="610" spans="15:15" ht="14.25" customHeight="1" x14ac:dyDescent="0.35">
      <c r="O610" s="1"/>
    </row>
    <row r="611" spans="15:15" ht="14.25" customHeight="1" x14ac:dyDescent="0.35">
      <c r="O611" s="1"/>
    </row>
    <row r="612" spans="15:15" ht="14.25" customHeight="1" x14ac:dyDescent="0.35">
      <c r="O612" s="1"/>
    </row>
    <row r="613" spans="15:15" ht="14.25" customHeight="1" x14ac:dyDescent="0.35">
      <c r="O613" s="1"/>
    </row>
    <row r="614" spans="15:15" ht="14.25" customHeight="1" x14ac:dyDescent="0.35">
      <c r="O614" s="1"/>
    </row>
    <row r="615" spans="15:15" ht="14.25" customHeight="1" x14ac:dyDescent="0.35">
      <c r="O615" s="1"/>
    </row>
    <row r="616" spans="15:15" ht="14.25" customHeight="1" x14ac:dyDescent="0.35">
      <c r="O616" s="1"/>
    </row>
    <row r="617" spans="15:15" ht="14.25" customHeight="1" x14ac:dyDescent="0.35">
      <c r="O617" s="1"/>
    </row>
    <row r="618" spans="15:15" ht="14.25" customHeight="1" x14ac:dyDescent="0.35">
      <c r="O618" s="1"/>
    </row>
    <row r="619" spans="15:15" ht="14.25" customHeight="1" x14ac:dyDescent="0.35">
      <c r="O619" s="1"/>
    </row>
    <row r="620" spans="15:15" ht="14.25" customHeight="1" x14ac:dyDescent="0.35">
      <c r="O620" s="1"/>
    </row>
    <row r="621" spans="15:15" ht="14.25" customHeight="1" x14ac:dyDescent="0.35">
      <c r="O621" s="1"/>
    </row>
    <row r="622" spans="15:15" ht="14.25" customHeight="1" x14ac:dyDescent="0.35">
      <c r="O622" s="1"/>
    </row>
    <row r="623" spans="15:15" ht="14.25" customHeight="1" x14ac:dyDescent="0.35">
      <c r="O623" s="1"/>
    </row>
    <row r="624" spans="15:15" ht="14.25" customHeight="1" x14ac:dyDescent="0.35">
      <c r="O624" s="1"/>
    </row>
    <row r="625" spans="15:15" ht="14.25" customHeight="1" x14ac:dyDescent="0.35">
      <c r="O625" s="1"/>
    </row>
    <row r="626" spans="15:15" ht="14.25" customHeight="1" x14ac:dyDescent="0.35">
      <c r="O626" s="1"/>
    </row>
    <row r="627" spans="15:15" ht="14.25" customHeight="1" x14ac:dyDescent="0.35">
      <c r="O627" s="1"/>
    </row>
    <row r="628" spans="15:15" ht="14.25" customHeight="1" x14ac:dyDescent="0.35">
      <c r="O628" s="1"/>
    </row>
    <row r="629" spans="15:15" ht="14.25" customHeight="1" x14ac:dyDescent="0.35">
      <c r="O629" s="1"/>
    </row>
    <row r="630" spans="15:15" ht="14.25" customHeight="1" x14ac:dyDescent="0.35">
      <c r="O630" s="1"/>
    </row>
    <row r="631" spans="15:15" ht="14.25" customHeight="1" x14ac:dyDescent="0.35">
      <c r="O631" s="1"/>
    </row>
    <row r="632" spans="15:15" ht="14.25" customHeight="1" x14ac:dyDescent="0.35">
      <c r="O632" s="1"/>
    </row>
    <row r="633" spans="15:15" ht="14.25" customHeight="1" x14ac:dyDescent="0.35">
      <c r="O633" s="1"/>
    </row>
    <row r="634" spans="15:15" ht="14.25" customHeight="1" x14ac:dyDescent="0.35">
      <c r="O634" s="1"/>
    </row>
    <row r="635" spans="15:15" ht="14.25" customHeight="1" x14ac:dyDescent="0.35">
      <c r="O635" s="1"/>
    </row>
    <row r="636" spans="15:15" ht="14.25" customHeight="1" x14ac:dyDescent="0.35">
      <c r="O636" s="1"/>
    </row>
    <row r="637" spans="15:15" ht="14.25" customHeight="1" x14ac:dyDescent="0.35">
      <c r="O637" s="1"/>
    </row>
    <row r="638" spans="15:15" ht="14.25" customHeight="1" x14ac:dyDescent="0.35">
      <c r="O638" s="1"/>
    </row>
    <row r="639" spans="15:15" ht="14.25" customHeight="1" x14ac:dyDescent="0.35">
      <c r="O639" s="1"/>
    </row>
    <row r="640" spans="15:15" ht="14.25" customHeight="1" x14ac:dyDescent="0.35">
      <c r="O640" s="1"/>
    </row>
    <row r="641" spans="15:15" ht="14.25" customHeight="1" x14ac:dyDescent="0.35">
      <c r="O641" s="1"/>
    </row>
    <row r="642" spans="15:15" ht="14.25" customHeight="1" x14ac:dyDescent="0.35">
      <c r="O642" s="1"/>
    </row>
    <row r="643" spans="15:15" ht="14.25" customHeight="1" x14ac:dyDescent="0.35">
      <c r="O643" s="1"/>
    </row>
    <row r="644" spans="15:15" ht="14.25" customHeight="1" x14ac:dyDescent="0.35">
      <c r="O644" s="1"/>
    </row>
    <row r="645" spans="15:15" ht="14.25" customHeight="1" x14ac:dyDescent="0.35">
      <c r="O645" s="1"/>
    </row>
    <row r="646" spans="15:15" ht="14.25" customHeight="1" x14ac:dyDescent="0.35">
      <c r="O646" s="1"/>
    </row>
    <row r="647" spans="15:15" ht="14.25" customHeight="1" x14ac:dyDescent="0.35">
      <c r="O647" s="1"/>
    </row>
    <row r="648" spans="15:15" ht="14.25" customHeight="1" x14ac:dyDescent="0.35">
      <c r="O648" s="1"/>
    </row>
    <row r="649" spans="15:15" ht="14.25" customHeight="1" x14ac:dyDescent="0.35">
      <c r="O649" s="1"/>
    </row>
    <row r="650" spans="15:15" ht="14.25" customHeight="1" x14ac:dyDescent="0.35">
      <c r="O650" s="1"/>
    </row>
    <row r="651" spans="15:15" ht="14.25" customHeight="1" x14ac:dyDescent="0.35">
      <c r="O651" s="1"/>
    </row>
    <row r="652" spans="15:15" ht="14.25" customHeight="1" x14ac:dyDescent="0.35">
      <c r="O652" s="1"/>
    </row>
    <row r="653" spans="15:15" ht="14.25" customHeight="1" x14ac:dyDescent="0.35">
      <c r="O653" s="1"/>
    </row>
    <row r="654" spans="15:15" ht="14.25" customHeight="1" x14ac:dyDescent="0.35">
      <c r="O654" s="1"/>
    </row>
    <row r="655" spans="15:15" ht="14.25" customHeight="1" x14ac:dyDescent="0.35">
      <c r="O655" s="1"/>
    </row>
    <row r="656" spans="15:15" ht="14.25" customHeight="1" x14ac:dyDescent="0.35">
      <c r="O656" s="1"/>
    </row>
    <row r="657" spans="15:15" ht="14.25" customHeight="1" x14ac:dyDescent="0.35">
      <c r="O657" s="1"/>
    </row>
    <row r="658" spans="15:15" ht="14.25" customHeight="1" x14ac:dyDescent="0.35">
      <c r="O658" s="1"/>
    </row>
    <row r="659" spans="15:15" ht="14.25" customHeight="1" x14ac:dyDescent="0.35">
      <c r="O659" s="1"/>
    </row>
    <row r="660" spans="15:15" ht="14.25" customHeight="1" x14ac:dyDescent="0.35">
      <c r="O660" s="1"/>
    </row>
    <row r="661" spans="15:15" ht="14.25" customHeight="1" x14ac:dyDescent="0.35">
      <c r="O661" s="1"/>
    </row>
    <row r="662" spans="15:15" ht="14.25" customHeight="1" x14ac:dyDescent="0.35">
      <c r="O662" s="1"/>
    </row>
    <row r="663" spans="15:15" ht="14.25" customHeight="1" x14ac:dyDescent="0.35">
      <c r="O663" s="1"/>
    </row>
    <row r="664" spans="15:15" ht="14.25" customHeight="1" x14ac:dyDescent="0.35">
      <c r="O664" s="1"/>
    </row>
    <row r="665" spans="15:15" ht="14.25" customHeight="1" x14ac:dyDescent="0.35">
      <c r="O665" s="1"/>
    </row>
    <row r="666" spans="15:15" ht="14.25" customHeight="1" x14ac:dyDescent="0.35">
      <c r="O666" s="1"/>
    </row>
    <row r="667" spans="15:15" ht="14.25" customHeight="1" x14ac:dyDescent="0.35">
      <c r="O667" s="1"/>
    </row>
    <row r="668" spans="15:15" ht="14.25" customHeight="1" x14ac:dyDescent="0.35">
      <c r="O668" s="1"/>
    </row>
    <row r="669" spans="15:15" ht="14.25" customHeight="1" x14ac:dyDescent="0.35">
      <c r="O669" s="1"/>
    </row>
    <row r="670" spans="15:15" ht="14.25" customHeight="1" x14ac:dyDescent="0.35">
      <c r="O670" s="1"/>
    </row>
    <row r="671" spans="15:15" ht="14.25" customHeight="1" x14ac:dyDescent="0.35">
      <c r="O671" s="1"/>
    </row>
    <row r="672" spans="15:15" ht="14.25" customHeight="1" x14ac:dyDescent="0.35">
      <c r="O672" s="1"/>
    </row>
    <row r="673" spans="15:15" ht="14.25" customHeight="1" x14ac:dyDescent="0.35">
      <c r="O673" s="1"/>
    </row>
    <row r="674" spans="15:15" ht="14.25" customHeight="1" x14ac:dyDescent="0.35">
      <c r="O674" s="1"/>
    </row>
    <row r="675" spans="15:15" ht="14.25" customHeight="1" x14ac:dyDescent="0.35">
      <c r="O675" s="1"/>
    </row>
    <row r="676" spans="15:15" ht="14.25" customHeight="1" x14ac:dyDescent="0.35">
      <c r="O676" s="1"/>
    </row>
    <row r="677" spans="15:15" ht="14.25" customHeight="1" x14ac:dyDescent="0.35">
      <c r="O677" s="1"/>
    </row>
    <row r="678" spans="15:15" ht="14.25" customHeight="1" x14ac:dyDescent="0.35">
      <c r="O678" s="1"/>
    </row>
    <row r="679" spans="15:15" ht="14.25" customHeight="1" x14ac:dyDescent="0.35">
      <c r="O679" s="1"/>
    </row>
    <row r="680" spans="15:15" ht="14.25" customHeight="1" x14ac:dyDescent="0.35">
      <c r="O680" s="1"/>
    </row>
    <row r="681" spans="15:15" ht="14.25" customHeight="1" x14ac:dyDescent="0.35">
      <c r="O681" s="1"/>
    </row>
    <row r="682" spans="15:15" ht="14.25" customHeight="1" x14ac:dyDescent="0.35">
      <c r="O682" s="1"/>
    </row>
    <row r="683" spans="15:15" ht="14.25" customHeight="1" x14ac:dyDescent="0.35">
      <c r="O683" s="1"/>
    </row>
    <row r="684" spans="15:15" ht="14.25" customHeight="1" x14ac:dyDescent="0.35">
      <c r="O684" s="1"/>
    </row>
    <row r="685" spans="15:15" ht="14.25" customHeight="1" x14ac:dyDescent="0.35">
      <c r="O685" s="1"/>
    </row>
    <row r="686" spans="15:15" ht="14.25" customHeight="1" x14ac:dyDescent="0.35">
      <c r="O686" s="1"/>
    </row>
    <row r="687" spans="15:15" ht="14.25" customHeight="1" x14ac:dyDescent="0.35">
      <c r="O687" s="1"/>
    </row>
    <row r="688" spans="15:15" ht="14.25" customHeight="1" x14ac:dyDescent="0.35">
      <c r="O688" s="1"/>
    </row>
    <row r="689" spans="15:15" ht="14.25" customHeight="1" x14ac:dyDescent="0.35">
      <c r="O689" s="1"/>
    </row>
    <row r="690" spans="15:15" ht="14.25" customHeight="1" x14ac:dyDescent="0.35">
      <c r="O690" s="1"/>
    </row>
    <row r="691" spans="15:15" ht="14.25" customHeight="1" x14ac:dyDescent="0.35">
      <c r="O691" s="1"/>
    </row>
    <row r="692" spans="15:15" ht="14.25" customHeight="1" x14ac:dyDescent="0.35">
      <c r="O692" s="1"/>
    </row>
    <row r="693" spans="15:15" ht="14.25" customHeight="1" x14ac:dyDescent="0.35">
      <c r="O693" s="1"/>
    </row>
    <row r="694" spans="15:15" ht="14.25" customHeight="1" x14ac:dyDescent="0.35">
      <c r="O694" s="1"/>
    </row>
    <row r="695" spans="15:15" ht="14.25" customHeight="1" x14ac:dyDescent="0.35">
      <c r="O695" s="1"/>
    </row>
    <row r="696" spans="15:15" ht="14.25" customHeight="1" x14ac:dyDescent="0.35">
      <c r="O696" s="1"/>
    </row>
    <row r="697" spans="15:15" ht="14.25" customHeight="1" x14ac:dyDescent="0.35">
      <c r="O697" s="1"/>
    </row>
    <row r="698" spans="15:15" ht="14.25" customHeight="1" x14ac:dyDescent="0.35">
      <c r="O698" s="1"/>
    </row>
    <row r="699" spans="15:15" ht="14.25" customHeight="1" x14ac:dyDescent="0.35">
      <c r="O699" s="1"/>
    </row>
    <row r="700" spans="15:15" ht="14.25" customHeight="1" x14ac:dyDescent="0.35">
      <c r="O700" s="1"/>
    </row>
    <row r="701" spans="15:15" ht="14.25" customHeight="1" x14ac:dyDescent="0.35">
      <c r="O701" s="1"/>
    </row>
    <row r="702" spans="15:15" ht="14.25" customHeight="1" x14ac:dyDescent="0.35">
      <c r="O702" s="1"/>
    </row>
    <row r="703" spans="15:15" ht="14.25" customHeight="1" x14ac:dyDescent="0.35">
      <c r="O703" s="1"/>
    </row>
    <row r="704" spans="15:15" ht="14.25" customHeight="1" x14ac:dyDescent="0.35">
      <c r="O704" s="1"/>
    </row>
    <row r="705" spans="15:15" ht="14.25" customHeight="1" x14ac:dyDescent="0.35">
      <c r="O705" s="1"/>
    </row>
    <row r="706" spans="15:15" ht="14.25" customHeight="1" x14ac:dyDescent="0.35">
      <c r="O706" s="1"/>
    </row>
    <row r="707" spans="15:15" ht="14.25" customHeight="1" x14ac:dyDescent="0.35">
      <c r="O707" s="1"/>
    </row>
    <row r="708" spans="15:15" ht="14.25" customHeight="1" x14ac:dyDescent="0.35">
      <c r="O708" s="1"/>
    </row>
    <row r="709" spans="15:15" ht="14.25" customHeight="1" x14ac:dyDescent="0.35">
      <c r="O709" s="1"/>
    </row>
    <row r="710" spans="15:15" ht="14.25" customHeight="1" x14ac:dyDescent="0.35">
      <c r="O710" s="1"/>
    </row>
    <row r="711" spans="15:15" ht="14.25" customHeight="1" x14ac:dyDescent="0.35">
      <c r="O711" s="1"/>
    </row>
    <row r="712" spans="15:15" ht="14.25" customHeight="1" x14ac:dyDescent="0.35">
      <c r="O712" s="1"/>
    </row>
    <row r="713" spans="15:15" ht="14.25" customHeight="1" x14ac:dyDescent="0.35">
      <c r="O713" s="1"/>
    </row>
    <row r="714" spans="15:15" ht="14.25" customHeight="1" x14ac:dyDescent="0.35">
      <c r="O714" s="1"/>
    </row>
    <row r="715" spans="15:15" ht="14.25" customHeight="1" x14ac:dyDescent="0.35">
      <c r="O715" s="1"/>
    </row>
    <row r="716" spans="15:15" ht="14.25" customHeight="1" x14ac:dyDescent="0.35">
      <c r="O716" s="1"/>
    </row>
    <row r="717" spans="15:15" ht="14.25" customHeight="1" x14ac:dyDescent="0.35">
      <c r="O717" s="1"/>
    </row>
    <row r="718" spans="15:15" ht="14.25" customHeight="1" x14ac:dyDescent="0.35">
      <c r="O718" s="1"/>
    </row>
    <row r="719" spans="15:15" ht="14.25" customHeight="1" x14ac:dyDescent="0.35">
      <c r="O719" s="1"/>
    </row>
    <row r="720" spans="15:15" ht="14.25" customHeight="1" x14ac:dyDescent="0.35">
      <c r="O720" s="1"/>
    </row>
    <row r="721" spans="15:15" ht="14.25" customHeight="1" x14ac:dyDescent="0.35">
      <c r="O721" s="1"/>
    </row>
    <row r="722" spans="15:15" ht="14.25" customHeight="1" x14ac:dyDescent="0.35">
      <c r="O722" s="1"/>
    </row>
    <row r="723" spans="15:15" ht="14.25" customHeight="1" x14ac:dyDescent="0.35">
      <c r="O723" s="1"/>
    </row>
    <row r="724" spans="15:15" ht="14.25" customHeight="1" x14ac:dyDescent="0.35">
      <c r="O724" s="1"/>
    </row>
    <row r="725" spans="15:15" ht="14.25" customHeight="1" x14ac:dyDescent="0.35">
      <c r="O725" s="1"/>
    </row>
    <row r="726" spans="15:15" ht="14.25" customHeight="1" x14ac:dyDescent="0.35">
      <c r="O726" s="1"/>
    </row>
    <row r="727" spans="15:15" ht="14.25" customHeight="1" x14ac:dyDescent="0.35">
      <c r="O727" s="1"/>
    </row>
    <row r="728" spans="15:15" ht="14.25" customHeight="1" x14ac:dyDescent="0.35">
      <c r="O728" s="1"/>
    </row>
    <row r="729" spans="15:15" ht="14.25" customHeight="1" x14ac:dyDescent="0.35">
      <c r="O729" s="1"/>
    </row>
    <row r="730" spans="15:15" ht="14.25" customHeight="1" x14ac:dyDescent="0.35">
      <c r="O730" s="1"/>
    </row>
    <row r="731" spans="15:15" ht="14.25" customHeight="1" x14ac:dyDescent="0.35">
      <c r="O731" s="1"/>
    </row>
    <row r="732" spans="15:15" ht="14.25" customHeight="1" x14ac:dyDescent="0.35">
      <c r="O732" s="1"/>
    </row>
    <row r="733" spans="15:15" ht="14.25" customHeight="1" x14ac:dyDescent="0.35">
      <c r="O733" s="1"/>
    </row>
    <row r="734" spans="15:15" ht="14.25" customHeight="1" x14ac:dyDescent="0.35">
      <c r="O734" s="1"/>
    </row>
    <row r="735" spans="15:15" ht="14.25" customHeight="1" x14ac:dyDescent="0.35">
      <c r="O735" s="1"/>
    </row>
    <row r="736" spans="15:15" ht="14.25" customHeight="1" x14ac:dyDescent="0.35">
      <c r="O736" s="1"/>
    </row>
    <row r="737" spans="15:15" ht="14.25" customHeight="1" x14ac:dyDescent="0.35">
      <c r="O737" s="1"/>
    </row>
    <row r="738" spans="15:15" ht="14.25" customHeight="1" x14ac:dyDescent="0.35">
      <c r="O738" s="1"/>
    </row>
    <row r="739" spans="15:15" ht="14.25" customHeight="1" x14ac:dyDescent="0.35">
      <c r="O739" s="1"/>
    </row>
    <row r="740" spans="15:15" ht="14.25" customHeight="1" x14ac:dyDescent="0.35">
      <c r="O740" s="1"/>
    </row>
    <row r="741" spans="15:15" ht="14.25" customHeight="1" x14ac:dyDescent="0.35">
      <c r="O741" s="1"/>
    </row>
    <row r="742" spans="15:15" ht="14.25" customHeight="1" x14ac:dyDescent="0.35">
      <c r="O742" s="1"/>
    </row>
    <row r="743" spans="15:15" ht="14.25" customHeight="1" x14ac:dyDescent="0.35">
      <c r="O743" s="1"/>
    </row>
    <row r="744" spans="15:15" ht="14.25" customHeight="1" x14ac:dyDescent="0.35">
      <c r="O744" s="1"/>
    </row>
    <row r="745" spans="15:15" ht="14.25" customHeight="1" x14ac:dyDescent="0.35">
      <c r="O745" s="1"/>
    </row>
    <row r="746" spans="15:15" ht="14.25" customHeight="1" x14ac:dyDescent="0.35">
      <c r="O746" s="1"/>
    </row>
    <row r="747" spans="15:15" ht="14.25" customHeight="1" x14ac:dyDescent="0.35">
      <c r="O747" s="1"/>
    </row>
    <row r="748" spans="15:15" ht="14.25" customHeight="1" x14ac:dyDescent="0.35">
      <c r="O748" s="1"/>
    </row>
    <row r="749" spans="15:15" ht="14.25" customHeight="1" x14ac:dyDescent="0.35">
      <c r="O749" s="1"/>
    </row>
    <row r="750" spans="15:15" ht="14.25" customHeight="1" x14ac:dyDescent="0.35">
      <c r="O750" s="1"/>
    </row>
    <row r="751" spans="15:15" ht="14.25" customHeight="1" x14ac:dyDescent="0.35">
      <c r="O751" s="1"/>
    </row>
    <row r="752" spans="15:15" ht="14.25" customHeight="1" x14ac:dyDescent="0.35">
      <c r="O752" s="1"/>
    </row>
    <row r="753" spans="15:15" ht="14.25" customHeight="1" x14ac:dyDescent="0.35">
      <c r="O753" s="1"/>
    </row>
    <row r="754" spans="15:15" ht="14.25" customHeight="1" x14ac:dyDescent="0.35">
      <c r="O754" s="1"/>
    </row>
    <row r="755" spans="15:15" ht="14.25" customHeight="1" x14ac:dyDescent="0.35">
      <c r="O755" s="1"/>
    </row>
    <row r="756" spans="15:15" ht="14.25" customHeight="1" x14ac:dyDescent="0.35">
      <c r="O756" s="1"/>
    </row>
    <row r="757" spans="15:15" ht="14.25" customHeight="1" x14ac:dyDescent="0.35">
      <c r="O757" s="1"/>
    </row>
    <row r="758" spans="15:15" ht="14.25" customHeight="1" x14ac:dyDescent="0.35">
      <c r="O758" s="1"/>
    </row>
    <row r="759" spans="15:15" ht="14.25" customHeight="1" x14ac:dyDescent="0.35">
      <c r="O759" s="1"/>
    </row>
    <row r="760" spans="15:15" ht="14.25" customHeight="1" x14ac:dyDescent="0.35">
      <c r="O760" s="1"/>
    </row>
    <row r="761" spans="15:15" ht="14.25" customHeight="1" x14ac:dyDescent="0.35">
      <c r="O761" s="1"/>
    </row>
    <row r="762" spans="15:15" ht="14.25" customHeight="1" x14ac:dyDescent="0.35">
      <c r="O762" s="1"/>
    </row>
    <row r="763" spans="15:15" ht="14.25" customHeight="1" x14ac:dyDescent="0.35">
      <c r="O763" s="1"/>
    </row>
    <row r="764" spans="15:15" ht="14.25" customHeight="1" x14ac:dyDescent="0.35">
      <c r="O764" s="1"/>
    </row>
    <row r="765" spans="15:15" ht="14.25" customHeight="1" x14ac:dyDescent="0.35">
      <c r="O765" s="1"/>
    </row>
    <row r="766" spans="15:15" ht="14.25" customHeight="1" x14ac:dyDescent="0.35">
      <c r="O766" s="1"/>
    </row>
    <row r="767" spans="15:15" ht="14.25" customHeight="1" x14ac:dyDescent="0.35">
      <c r="O767" s="1"/>
    </row>
    <row r="768" spans="15:15" ht="14.25" customHeight="1" x14ac:dyDescent="0.35">
      <c r="O768" s="1"/>
    </row>
    <row r="769" spans="15:15" ht="14.25" customHeight="1" x14ac:dyDescent="0.35">
      <c r="O769" s="1"/>
    </row>
    <row r="770" spans="15:15" ht="14.25" customHeight="1" x14ac:dyDescent="0.35">
      <c r="O770" s="1"/>
    </row>
    <row r="771" spans="15:15" ht="14.25" customHeight="1" x14ac:dyDescent="0.35">
      <c r="O771" s="1"/>
    </row>
    <row r="772" spans="15:15" ht="14.25" customHeight="1" x14ac:dyDescent="0.35">
      <c r="O772" s="1"/>
    </row>
    <row r="773" spans="15:15" ht="14.25" customHeight="1" x14ac:dyDescent="0.35">
      <c r="O773" s="1"/>
    </row>
    <row r="774" spans="15:15" ht="14.25" customHeight="1" x14ac:dyDescent="0.35">
      <c r="O774" s="1"/>
    </row>
    <row r="775" spans="15:15" ht="14.25" customHeight="1" x14ac:dyDescent="0.35">
      <c r="O775" s="1"/>
    </row>
    <row r="776" spans="15:15" ht="14.25" customHeight="1" x14ac:dyDescent="0.35">
      <c r="O776" s="1"/>
    </row>
    <row r="777" spans="15:15" ht="14.25" customHeight="1" x14ac:dyDescent="0.35">
      <c r="O777" s="1"/>
    </row>
    <row r="778" spans="15:15" ht="14.25" customHeight="1" x14ac:dyDescent="0.35">
      <c r="O778" s="1"/>
    </row>
    <row r="779" spans="15:15" ht="14.25" customHeight="1" x14ac:dyDescent="0.35">
      <c r="O779" s="1"/>
    </row>
    <row r="780" spans="15:15" ht="14.25" customHeight="1" x14ac:dyDescent="0.35">
      <c r="O780" s="1"/>
    </row>
    <row r="781" spans="15:15" ht="14.25" customHeight="1" x14ac:dyDescent="0.35">
      <c r="O781" s="1"/>
    </row>
    <row r="782" spans="15:15" ht="14.25" customHeight="1" x14ac:dyDescent="0.35">
      <c r="O782" s="1"/>
    </row>
    <row r="783" spans="15:15" ht="14.25" customHeight="1" x14ac:dyDescent="0.35">
      <c r="O783" s="1"/>
    </row>
    <row r="784" spans="15:15" ht="14.25" customHeight="1" x14ac:dyDescent="0.35">
      <c r="O784" s="1"/>
    </row>
    <row r="785" spans="15:15" ht="14.25" customHeight="1" x14ac:dyDescent="0.35">
      <c r="O785" s="1"/>
    </row>
    <row r="786" spans="15:15" ht="14.25" customHeight="1" x14ac:dyDescent="0.35">
      <c r="O786" s="1"/>
    </row>
    <row r="787" spans="15:15" ht="14.25" customHeight="1" x14ac:dyDescent="0.35">
      <c r="O787" s="1"/>
    </row>
    <row r="788" spans="15:15" ht="14.25" customHeight="1" x14ac:dyDescent="0.35">
      <c r="O788" s="1"/>
    </row>
    <row r="789" spans="15:15" ht="14.25" customHeight="1" x14ac:dyDescent="0.35">
      <c r="O789" s="1"/>
    </row>
    <row r="790" spans="15:15" ht="14.25" customHeight="1" x14ac:dyDescent="0.35">
      <c r="O790" s="1"/>
    </row>
    <row r="791" spans="15:15" ht="14.25" customHeight="1" x14ac:dyDescent="0.35">
      <c r="O791" s="1"/>
    </row>
    <row r="792" spans="15:15" ht="14.25" customHeight="1" x14ac:dyDescent="0.35">
      <c r="O792" s="1"/>
    </row>
    <row r="793" spans="15:15" ht="14.25" customHeight="1" x14ac:dyDescent="0.35">
      <c r="O793" s="1"/>
    </row>
    <row r="794" spans="15:15" ht="14.25" customHeight="1" x14ac:dyDescent="0.35">
      <c r="O794" s="1"/>
    </row>
    <row r="795" spans="15:15" ht="14.25" customHeight="1" x14ac:dyDescent="0.35">
      <c r="O795" s="1"/>
    </row>
    <row r="796" spans="15:15" ht="14.25" customHeight="1" x14ac:dyDescent="0.35">
      <c r="O796" s="1"/>
    </row>
    <row r="797" spans="15:15" ht="14.25" customHeight="1" x14ac:dyDescent="0.35">
      <c r="O797" s="1"/>
    </row>
    <row r="798" spans="15:15" ht="14.25" customHeight="1" x14ac:dyDescent="0.35">
      <c r="O798" s="1"/>
    </row>
    <row r="799" spans="15:15" ht="14.25" customHeight="1" x14ac:dyDescent="0.35">
      <c r="O799" s="1"/>
    </row>
    <row r="800" spans="15:15" ht="14.25" customHeight="1" x14ac:dyDescent="0.35">
      <c r="O800" s="1"/>
    </row>
    <row r="801" spans="15:15" ht="14.25" customHeight="1" x14ac:dyDescent="0.35">
      <c r="O801" s="1"/>
    </row>
    <row r="802" spans="15:15" ht="14.25" customHeight="1" x14ac:dyDescent="0.35">
      <c r="O802" s="1"/>
    </row>
    <row r="803" spans="15:15" ht="14.25" customHeight="1" x14ac:dyDescent="0.35">
      <c r="O803" s="1"/>
    </row>
    <row r="804" spans="15:15" ht="14.25" customHeight="1" x14ac:dyDescent="0.35">
      <c r="O804" s="1"/>
    </row>
    <row r="805" spans="15:15" ht="14.25" customHeight="1" x14ac:dyDescent="0.35">
      <c r="O805" s="1"/>
    </row>
    <row r="806" spans="15:15" ht="14.25" customHeight="1" x14ac:dyDescent="0.35">
      <c r="O806" s="1"/>
    </row>
    <row r="807" spans="15:15" ht="14.25" customHeight="1" x14ac:dyDescent="0.35">
      <c r="O807" s="1"/>
    </row>
    <row r="808" spans="15:15" ht="14.25" customHeight="1" x14ac:dyDescent="0.35">
      <c r="O808" s="1"/>
    </row>
    <row r="809" spans="15:15" ht="14.25" customHeight="1" x14ac:dyDescent="0.35">
      <c r="O809" s="1"/>
    </row>
    <row r="810" spans="15:15" ht="14.25" customHeight="1" x14ac:dyDescent="0.35">
      <c r="O810" s="1"/>
    </row>
    <row r="811" spans="15:15" ht="14.25" customHeight="1" x14ac:dyDescent="0.35">
      <c r="O811" s="1"/>
    </row>
    <row r="812" spans="15:15" ht="14.25" customHeight="1" x14ac:dyDescent="0.35">
      <c r="O812" s="1"/>
    </row>
    <row r="813" spans="15:15" ht="14.25" customHeight="1" x14ac:dyDescent="0.35">
      <c r="O813" s="1"/>
    </row>
    <row r="814" spans="15:15" ht="14.25" customHeight="1" x14ac:dyDescent="0.35">
      <c r="O814" s="1"/>
    </row>
    <row r="815" spans="15:15" ht="14.25" customHeight="1" x14ac:dyDescent="0.35">
      <c r="O815" s="1"/>
    </row>
    <row r="816" spans="15:15" ht="14.25" customHeight="1" x14ac:dyDescent="0.35">
      <c r="O816" s="1"/>
    </row>
    <row r="817" spans="15:15" ht="14.25" customHeight="1" x14ac:dyDescent="0.35">
      <c r="O817" s="1"/>
    </row>
    <row r="818" spans="15:15" ht="14.25" customHeight="1" x14ac:dyDescent="0.35">
      <c r="O818" s="1"/>
    </row>
    <row r="819" spans="15:15" ht="14.25" customHeight="1" x14ac:dyDescent="0.35">
      <c r="O819" s="1"/>
    </row>
    <row r="820" spans="15:15" ht="14.25" customHeight="1" x14ac:dyDescent="0.35">
      <c r="O820" s="1"/>
    </row>
    <row r="821" spans="15:15" ht="14.25" customHeight="1" x14ac:dyDescent="0.35">
      <c r="O821" s="1"/>
    </row>
    <row r="822" spans="15:15" ht="14.25" customHeight="1" x14ac:dyDescent="0.35">
      <c r="O822" s="1"/>
    </row>
    <row r="823" spans="15:15" ht="14.25" customHeight="1" x14ac:dyDescent="0.35">
      <c r="O823" s="1"/>
    </row>
    <row r="824" spans="15:15" ht="14.25" customHeight="1" x14ac:dyDescent="0.35">
      <c r="O824" s="1"/>
    </row>
    <row r="825" spans="15:15" ht="14.25" customHeight="1" x14ac:dyDescent="0.35">
      <c r="O825" s="1"/>
    </row>
    <row r="826" spans="15:15" ht="14.25" customHeight="1" x14ac:dyDescent="0.35">
      <c r="O826" s="1"/>
    </row>
    <row r="827" spans="15:15" ht="14.25" customHeight="1" x14ac:dyDescent="0.35">
      <c r="O827" s="1"/>
    </row>
    <row r="828" spans="15:15" ht="14.25" customHeight="1" x14ac:dyDescent="0.35">
      <c r="O828" s="1"/>
    </row>
    <row r="829" spans="15:15" ht="14.25" customHeight="1" x14ac:dyDescent="0.35">
      <c r="O829" s="1"/>
    </row>
    <row r="830" spans="15:15" ht="14.25" customHeight="1" x14ac:dyDescent="0.35">
      <c r="O830" s="1"/>
    </row>
    <row r="831" spans="15:15" ht="14.25" customHeight="1" x14ac:dyDescent="0.35">
      <c r="O831" s="1"/>
    </row>
    <row r="832" spans="15:15" ht="14.25" customHeight="1" x14ac:dyDescent="0.35">
      <c r="O832" s="1"/>
    </row>
    <row r="833" spans="15:15" ht="14.25" customHeight="1" x14ac:dyDescent="0.35">
      <c r="O833" s="1"/>
    </row>
    <row r="834" spans="15:15" ht="14.25" customHeight="1" x14ac:dyDescent="0.35">
      <c r="O834" s="1"/>
    </row>
    <row r="835" spans="15:15" ht="14.25" customHeight="1" x14ac:dyDescent="0.35">
      <c r="O835" s="1"/>
    </row>
    <row r="836" spans="15:15" ht="14.25" customHeight="1" x14ac:dyDescent="0.35">
      <c r="O836" s="1"/>
    </row>
    <row r="837" spans="15:15" ht="14.25" customHeight="1" x14ac:dyDescent="0.35">
      <c r="O837" s="1"/>
    </row>
    <row r="838" spans="15:15" ht="14.25" customHeight="1" x14ac:dyDescent="0.35">
      <c r="O838" s="1"/>
    </row>
    <row r="839" spans="15:15" ht="14.25" customHeight="1" x14ac:dyDescent="0.35">
      <c r="O839" s="1"/>
    </row>
    <row r="840" spans="15:15" ht="14.25" customHeight="1" x14ac:dyDescent="0.35">
      <c r="O840" s="1"/>
    </row>
    <row r="841" spans="15:15" ht="14.25" customHeight="1" x14ac:dyDescent="0.35">
      <c r="O841" s="1"/>
    </row>
    <row r="842" spans="15:15" ht="14.25" customHeight="1" x14ac:dyDescent="0.35">
      <c r="O842" s="1"/>
    </row>
    <row r="843" spans="15:15" ht="14.25" customHeight="1" x14ac:dyDescent="0.35">
      <c r="O843" s="1"/>
    </row>
    <row r="844" spans="15:15" ht="14.25" customHeight="1" x14ac:dyDescent="0.35">
      <c r="O844" s="1"/>
    </row>
    <row r="845" spans="15:15" ht="14.25" customHeight="1" x14ac:dyDescent="0.35">
      <c r="O845" s="1"/>
    </row>
    <row r="846" spans="15:15" ht="14.25" customHeight="1" x14ac:dyDescent="0.35">
      <c r="O846" s="1"/>
    </row>
    <row r="847" spans="15:15" ht="14.25" customHeight="1" x14ac:dyDescent="0.35">
      <c r="O847" s="1"/>
    </row>
    <row r="848" spans="15:15" ht="14.25" customHeight="1" x14ac:dyDescent="0.35">
      <c r="O848" s="1"/>
    </row>
    <row r="849" spans="15:15" ht="14.25" customHeight="1" x14ac:dyDescent="0.35">
      <c r="O849" s="1"/>
    </row>
    <row r="850" spans="15:15" ht="14.25" customHeight="1" x14ac:dyDescent="0.35">
      <c r="O850" s="1"/>
    </row>
    <row r="851" spans="15:15" ht="14.25" customHeight="1" x14ac:dyDescent="0.35">
      <c r="O851" s="1"/>
    </row>
    <row r="852" spans="15:15" ht="14.25" customHeight="1" x14ac:dyDescent="0.35">
      <c r="O852" s="1"/>
    </row>
    <row r="853" spans="15:15" ht="14.25" customHeight="1" x14ac:dyDescent="0.35">
      <c r="O853" s="1"/>
    </row>
    <row r="854" spans="15:15" ht="14.25" customHeight="1" x14ac:dyDescent="0.35">
      <c r="O854" s="1"/>
    </row>
    <row r="855" spans="15:15" ht="14.25" customHeight="1" x14ac:dyDescent="0.35">
      <c r="O855" s="1"/>
    </row>
    <row r="856" spans="15:15" ht="14.25" customHeight="1" x14ac:dyDescent="0.35">
      <c r="O856" s="1"/>
    </row>
    <row r="857" spans="15:15" ht="14.25" customHeight="1" x14ac:dyDescent="0.35">
      <c r="O857" s="1"/>
    </row>
    <row r="858" spans="15:15" ht="14.25" customHeight="1" x14ac:dyDescent="0.35">
      <c r="O858" s="1"/>
    </row>
    <row r="859" spans="15:15" ht="14.25" customHeight="1" x14ac:dyDescent="0.35">
      <c r="O859" s="1"/>
    </row>
    <row r="860" spans="15:15" ht="14.25" customHeight="1" x14ac:dyDescent="0.35">
      <c r="O860" s="1"/>
    </row>
    <row r="861" spans="15:15" ht="14.25" customHeight="1" x14ac:dyDescent="0.35">
      <c r="O861" s="1"/>
    </row>
    <row r="862" spans="15:15" ht="14.25" customHeight="1" x14ac:dyDescent="0.35">
      <c r="O862" s="1"/>
    </row>
    <row r="863" spans="15:15" ht="14.25" customHeight="1" x14ac:dyDescent="0.35">
      <c r="O863" s="1"/>
    </row>
    <row r="864" spans="15:15" ht="14.25" customHeight="1" x14ac:dyDescent="0.35">
      <c r="O864" s="1"/>
    </row>
    <row r="865" spans="15:15" ht="14.25" customHeight="1" x14ac:dyDescent="0.35">
      <c r="O865" s="1"/>
    </row>
    <row r="866" spans="15:15" ht="14.25" customHeight="1" x14ac:dyDescent="0.35">
      <c r="O866" s="1"/>
    </row>
    <row r="867" spans="15:15" ht="14.25" customHeight="1" x14ac:dyDescent="0.35">
      <c r="O867" s="1"/>
    </row>
    <row r="868" spans="15:15" ht="14.25" customHeight="1" x14ac:dyDescent="0.35">
      <c r="O868" s="1"/>
    </row>
    <row r="869" spans="15:15" ht="14.25" customHeight="1" x14ac:dyDescent="0.35">
      <c r="O869" s="1"/>
    </row>
    <row r="870" spans="15:15" ht="14.25" customHeight="1" x14ac:dyDescent="0.35">
      <c r="O870" s="1"/>
    </row>
    <row r="871" spans="15:15" ht="14.25" customHeight="1" x14ac:dyDescent="0.35">
      <c r="O871" s="1"/>
    </row>
    <row r="872" spans="15:15" ht="14.25" customHeight="1" x14ac:dyDescent="0.35">
      <c r="O872" s="1"/>
    </row>
    <row r="873" spans="15:15" ht="14.25" customHeight="1" x14ac:dyDescent="0.35">
      <c r="O873" s="1"/>
    </row>
    <row r="874" spans="15:15" ht="14.25" customHeight="1" x14ac:dyDescent="0.35">
      <c r="O874" s="1"/>
    </row>
    <row r="875" spans="15:15" ht="14.25" customHeight="1" x14ac:dyDescent="0.35">
      <c r="O875" s="1"/>
    </row>
    <row r="876" spans="15:15" ht="14.25" customHeight="1" x14ac:dyDescent="0.35">
      <c r="O876" s="1"/>
    </row>
    <row r="877" spans="15:15" ht="14.25" customHeight="1" x14ac:dyDescent="0.35">
      <c r="O877" s="1"/>
    </row>
    <row r="878" spans="15:15" ht="14.25" customHeight="1" x14ac:dyDescent="0.35">
      <c r="O878" s="1"/>
    </row>
    <row r="879" spans="15:15" ht="14.25" customHeight="1" x14ac:dyDescent="0.35">
      <c r="O879" s="1"/>
    </row>
    <row r="880" spans="15:15" ht="14.25" customHeight="1" x14ac:dyDescent="0.35">
      <c r="O880" s="1"/>
    </row>
    <row r="881" spans="15:15" ht="14.25" customHeight="1" x14ac:dyDescent="0.35">
      <c r="O881" s="1"/>
    </row>
    <row r="882" spans="15:15" ht="14.25" customHeight="1" x14ac:dyDescent="0.35">
      <c r="O882" s="1"/>
    </row>
    <row r="883" spans="15:15" ht="14.25" customHeight="1" x14ac:dyDescent="0.35">
      <c r="O883" s="1"/>
    </row>
    <row r="884" spans="15:15" ht="14.25" customHeight="1" x14ac:dyDescent="0.35">
      <c r="O884" s="1"/>
    </row>
    <row r="885" spans="15:15" ht="14.25" customHeight="1" x14ac:dyDescent="0.35">
      <c r="O885" s="1"/>
    </row>
    <row r="886" spans="15:15" ht="14.25" customHeight="1" x14ac:dyDescent="0.35">
      <c r="O886" s="1"/>
    </row>
    <row r="887" spans="15:15" ht="14.25" customHeight="1" x14ac:dyDescent="0.35">
      <c r="O887" s="1"/>
    </row>
    <row r="888" spans="15:15" ht="14.25" customHeight="1" x14ac:dyDescent="0.35">
      <c r="O888" s="1"/>
    </row>
    <row r="889" spans="15:15" ht="14.25" customHeight="1" x14ac:dyDescent="0.35">
      <c r="O889" s="1"/>
    </row>
    <row r="890" spans="15:15" ht="14.25" customHeight="1" x14ac:dyDescent="0.35">
      <c r="O890" s="1"/>
    </row>
    <row r="891" spans="15:15" ht="14.25" customHeight="1" x14ac:dyDescent="0.35">
      <c r="O891" s="1"/>
    </row>
    <row r="892" spans="15:15" ht="14.25" customHeight="1" x14ac:dyDescent="0.35">
      <c r="O892" s="1"/>
    </row>
    <row r="893" spans="15:15" ht="14.25" customHeight="1" x14ac:dyDescent="0.35">
      <c r="O893" s="1"/>
    </row>
    <row r="894" spans="15:15" ht="14.25" customHeight="1" x14ac:dyDescent="0.35">
      <c r="O894" s="1"/>
    </row>
    <row r="895" spans="15:15" ht="14.25" customHeight="1" x14ac:dyDescent="0.35">
      <c r="O895" s="1"/>
    </row>
    <row r="896" spans="15:15" ht="14.25" customHeight="1" x14ac:dyDescent="0.35">
      <c r="O896" s="1"/>
    </row>
    <row r="897" spans="15:15" ht="14.25" customHeight="1" x14ac:dyDescent="0.35">
      <c r="O897" s="1"/>
    </row>
    <row r="898" spans="15:15" ht="14.25" customHeight="1" x14ac:dyDescent="0.35">
      <c r="O898" s="1"/>
    </row>
    <row r="899" spans="15:15" ht="14.25" customHeight="1" x14ac:dyDescent="0.35">
      <c r="O899" s="1"/>
    </row>
    <row r="900" spans="15:15" ht="14.25" customHeight="1" x14ac:dyDescent="0.35">
      <c r="O900" s="1"/>
    </row>
    <row r="901" spans="15:15" ht="14.25" customHeight="1" x14ac:dyDescent="0.35">
      <c r="O901" s="1"/>
    </row>
    <row r="902" spans="15:15" ht="14.25" customHeight="1" x14ac:dyDescent="0.35">
      <c r="O902" s="1"/>
    </row>
    <row r="903" spans="15:15" ht="14.25" customHeight="1" x14ac:dyDescent="0.35">
      <c r="O903" s="1"/>
    </row>
    <row r="904" spans="15:15" ht="14.25" customHeight="1" x14ac:dyDescent="0.35">
      <c r="O904" s="1"/>
    </row>
    <row r="905" spans="15:15" ht="14.25" customHeight="1" x14ac:dyDescent="0.35">
      <c r="O905" s="1"/>
    </row>
    <row r="906" spans="15:15" ht="14.25" customHeight="1" x14ac:dyDescent="0.35">
      <c r="O906" s="1"/>
    </row>
    <row r="907" spans="15:15" ht="14.25" customHeight="1" x14ac:dyDescent="0.35">
      <c r="O907" s="1"/>
    </row>
    <row r="908" spans="15:15" ht="14.25" customHeight="1" x14ac:dyDescent="0.35">
      <c r="O908" s="1"/>
    </row>
    <row r="909" spans="15:15" ht="14.25" customHeight="1" x14ac:dyDescent="0.35">
      <c r="O909" s="1"/>
    </row>
    <row r="910" spans="15:15" ht="14.25" customHeight="1" x14ac:dyDescent="0.35">
      <c r="O910" s="1"/>
    </row>
    <row r="911" spans="15:15" ht="14.25" customHeight="1" x14ac:dyDescent="0.35">
      <c r="O911" s="1"/>
    </row>
    <row r="912" spans="15:15" ht="14.25" customHeight="1" x14ac:dyDescent="0.35">
      <c r="O912" s="1"/>
    </row>
    <row r="913" spans="15:15" ht="14.25" customHeight="1" x14ac:dyDescent="0.35">
      <c r="O913" s="1"/>
    </row>
    <row r="914" spans="15:15" ht="14.25" customHeight="1" x14ac:dyDescent="0.35">
      <c r="O914" s="1"/>
    </row>
    <row r="915" spans="15:15" ht="14.25" customHeight="1" x14ac:dyDescent="0.35">
      <c r="O915" s="1"/>
    </row>
    <row r="916" spans="15:15" ht="14.25" customHeight="1" x14ac:dyDescent="0.35">
      <c r="O916" s="1"/>
    </row>
    <row r="917" spans="15:15" ht="14.25" customHeight="1" x14ac:dyDescent="0.35">
      <c r="O917" s="1"/>
    </row>
    <row r="918" spans="15:15" ht="14.25" customHeight="1" x14ac:dyDescent="0.35">
      <c r="O918" s="1"/>
    </row>
    <row r="919" spans="15:15" ht="14.25" customHeight="1" x14ac:dyDescent="0.35">
      <c r="O919" s="1"/>
    </row>
    <row r="920" spans="15:15" ht="14.25" customHeight="1" x14ac:dyDescent="0.35">
      <c r="O920" s="1"/>
    </row>
    <row r="921" spans="15:15" ht="14.25" customHeight="1" x14ac:dyDescent="0.35">
      <c r="O921" s="1"/>
    </row>
    <row r="922" spans="15:15" ht="14.25" customHeight="1" x14ac:dyDescent="0.35">
      <c r="O922" s="1"/>
    </row>
    <row r="923" spans="15:15" ht="14.25" customHeight="1" x14ac:dyDescent="0.35">
      <c r="O923" s="1"/>
    </row>
    <row r="924" spans="15:15" ht="14.25" customHeight="1" x14ac:dyDescent="0.35">
      <c r="O924" s="1"/>
    </row>
    <row r="925" spans="15:15" ht="14.25" customHeight="1" x14ac:dyDescent="0.35">
      <c r="O925" s="1"/>
    </row>
    <row r="926" spans="15:15" ht="14.25" customHeight="1" x14ac:dyDescent="0.35">
      <c r="O926" s="1"/>
    </row>
    <row r="927" spans="15:15" ht="14.25" customHeight="1" x14ac:dyDescent="0.35">
      <c r="O927" s="1"/>
    </row>
    <row r="928" spans="15:15" ht="14.25" customHeight="1" x14ac:dyDescent="0.35">
      <c r="O928" s="1"/>
    </row>
    <row r="929" spans="15:15" ht="14.25" customHeight="1" x14ac:dyDescent="0.35">
      <c r="O929" s="1"/>
    </row>
    <row r="930" spans="15:15" ht="14.25" customHeight="1" x14ac:dyDescent="0.35">
      <c r="O930" s="1"/>
    </row>
    <row r="931" spans="15:15" ht="14.25" customHeight="1" x14ac:dyDescent="0.35">
      <c r="O931" s="1"/>
    </row>
    <row r="932" spans="15:15" ht="14.25" customHeight="1" x14ac:dyDescent="0.35">
      <c r="O932" s="1"/>
    </row>
    <row r="933" spans="15:15" ht="14.25" customHeight="1" x14ac:dyDescent="0.35">
      <c r="O933" s="1"/>
    </row>
    <row r="934" spans="15:15" ht="14.25" customHeight="1" x14ac:dyDescent="0.35">
      <c r="O934" s="1"/>
    </row>
    <row r="935" spans="15:15" ht="14.25" customHeight="1" x14ac:dyDescent="0.35">
      <c r="O935" s="1"/>
    </row>
    <row r="936" spans="15:15" ht="14.25" customHeight="1" x14ac:dyDescent="0.35">
      <c r="O936" s="1"/>
    </row>
    <row r="937" spans="15:15" ht="14.25" customHeight="1" x14ac:dyDescent="0.35">
      <c r="O937" s="1"/>
    </row>
    <row r="938" spans="15:15" ht="14.25" customHeight="1" x14ac:dyDescent="0.35">
      <c r="O938" s="1"/>
    </row>
    <row r="939" spans="15:15" ht="14.25" customHeight="1" x14ac:dyDescent="0.35">
      <c r="O939" s="1"/>
    </row>
    <row r="940" spans="15:15" ht="14.25" customHeight="1" x14ac:dyDescent="0.35">
      <c r="O940" s="1"/>
    </row>
    <row r="941" spans="15:15" ht="14.25" customHeight="1" x14ac:dyDescent="0.35">
      <c r="O941" s="1"/>
    </row>
    <row r="942" spans="15:15" ht="14.25" customHeight="1" x14ac:dyDescent="0.35">
      <c r="O942" s="1"/>
    </row>
    <row r="943" spans="15:15" ht="14.25" customHeight="1" x14ac:dyDescent="0.35">
      <c r="O943" s="1"/>
    </row>
    <row r="944" spans="15:15" ht="14.25" customHeight="1" x14ac:dyDescent="0.35">
      <c r="O944" s="1"/>
    </row>
    <row r="945" spans="15:15" ht="14.25" customHeight="1" x14ac:dyDescent="0.35">
      <c r="O945" s="1"/>
    </row>
    <row r="946" spans="15:15" ht="14.25" customHeight="1" x14ac:dyDescent="0.35">
      <c r="O946" s="1"/>
    </row>
    <row r="947" spans="15:15" ht="14.25" customHeight="1" x14ac:dyDescent="0.35">
      <c r="O947" s="1"/>
    </row>
    <row r="948" spans="15:15" ht="14.25" customHeight="1" x14ac:dyDescent="0.35">
      <c r="O948" s="1"/>
    </row>
    <row r="949" spans="15:15" ht="14.25" customHeight="1" x14ac:dyDescent="0.35">
      <c r="O949" s="1"/>
    </row>
    <row r="950" spans="15:15" ht="14.25" customHeight="1" x14ac:dyDescent="0.35">
      <c r="O950" s="1"/>
    </row>
    <row r="951" spans="15:15" ht="14.25" customHeight="1" x14ac:dyDescent="0.35">
      <c r="O951" s="1"/>
    </row>
    <row r="952" spans="15:15" ht="14.25" customHeight="1" x14ac:dyDescent="0.35">
      <c r="O952" s="1"/>
    </row>
    <row r="953" spans="15:15" ht="14.25" customHeight="1" x14ac:dyDescent="0.35">
      <c r="O953" s="1"/>
    </row>
    <row r="954" spans="15:15" ht="14.25" customHeight="1" x14ac:dyDescent="0.35">
      <c r="O954" s="1"/>
    </row>
    <row r="955" spans="15:15" ht="14.25" customHeight="1" x14ac:dyDescent="0.35">
      <c r="O955" s="1"/>
    </row>
    <row r="956" spans="15:15" ht="14.25" customHeight="1" x14ac:dyDescent="0.35">
      <c r="O956" s="1"/>
    </row>
    <row r="957" spans="15:15" ht="14.25" customHeight="1" x14ac:dyDescent="0.35">
      <c r="O957" s="1"/>
    </row>
    <row r="958" spans="15:15" ht="14.25" customHeight="1" x14ac:dyDescent="0.35">
      <c r="O958" s="1"/>
    </row>
    <row r="959" spans="15:15" ht="14.25" customHeight="1" x14ac:dyDescent="0.35">
      <c r="O959" s="1"/>
    </row>
    <row r="960" spans="15:15" ht="14.25" customHeight="1" x14ac:dyDescent="0.35">
      <c r="O960" s="1"/>
    </row>
    <row r="961" spans="15:15" ht="14.25" customHeight="1" x14ac:dyDescent="0.35">
      <c r="O961" s="1"/>
    </row>
    <row r="962" spans="15:15" ht="14.25" customHeight="1" x14ac:dyDescent="0.35">
      <c r="O962" s="1"/>
    </row>
    <row r="963" spans="15:15" ht="14.25" customHeight="1" x14ac:dyDescent="0.35">
      <c r="O963" s="1"/>
    </row>
    <row r="964" spans="15:15" ht="14.25" customHeight="1" x14ac:dyDescent="0.35">
      <c r="O964" s="1"/>
    </row>
    <row r="965" spans="15:15" ht="14.25" customHeight="1" x14ac:dyDescent="0.35">
      <c r="O965" s="1"/>
    </row>
    <row r="966" spans="15:15" ht="14.25" customHeight="1" x14ac:dyDescent="0.35">
      <c r="O966" s="1"/>
    </row>
    <row r="967" spans="15:15" ht="14.25" customHeight="1" x14ac:dyDescent="0.35">
      <c r="O967" s="1"/>
    </row>
    <row r="968" spans="15:15" ht="14.25" customHeight="1" x14ac:dyDescent="0.35">
      <c r="O968" s="1"/>
    </row>
    <row r="969" spans="15:15" ht="14.25" customHeight="1" x14ac:dyDescent="0.35">
      <c r="O969" s="1"/>
    </row>
    <row r="970" spans="15:15" ht="14.25" customHeight="1" x14ac:dyDescent="0.35">
      <c r="O970" s="1"/>
    </row>
    <row r="971" spans="15:15" ht="14.25" customHeight="1" x14ac:dyDescent="0.35">
      <c r="O971" s="1"/>
    </row>
    <row r="972" spans="15:15" ht="14.25" customHeight="1" x14ac:dyDescent="0.35">
      <c r="O972" s="1"/>
    </row>
    <row r="973" spans="15:15" ht="14.25" customHeight="1" x14ac:dyDescent="0.35">
      <c r="O973" s="1"/>
    </row>
    <row r="974" spans="15:15" ht="14.25" customHeight="1" x14ac:dyDescent="0.35">
      <c r="O974" s="1"/>
    </row>
    <row r="975" spans="15:15" ht="14.25" customHeight="1" x14ac:dyDescent="0.35">
      <c r="O975" s="1"/>
    </row>
    <row r="976" spans="15:15" ht="14.25" customHeight="1" x14ac:dyDescent="0.35">
      <c r="O976" s="1"/>
    </row>
    <row r="977" spans="15:15" ht="14.25" customHeight="1" x14ac:dyDescent="0.35">
      <c r="O977" s="1"/>
    </row>
    <row r="978" spans="15:15" ht="14.25" customHeight="1" x14ac:dyDescent="0.35">
      <c r="O978" s="1"/>
    </row>
    <row r="979" spans="15:15" ht="14.25" customHeight="1" x14ac:dyDescent="0.35">
      <c r="O979" s="1"/>
    </row>
    <row r="980" spans="15:15" ht="14.25" customHeight="1" x14ac:dyDescent="0.35">
      <c r="O980" s="1"/>
    </row>
    <row r="981" spans="15:15" ht="14.25" customHeight="1" x14ac:dyDescent="0.35">
      <c r="O981" s="1"/>
    </row>
    <row r="982" spans="15:15" ht="14.25" customHeight="1" x14ac:dyDescent="0.35">
      <c r="O982" s="1"/>
    </row>
    <row r="983" spans="15:15" ht="14.25" customHeight="1" x14ac:dyDescent="0.35">
      <c r="O983" s="1"/>
    </row>
    <row r="984" spans="15:15" ht="14.25" customHeight="1" x14ac:dyDescent="0.35">
      <c r="O984" s="1"/>
    </row>
    <row r="985" spans="15:15" ht="14.25" customHeight="1" x14ac:dyDescent="0.35">
      <c r="O985" s="1"/>
    </row>
    <row r="986" spans="15:15" ht="14.25" customHeight="1" x14ac:dyDescent="0.35">
      <c r="O986" s="1"/>
    </row>
    <row r="987" spans="15:15" ht="14.25" customHeight="1" x14ac:dyDescent="0.35">
      <c r="O987" s="1"/>
    </row>
    <row r="988" spans="15:15" ht="14.25" customHeight="1" x14ac:dyDescent="0.35">
      <c r="O988" s="1"/>
    </row>
    <row r="989" spans="15:15" ht="14.25" customHeight="1" x14ac:dyDescent="0.35">
      <c r="O989" s="1"/>
    </row>
    <row r="990" spans="15:15" ht="14.25" customHeight="1" x14ac:dyDescent="0.35">
      <c r="O990" s="1"/>
    </row>
    <row r="991" spans="15:15" ht="14.25" customHeight="1" x14ac:dyDescent="0.35">
      <c r="O991" s="1"/>
    </row>
    <row r="992" spans="15:15" ht="14.25" customHeight="1" x14ac:dyDescent="0.35">
      <c r="O992" s="1"/>
    </row>
    <row r="993" spans="15:15" ht="14.25" customHeight="1" x14ac:dyDescent="0.35">
      <c r="O993" s="1"/>
    </row>
    <row r="994" spans="15:15" ht="14.25" customHeight="1" x14ac:dyDescent="0.35">
      <c r="O994" s="1"/>
    </row>
    <row r="995" spans="15:15" ht="14.25" customHeight="1" x14ac:dyDescent="0.35">
      <c r="O995" s="1"/>
    </row>
    <row r="996" spans="15:15" ht="14.25" customHeight="1" x14ac:dyDescent="0.35">
      <c r="O996" s="1"/>
    </row>
    <row r="997" spans="15:15" ht="14.25" customHeight="1" x14ac:dyDescent="0.35">
      <c r="O997" s="1"/>
    </row>
    <row r="998" spans="15:15" ht="14.25" customHeight="1" x14ac:dyDescent="0.35">
      <c r="O998" s="1"/>
    </row>
    <row r="999" spans="15:15" ht="14.25" customHeight="1" x14ac:dyDescent="0.35">
      <c r="O999" s="1"/>
    </row>
    <row r="1000" spans="15:15" ht="14.25" customHeight="1" x14ac:dyDescent="0.35">
      <c r="O1000" s="1"/>
    </row>
  </sheetData>
  <mergeCells count="16">
    <mergeCell ref="B21:B23"/>
    <mergeCell ref="B24:B25"/>
    <mergeCell ref="B8:C8"/>
    <mergeCell ref="I8:J8"/>
    <mergeCell ref="B9:C9"/>
    <mergeCell ref="I9:J9"/>
    <mergeCell ref="F11:K11"/>
    <mergeCell ref="B13:B20"/>
    <mergeCell ref="C13:C16"/>
    <mergeCell ref="C17:C19"/>
    <mergeCell ref="B7:C7"/>
    <mergeCell ref="B2:C2"/>
    <mergeCell ref="B3:C3"/>
    <mergeCell ref="B4:C4"/>
    <mergeCell ref="B5:C5"/>
    <mergeCell ref="B6:C6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D4F-9E20-4004-A62E-981810974F54}">
  <sheetPr>
    <tabColor rgb="FFE2EFD9"/>
  </sheetPr>
  <dimension ref="B1:P1000"/>
  <sheetViews>
    <sheetView topLeftCell="B10" zoomScale="70" zoomScaleNormal="70" workbookViewId="0">
      <selection activeCell="L20" sqref="L20"/>
    </sheetView>
  </sheetViews>
  <sheetFormatPr defaultColWidth="14.453125" defaultRowHeight="15" customHeight="1" x14ac:dyDescent="0.35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 thickBot="1" x14ac:dyDescent="0.4">
      <c r="O1" s="1"/>
    </row>
    <row r="2" spans="2:16" ht="14.25" customHeight="1" x14ac:dyDescent="0.45">
      <c r="B2" s="199" t="s">
        <v>0</v>
      </c>
      <c r="C2" s="200"/>
      <c r="D2" s="2" t="s">
        <v>1</v>
      </c>
      <c r="E2" s="3"/>
      <c r="I2" s="4"/>
      <c r="O2" s="1"/>
    </row>
    <row r="3" spans="2:16" ht="14.25" customHeight="1" x14ac:dyDescent="0.45">
      <c r="B3" s="198" t="s">
        <v>2</v>
      </c>
      <c r="C3" s="186"/>
      <c r="D3" s="5">
        <f ca="1">TODAY()</f>
        <v>45853</v>
      </c>
      <c r="I3" s="4"/>
      <c r="O3" s="1"/>
    </row>
    <row r="4" spans="2:16" ht="14.25" customHeight="1" x14ac:dyDescent="0.45">
      <c r="B4" s="198" t="s">
        <v>3</v>
      </c>
      <c r="C4" s="186"/>
      <c r="D4" s="6">
        <v>3</v>
      </c>
      <c r="E4" s="3"/>
      <c r="O4" s="1"/>
    </row>
    <row r="5" spans="2:16" ht="14.25" customHeight="1" x14ac:dyDescent="0.45">
      <c r="B5" s="198" t="s">
        <v>4</v>
      </c>
      <c r="C5" s="186"/>
      <c r="D5" s="7">
        <v>0.1</v>
      </c>
      <c r="E5" s="3"/>
      <c r="O5" s="1"/>
    </row>
    <row r="6" spans="2:16" ht="14.25" customHeight="1" x14ac:dyDescent="0.45">
      <c r="B6" s="198" t="s">
        <v>5</v>
      </c>
      <c r="C6" s="186"/>
      <c r="D6" s="8">
        <v>0.05</v>
      </c>
      <c r="E6" s="3"/>
      <c r="O6" s="1"/>
    </row>
    <row r="7" spans="2:16" ht="14.25" customHeight="1" x14ac:dyDescent="0.45">
      <c r="B7" s="198" t="s">
        <v>6</v>
      </c>
      <c r="C7" s="186"/>
      <c r="D7" s="9">
        <v>120000</v>
      </c>
      <c r="E7" s="3"/>
      <c r="O7" s="10"/>
      <c r="P7" s="11"/>
    </row>
    <row r="8" spans="2:16" ht="14.25" customHeight="1" x14ac:dyDescent="0.45">
      <c r="B8" s="185"/>
      <c r="C8" s="186"/>
      <c r="D8" s="12"/>
      <c r="E8" s="3"/>
      <c r="I8" s="187"/>
      <c r="J8" s="186"/>
      <c r="K8" s="13"/>
      <c r="O8" s="10"/>
      <c r="P8" s="11"/>
    </row>
    <row r="9" spans="2:16" ht="14.25" customHeight="1" thickBot="1" x14ac:dyDescent="0.5">
      <c r="B9" s="188" t="s">
        <v>7</v>
      </c>
      <c r="C9" s="189"/>
      <c r="D9" s="14">
        <v>200000</v>
      </c>
      <c r="E9" s="3"/>
      <c r="F9" s="15"/>
      <c r="G9" s="16"/>
      <c r="H9" s="16"/>
      <c r="I9" s="187"/>
      <c r="J9" s="186"/>
      <c r="K9" s="17"/>
      <c r="O9" s="1"/>
      <c r="P9" s="11"/>
    </row>
    <row r="10" spans="2:16" ht="14.25" customHeight="1" thickBot="1" x14ac:dyDescent="0.4">
      <c r="O10" s="1"/>
      <c r="P10" s="11"/>
    </row>
    <row r="11" spans="2:16" ht="43.5" customHeight="1" thickBot="1" x14ac:dyDescent="0.4">
      <c r="B11" s="4"/>
      <c r="C11" s="4"/>
      <c r="D11" s="4"/>
      <c r="E11" s="4"/>
      <c r="F11" s="190" t="s">
        <v>8</v>
      </c>
      <c r="G11" s="191"/>
      <c r="H11" s="191"/>
      <c r="I11" s="191"/>
      <c r="J11" s="191"/>
      <c r="K11" s="192"/>
      <c r="O11" s="1"/>
    </row>
    <row r="12" spans="2:16" ht="49.5" customHeight="1" thickBot="1" x14ac:dyDescent="0.4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 x14ac:dyDescent="0.35">
      <c r="B13" s="193" t="s">
        <v>19</v>
      </c>
      <c r="C13" s="194" t="s">
        <v>20</v>
      </c>
      <c r="D13" s="24" t="s">
        <v>20</v>
      </c>
      <c r="E13" s="25" t="s">
        <v>21</v>
      </c>
      <c r="F13" s="26">
        <f>'Hardware List-RFID'!D7</f>
        <v>2810000</v>
      </c>
      <c r="G13" s="27"/>
      <c r="H13" s="28">
        <f>F13</f>
        <v>2810000</v>
      </c>
      <c r="I13" s="29">
        <v>0.25</v>
      </c>
      <c r="J13" s="30">
        <f>H13/(1-I13)</f>
        <v>3746666.6666666665</v>
      </c>
      <c r="K13" s="28">
        <f t="shared" ref="K13:K15" si="0">H13/(1-I13)</f>
        <v>3746666.6666666665</v>
      </c>
      <c r="O13" s="1"/>
    </row>
    <row r="14" spans="2:16" ht="18" customHeight="1" x14ac:dyDescent="0.35">
      <c r="B14" s="182"/>
      <c r="C14" s="195"/>
      <c r="D14" s="31" t="s">
        <v>22</v>
      </c>
      <c r="E14" s="32" t="s">
        <v>21</v>
      </c>
      <c r="F14" s="33">
        <v>0</v>
      </c>
      <c r="G14" s="27"/>
      <c r="H14" s="34">
        <v>0</v>
      </c>
      <c r="I14" s="29">
        <v>0.25</v>
      </c>
      <c r="J14" s="30">
        <f t="shared" ref="J14" si="1">H14/(1-I14)</f>
        <v>0</v>
      </c>
      <c r="K14" s="34">
        <f t="shared" si="0"/>
        <v>0</v>
      </c>
      <c r="O14" s="1"/>
    </row>
    <row r="15" spans="2:16" ht="18" customHeight="1" x14ac:dyDescent="0.35">
      <c r="B15" s="182"/>
      <c r="C15" s="195"/>
      <c r="D15" s="35" t="s">
        <v>23</v>
      </c>
      <c r="E15" s="36" t="s">
        <v>21</v>
      </c>
      <c r="F15" s="34">
        <f>(SUM(F13:F14)*$D$6)</f>
        <v>140500</v>
      </c>
      <c r="G15" s="37"/>
      <c r="H15" s="34">
        <f>(SUM(H13:H14)*$D$6)</f>
        <v>140500</v>
      </c>
      <c r="I15" s="29">
        <v>0.25</v>
      </c>
      <c r="J15" s="30">
        <f>H15/(1-I15)</f>
        <v>187333.33333333334</v>
      </c>
      <c r="K15" s="34">
        <f t="shared" si="0"/>
        <v>187333.33333333334</v>
      </c>
      <c r="O15" s="1"/>
    </row>
    <row r="16" spans="2:16" ht="18" customHeight="1" x14ac:dyDescent="0.35">
      <c r="B16" s="182"/>
      <c r="C16" s="196"/>
      <c r="D16" s="38" t="s">
        <v>24</v>
      </c>
      <c r="E16" s="39"/>
      <c r="F16" s="38"/>
      <c r="G16" s="38"/>
      <c r="H16" s="40">
        <f>SUM(H13:H15)</f>
        <v>2950500</v>
      </c>
      <c r="I16" s="39"/>
      <c r="J16" s="39"/>
      <c r="K16" s="40">
        <f>SUM(K13:K15)</f>
        <v>3934000</v>
      </c>
      <c r="O16" s="1"/>
    </row>
    <row r="17" spans="2:16" ht="18" customHeight="1" x14ac:dyDescent="0.35">
      <c r="B17" s="182"/>
      <c r="C17" s="197" t="s">
        <v>25</v>
      </c>
      <c r="D17" s="35" t="s">
        <v>26</v>
      </c>
      <c r="E17" s="36" t="s">
        <v>21</v>
      </c>
      <c r="F17" s="41">
        <v>1000000</v>
      </c>
      <c r="G17" s="37"/>
      <c r="H17" s="34">
        <f t="shared" ref="H17:H18" si="2">F17</f>
        <v>1000000</v>
      </c>
      <c r="I17" s="29">
        <v>0.25</v>
      </c>
      <c r="J17" s="30">
        <f t="shared" ref="J17:J18" si="3">H17/(1-I17)</f>
        <v>1333333.3333333333</v>
      </c>
      <c r="K17" s="34">
        <f t="shared" ref="K17:K18" si="4">H17/(1-I17)</f>
        <v>1333333.3333333333</v>
      </c>
      <c r="O17" s="1"/>
    </row>
    <row r="18" spans="2:16" ht="18" customHeight="1" x14ac:dyDescent="0.35">
      <c r="B18" s="182"/>
      <c r="C18" s="195"/>
      <c r="D18" s="43" t="s">
        <v>7</v>
      </c>
      <c r="E18" s="32" t="s">
        <v>21</v>
      </c>
      <c r="F18" s="44">
        <f>D9</f>
        <v>200000</v>
      </c>
      <c r="G18" s="37"/>
      <c r="H18" s="34">
        <f t="shared" si="2"/>
        <v>200000</v>
      </c>
      <c r="I18" s="29">
        <v>0.25</v>
      </c>
      <c r="J18" s="30">
        <f t="shared" si="3"/>
        <v>266666.66666666669</v>
      </c>
      <c r="K18" s="34">
        <f t="shared" si="4"/>
        <v>266666.66666666669</v>
      </c>
      <c r="O18" s="1"/>
    </row>
    <row r="19" spans="2:16" ht="18" customHeight="1" x14ac:dyDescent="0.35">
      <c r="B19" s="182"/>
      <c r="C19" s="196"/>
      <c r="D19" s="38" t="s">
        <v>27</v>
      </c>
      <c r="E19" s="39"/>
      <c r="F19" s="38"/>
      <c r="G19" s="38"/>
      <c r="H19" s="40">
        <f>SUM(H17:H18)</f>
        <v>1200000</v>
      </c>
      <c r="I19" s="39"/>
      <c r="J19" s="45"/>
      <c r="K19" s="40">
        <f>SUM(K17:K18)</f>
        <v>1600000</v>
      </c>
      <c r="O19" s="1"/>
    </row>
    <row r="20" spans="2:16" ht="18" customHeight="1" x14ac:dyDescent="0.35">
      <c r="B20" s="183"/>
      <c r="D20" s="46"/>
      <c r="E20" s="47"/>
      <c r="F20" s="46"/>
      <c r="G20" s="48" t="s">
        <v>28</v>
      </c>
      <c r="H20" s="49">
        <f>H16+H19</f>
        <v>4150500</v>
      </c>
      <c r="I20" s="50"/>
      <c r="J20" s="51"/>
      <c r="K20" s="49">
        <f>K16+K19</f>
        <v>5534000</v>
      </c>
      <c r="N20" s="11"/>
      <c r="O20" s="1"/>
      <c r="P20" s="52"/>
    </row>
    <row r="21" spans="2:16" ht="18" customHeight="1" x14ac:dyDescent="0.35">
      <c r="B21" s="181" t="s">
        <v>29</v>
      </c>
      <c r="C21" s="36" t="s">
        <v>30</v>
      </c>
      <c r="D21" s="43" t="s">
        <v>31</v>
      </c>
      <c r="E21" s="32" t="s">
        <v>32</v>
      </c>
      <c r="F21" s="34">
        <f>'Manpower Cost New'!S8+'Manpower Cost New'!U26</f>
        <v>1086000</v>
      </c>
      <c r="G21" s="53">
        <f t="shared" ref="G21:G22" si="5">$D$4</f>
        <v>3</v>
      </c>
      <c r="H21" s="34">
        <f>F21</f>
        <v>1086000</v>
      </c>
      <c r="I21" s="42">
        <v>0</v>
      </c>
      <c r="J21" s="30">
        <f>H21</f>
        <v>1086000</v>
      </c>
      <c r="K21" s="34">
        <f>J21</f>
        <v>1086000</v>
      </c>
      <c r="L21" s="52"/>
      <c r="N21" s="11"/>
      <c r="O21" s="1"/>
      <c r="P21" s="52"/>
    </row>
    <row r="22" spans="2:16" ht="18" customHeight="1" x14ac:dyDescent="0.35">
      <c r="B22" s="182"/>
      <c r="C22" s="36" t="s">
        <v>33</v>
      </c>
      <c r="D22" s="54" t="s">
        <v>34</v>
      </c>
      <c r="E22" s="32" t="s">
        <v>32</v>
      </c>
      <c r="F22" s="34">
        <f>D7*12</f>
        <v>1440000</v>
      </c>
      <c r="G22" s="53">
        <f t="shared" si="5"/>
        <v>3</v>
      </c>
      <c r="H22" s="34">
        <f>F22*G22</f>
        <v>4320000</v>
      </c>
      <c r="I22" s="42"/>
      <c r="J22" s="55">
        <v>0</v>
      </c>
      <c r="K22" s="34">
        <f>H22</f>
        <v>4320000</v>
      </c>
      <c r="N22" s="11"/>
      <c r="O22" s="1"/>
      <c r="P22" s="52"/>
    </row>
    <row r="23" spans="2:16" ht="18" customHeight="1" x14ac:dyDescent="0.35">
      <c r="B23" s="183"/>
      <c r="D23" s="46"/>
      <c r="E23" s="47"/>
      <c r="F23" s="56"/>
      <c r="G23" s="48" t="s">
        <v>35</v>
      </c>
      <c r="H23" s="49">
        <f>SUM(H21:H22)</f>
        <v>5406000</v>
      </c>
      <c r="I23" s="50"/>
      <c r="J23" s="51"/>
      <c r="K23" s="136">
        <f>SUM(K21:K22)</f>
        <v>5406000</v>
      </c>
      <c r="L23" s="52"/>
      <c r="O23" s="1"/>
    </row>
    <row r="24" spans="2:16" ht="18" customHeight="1" x14ac:dyDescent="0.35">
      <c r="B24" s="184" t="s">
        <v>36</v>
      </c>
      <c r="C24" s="36" t="s">
        <v>36</v>
      </c>
      <c r="D24" s="54" t="s">
        <v>37</v>
      </c>
      <c r="E24" s="32" t="s">
        <v>32</v>
      </c>
      <c r="F24" s="34">
        <f>('Hardware List-RFID'!D5+'Hardware List-RFID'!D6)*D5</f>
        <v>227000</v>
      </c>
      <c r="G24" s="53">
        <f>G21-1</f>
        <v>2</v>
      </c>
      <c r="H24" s="34">
        <f>F24*G24</f>
        <v>454000</v>
      </c>
      <c r="I24" s="29">
        <v>0.25</v>
      </c>
      <c r="J24" s="30">
        <f>H24/(1-I24)</f>
        <v>605333.33333333337</v>
      </c>
      <c r="K24" s="34">
        <f>J24</f>
        <v>605333.33333333337</v>
      </c>
      <c r="N24" s="11"/>
      <c r="O24" s="1"/>
      <c r="P24" s="52"/>
    </row>
    <row r="25" spans="2:16" ht="18" customHeight="1" x14ac:dyDescent="0.35">
      <c r="B25" s="183"/>
      <c r="C25" s="57" t="s">
        <v>38</v>
      </c>
      <c r="D25" s="46"/>
      <c r="E25" s="46"/>
      <c r="F25" s="46"/>
      <c r="G25" s="48" t="s">
        <v>38</v>
      </c>
      <c r="H25" s="49">
        <f>SUM(H24)</f>
        <v>454000</v>
      </c>
      <c r="I25" s="50"/>
      <c r="J25" s="51"/>
      <c r="K25" s="49">
        <f>K24</f>
        <v>605333.33333333337</v>
      </c>
      <c r="O25" s="1"/>
      <c r="P25" s="52"/>
    </row>
    <row r="26" spans="2:16" ht="38.25" customHeight="1" thickBot="1" x14ac:dyDescent="0.4">
      <c r="B26" s="58"/>
      <c r="C26" s="59"/>
      <c r="D26" s="59"/>
      <c r="E26" s="59"/>
      <c r="F26" s="59"/>
      <c r="G26" s="60" t="s">
        <v>142</v>
      </c>
      <c r="H26" s="61">
        <f>H20+H23+H25</f>
        <v>10010500</v>
      </c>
      <c r="I26" s="62">
        <f>1-H26/K26</f>
        <v>0.13293971590252918</v>
      </c>
      <c r="J26" s="63"/>
      <c r="K26" s="61">
        <f>K20+K23+K25</f>
        <v>11545333.333333334</v>
      </c>
      <c r="O26" s="1"/>
    </row>
    <row r="27" spans="2:16" ht="14.25" customHeight="1" x14ac:dyDescent="0.35">
      <c r="H27" s="52"/>
      <c r="O27" s="1"/>
    </row>
    <row r="28" spans="2:16" ht="14.25" customHeight="1" x14ac:dyDescent="0.35">
      <c r="L28" s="11"/>
      <c r="O28" s="1"/>
    </row>
    <row r="29" spans="2:16" ht="14.25" customHeight="1" x14ac:dyDescent="0.35">
      <c r="D29" s="52"/>
      <c r="L29" s="64"/>
      <c r="M29" s="64"/>
      <c r="O29" s="1"/>
    </row>
    <row r="30" spans="2:16" ht="14.25" customHeight="1" x14ac:dyDescent="0.35">
      <c r="L30" s="64"/>
      <c r="M30" s="64"/>
      <c r="O30" s="1"/>
    </row>
    <row r="31" spans="2:16" ht="14.25" customHeight="1" x14ac:dyDescent="0.35">
      <c r="O31" s="1"/>
    </row>
    <row r="32" spans="2:16" ht="14.25" customHeight="1" x14ac:dyDescent="0.35">
      <c r="H32" s="52"/>
      <c r="O32" s="1"/>
    </row>
    <row r="33" spans="15:15" ht="14.25" customHeight="1" x14ac:dyDescent="0.35">
      <c r="O33" s="1"/>
    </row>
    <row r="34" spans="15:15" ht="14.25" customHeight="1" x14ac:dyDescent="0.35">
      <c r="O34" s="1"/>
    </row>
    <row r="35" spans="15:15" ht="14.25" customHeight="1" x14ac:dyDescent="0.35">
      <c r="O35" s="1"/>
    </row>
    <row r="36" spans="15:15" ht="14.25" customHeight="1" x14ac:dyDescent="0.35">
      <c r="O36" s="1"/>
    </row>
    <row r="37" spans="15:15" ht="14.25" customHeight="1" x14ac:dyDescent="0.35">
      <c r="O37" s="1"/>
    </row>
    <row r="38" spans="15:15" ht="14.25" customHeight="1" x14ac:dyDescent="0.35">
      <c r="O38" s="1"/>
    </row>
    <row r="39" spans="15:15" ht="14.25" customHeight="1" x14ac:dyDescent="0.35">
      <c r="O39" s="1"/>
    </row>
    <row r="40" spans="15:15" ht="14.25" customHeight="1" x14ac:dyDescent="0.35">
      <c r="O40" s="1"/>
    </row>
    <row r="41" spans="15:15" ht="14.25" customHeight="1" x14ac:dyDescent="0.35">
      <c r="O41" s="1"/>
    </row>
    <row r="42" spans="15:15" ht="14.25" customHeight="1" x14ac:dyDescent="0.35">
      <c r="O42" s="1"/>
    </row>
    <row r="43" spans="15:15" ht="14.25" customHeight="1" x14ac:dyDescent="0.35">
      <c r="O43" s="1"/>
    </row>
    <row r="44" spans="15:15" ht="14.25" customHeight="1" x14ac:dyDescent="0.35">
      <c r="O44" s="1"/>
    </row>
    <row r="45" spans="15:15" ht="14.25" customHeight="1" x14ac:dyDescent="0.35">
      <c r="O45" s="1"/>
    </row>
    <row r="46" spans="15:15" ht="14.25" customHeight="1" x14ac:dyDescent="0.35">
      <c r="O46" s="1"/>
    </row>
    <row r="47" spans="15:15" ht="14.25" customHeight="1" x14ac:dyDescent="0.35">
      <c r="O47" s="1"/>
    </row>
    <row r="48" spans="15:15" ht="14.25" customHeight="1" x14ac:dyDescent="0.35">
      <c r="O48" s="1"/>
    </row>
    <row r="49" spans="15:15" ht="14.25" customHeight="1" x14ac:dyDescent="0.35">
      <c r="O49" s="1"/>
    </row>
    <row r="50" spans="15:15" ht="14.25" customHeight="1" x14ac:dyDescent="0.35">
      <c r="O50" s="1"/>
    </row>
    <row r="51" spans="15:15" ht="14.25" customHeight="1" x14ac:dyDescent="0.35">
      <c r="O51" s="1"/>
    </row>
    <row r="52" spans="15:15" ht="14.25" customHeight="1" x14ac:dyDescent="0.35">
      <c r="O52" s="1"/>
    </row>
    <row r="53" spans="15:15" ht="14.25" customHeight="1" x14ac:dyDescent="0.35">
      <c r="O53" s="1"/>
    </row>
    <row r="54" spans="15:15" ht="14.25" customHeight="1" x14ac:dyDescent="0.35">
      <c r="O54" s="1"/>
    </row>
    <row r="55" spans="15:15" ht="14.25" customHeight="1" x14ac:dyDescent="0.35">
      <c r="O55" s="1"/>
    </row>
    <row r="56" spans="15:15" ht="14.25" customHeight="1" x14ac:dyDescent="0.35">
      <c r="O56" s="1"/>
    </row>
    <row r="57" spans="15:15" ht="14.25" customHeight="1" x14ac:dyDescent="0.35">
      <c r="O57" s="1"/>
    </row>
    <row r="58" spans="15:15" ht="14.25" customHeight="1" x14ac:dyDescent="0.35">
      <c r="O58" s="1"/>
    </row>
    <row r="59" spans="15:15" ht="14.25" customHeight="1" x14ac:dyDescent="0.35">
      <c r="O59" s="1"/>
    </row>
    <row r="60" spans="15:15" ht="14.25" customHeight="1" x14ac:dyDescent="0.35">
      <c r="O60" s="1"/>
    </row>
    <row r="61" spans="15:15" ht="14.25" customHeight="1" x14ac:dyDescent="0.35">
      <c r="O61" s="1"/>
    </row>
    <row r="62" spans="15:15" ht="14.25" customHeight="1" x14ac:dyDescent="0.35">
      <c r="O62" s="1"/>
    </row>
    <row r="63" spans="15:15" ht="14.25" customHeight="1" x14ac:dyDescent="0.35">
      <c r="O63" s="1"/>
    </row>
    <row r="64" spans="15:15" ht="14.25" customHeight="1" x14ac:dyDescent="0.35">
      <c r="O64" s="1"/>
    </row>
    <row r="65" spans="15:15" ht="14.25" customHeight="1" x14ac:dyDescent="0.35">
      <c r="O65" s="1"/>
    </row>
    <row r="66" spans="15:15" ht="14.25" customHeight="1" x14ac:dyDescent="0.35">
      <c r="O66" s="1"/>
    </row>
    <row r="67" spans="15:15" ht="14.25" customHeight="1" x14ac:dyDescent="0.35">
      <c r="O67" s="1"/>
    </row>
    <row r="68" spans="15:15" ht="14.25" customHeight="1" x14ac:dyDescent="0.35">
      <c r="O68" s="1"/>
    </row>
    <row r="69" spans="15:15" ht="14.25" customHeight="1" x14ac:dyDescent="0.35">
      <c r="O69" s="1"/>
    </row>
    <row r="70" spans="15:15" ht="14.25" customHeight="1" x14ac:dyDescent="0.35">
      <c r="O70" s="1"/>
    </row>
    <row r="71" spans="15:15" ht="14.25" customHeight="1" x14ac:dyDescent="0.35">
      <c r="O71" s="1"/>
    </row>
    <row r="72" spans="15:15" ht="14.25" customHeight="1" x14ac:dyDescent="0.35">
      <c r="O72" s="1"/>
    </row>
    <row r="73" spans="15:15" ht="14.25" customHeight="1" x14ac:dyDescent="0.35">
      <c r="O73" s="1"/>
    </row>
    <row r="74" spans="15:15" ht="14.25" customHeight="1" x14ac:dyDescent="0.35">
      <c r="O74" s="1"/>
    </row>
    <row r="75" spans="15:15" ht="14.25" customHeight="1" x14ac:dyDescent="0.35">
      <c r="O75" s="1"/>
    </row>
    <row r="76" spans="15:15" ht="14.25" customHeight="1" x14ac:dyDescent="0.35">
      <c r="O76" s="1"/>
    </row>
    <row r="77" spans="15:15" ht="14.25" customHeight="1" x14ac:dyDescent="0.35">
      <c r="O77" s="1"/>
    </row>
    <row r="78" spans="15:15" ht="14.25" customHeight="1" x14ac:dyDescent="0.35">
      <c r="O78" s="1"/>
    </row>
    <row r="79" spans="15:15" ht="14.25" customHeight="1" x14ac:dyDescent="0.35">
      <c r="O79" s="1"/>
    </row>
    <row r="80" spans="15:15" ht="14.25" customHeight="1" x14ac:dyDescent="0.35">
      <c r="O80" s="1"/>
    </row>
    <row r="81" spans="15:15" ht="14.25" customHeight="1" x14ac:dyDescent="0.35">
      <c r="O81" s="1"/>
    </row>
    <row r="82" spans="15:15" ht="14.25" customHeight="1" x14ac:dyDescent="0.35">
      <c r="O82" s="1"/>
    </row>
    <row r="83" spans="15:15" ht="14.25" customHeight="1" x14ac:dyDescent="0.35">
      <c r="O83" s="1"/>
    </row>
    <row r="84" spans="15:15" ht="14.25" customHeight="1" x14ac:dyDescent="0.35">
      <c r="O84" s="1"/>
    </row>
    <row r="85" spans="15:15" ht="14.25" customHeight="1" x14ac:dyDescent="0.35">
      <c r="O85" s="1"/>
    </row>
    <row r="86" spans="15:15" ht="14.25" customHeight="1" x14ac:dyDescent="0.35">
      <c r="O86" s="1"/>
    </row>
    <row r="87" spans="15:15" ht="14.25" customHeight="1" x14ac:dyDescent="0.35">
      <c r="O87" s="1"/>
    </row>
    <row r="88" spans="15:15" ht="14.25" customHeight="1" x14ac:dyDescent="0.35">
      <c r="O88" s="1"/>
    </row>
    <row r="89" spans="15:15" ht="14.25" customHeight="1" x14ac:dyDescent="0.35">
      <c r="O89" s="1"/>
    </row>
    <row r="90" spans="15:15" ht="14.25" customHeight="1" x14ac:dyDescent="0.35">
      <c r="O90" s="1"/>
    </row>
    <row r="91" spans="15:15" ht="14.25" customHeight="1" x14ac:dyDescent="0.35">
      <c r="O91" s="1"/>
    </row>
    <row r="92" spans="15:15" ht="14.25" customHeight="1" x14ac:dyDescent="0.35">
      <c r="O92" s="1"/>
    </row>
    <row r="93" spans="15:15" ht="14.25" customHeight="1" x14ac:dyDescent="0.35">
      <c r="O93" s="1"/>
    </row>
    <row r="94" spans="15:15" ht="14.25" customHeight="1" x14ac:dyDescent="0.35">
      <c r="O94" s="1"/>
    </row>
    <row r="95" spans="15:15" ht="14.25" customHeight="1" x14ac:dyDescent="0.35">
      <c r="O95" s="1"/>
    </row>
    <row r="96" spans="15:15" ht="14.25" customHeight="1" x14ac:dyDescent="0.35">
      <c r="O96" s="1"/>
    </row>
    <row r="97" spans="15:15" ht="14.25" customHeight="1" x14ac:dyDescent="0.35">
      <c r="O97" s="1"/>
    </row>
    <row r="98" spans="15:15" ht="14.25" customHeight="1" x14ac:dyDescent="0.35">
      <c r="O98" s="1"/>
    </row>
    <row r="99" spans="15:15" ht="14.25" customHeight="1" x14ac:dyDescent="0.35">
      <c r="O99" s="1"/>
    </row>
    <row r="100" spans="15:15" ht="14.25" customHeight="1" x14ac:dyDescent="0.35">
      <c r="O100" s="1"/>
    </row>
    <row r="101" spans="15:15" ht="14.25" customHeight="1" x14ac:dyDescent="0.35">
      <c r="O101" s="1"/>
    </row>
    <row r="102" spans="15:15" ht="14.25" customHeight="1" x14ac:dyDescent="0.35">
      <c r="O102" s="1"/>
    </row>
    <row r="103" spans="15:15" ht="14.25" customHeight="1" x14ac:dyDescent="0.35">
      <c r="O103" s="1"/>
    </row>
    <row r="104" spans="15:15" ht="14.25" customHeight="1" x14ac:dyDescent="0.35">
      <c r="O104" s="1"/>
    </row>
    <row r="105" spans="15:15" ht="14.25" customHeight="1" x14ac:dyDescent="0.35">
      <c r="O105" s="1"/>
    </row>
    <row r="106" spans="15:15" ht="14.25" customHeight="1" x14ac:dyDescent="0.35">
      <c r="O106" s="1"/>
    </row>
    <row r="107" spans="15:15" ht="14.25" customHeight="1" x14ac:dyDescent="0.35">
      <c r="O107" s="1"/>
    </row>
    <row r="108" spans="15:15" ht="14.25" customHeight="1" x14ac:dyDescent="0.35">
      <c r="O108" s="1"/>
    </row>
    <row r="109" spans="15:15" ht="14.25" customHeight="1" x14ac:dyDescent="0.35">
      <c r="O109" s="1"/>
    </row>
    <row r="110" spans="15:15" ht="14.25" customHeight="1" x14ac:dyDescent="0.35">
      <c r="O110" s="1"/>
    </row>
    <row r="111" spans="15:15" ht="14.25" customHeight="1" x14ac:dyDescent="0.35">
      <c r="O111" s="1"/>
    </row>
    <row r="112" spans="15:15" ht="14.25" customHeight="1" x14ac:dyDescent="0.35">
      <c r="O112" s="1"/>
    </row>
    <row r="113" spans="15:15" ht="14.25" customHeight="1" x14ac:dyDescent="0.35">
      <c r="O113" s="1"/>
    </row>
    <row r="114" spans="15:15" ht="14.25" customHeight="1" x14ac:dyDescent="0.35">
      <c r="O114" s="1"/>
    </row>
    <row r="115" spans="15:15" ht="14.25" customHeight="1" x14ac:dyDescent="0.35">
      <c r="O115" s="1"/>
    </row>
    <row r="116" spans="15:15" ht="14.25" customHeight="1" x14ac:dyDescent="0.35">
      <c r="O116" s="1"/>
    </row>
    <row r="117" spans="15:15" ht="14.25" customHeight="1" x14ac:dyDescent="0.35">
      <c r="O117" s="1"/>
    </row>
    <row r="118" spans="15:15" ht="14.25" customHeight="1" x14ac:dyDescent="0.35">
      <c r="O118" s="1"/>
    </row>
    <row r="119" spans="15:15" ht="14.25" customHeight="1" x14ac:dyDescent="0.35">
      <c r="O119" s="1"/>
    </row>
    <row r="120" spans="15:15" ht="14.25" customHeight="1" x14ac:dyDescent="0.35">
      <c r="O120" s="1"/>
    </row>
    <row r="121" spans="15:15" ht="14.25" customHeight="1" x14ac:dyDescent="0.35">
      <c r="O121" s="1"/>
    </row>
    <row r="122" spans="15:15" ht="14.25" customHeight="1" x14ac:dyDescent="0.35">
      <c r="O122" s="1"/>
    </row>
    <row r="123" spans="15:15" ht="14.25" customHeight="1" x14ac:dyDescent="0.35">
      <c r="O123" s="1"/>
    </row>
    <row r="124" spans="15:15" ht="14.25" customHeight="1" x14ac:dyDescent="0.35">
      <c r="O124" s="1"/>
    </row>
    <row r="125" spans="15:15" ht="14.25" customHeight="1" x14ac:dyDescent="0.35">
      <c r="O125" s="1"/>
    </row>
    <row r="126" spans="15:15" ht="14.25" customHeight="1" x14ac:dyDescent="0.35">
      <c r="O126" s="1"/>
    </row>
    <row r="127" spans="15:15" ht="14.25" customHeight="1" x14ac:dyDescent="0.35">
      <c r="O127" s="1"/>
    </row>
    <row r="128" spans="15:15" ht="14.25" customHeight="1" x14ac:dyDescent="0.35">
      <c r="O128" s="1"/>
    </row>
    <row r="129" spans="15:15" ht="14.25" customHeight="1" x14ac:dyDescent="0.35">
      <c r="O129" s="1"/>
    </row>
    <row r="130" spans="15:15" ht="14.25" customHeight="1" x14ac:dyDescent="0.35">
      <c r="O130" s="1"/>
    </row>
    <row r="131" spans="15:15" ht="14.25" customHeight="1" x14ac:dyDescent="0.35">
      <c r="O131" s="1"/>
    </row>
    <row r="132" spans="15:15" ht="14.25" customHeight="1" x14ac:dyDescent="0.35">
      <c r="O132" s="1"/>
    </row>
    <row r="133" spans="15:15" ht="14.25" customHeight="1" x14ac:dyDescent="0.35">
      <c r="O133" s="1"/>
    </row>
    <row r="134" spans="15:15" ht="14.25" customHeight="1" x14ac:dyDescent="0.35">
      <c r="O134" s="1"/>
    </row>
    <row r="135" spans="15:15" ht="14.25" customHeight="1" x14ac:dyDescent="0.35">
      <c r="O135" s="1"/>
    </row>
    <row r="136" spans="15:15" ht="14.25" customHeight="1" x14ac:dyDescent="0.35">
      <c r="O136" s="1"/>
    </row>
    <row r="137" spans="15:15" ht="14.25" customHeight="1" x14ac:dyDescent="0.35">
      <c r="O137" s="1"/>
    </row>
    <row r="138" spans="15:15" ht="14.25" customHeight="1" x14ac:dyDescent="0.35">
      <c r="O138" s="1"/>
    </row>
    <row r="139" spans="15:15" ht="14.25" customHeight="1" x14ac:dyDescent="0.35">
      <c r="O139" s="1"/>
    </row>
    <row r="140" spans="15:15" ht="14.25" customHeight="1" x14ac:dyDescent="0.35">
      <c r="O140" s="1"/>
    </row>
    <row r="141" spans="15:15" ht="14.25" customHeight="1" x14ac:dyDescent="0.35">
      <c r="O141" s="1"/>
    </row>
    <row r="142" spans="15:15" ht="14.25" customHeight="1" x14ac:dyDescent="0.35">
      <c r="O142" s="1"/>
    </row>
    <row r="143" spans="15:15" ht="14.25" customHeight="1" x14ac:dyDescent="0.35">
      <c r="O143" s="1"/>
    </row>
    <row r="144" spans="15:15" ht="14.25" customHeight="1" x14ac:dyDescent="0.35">
      <c r="O144" s="1"/>
    </row>
    <row r="145" spans="15:15" ht="14.25" customHeight="1" x14ac:dyDescent="0.35">
      <c r="O145" s="1"/>
    </row>
    <row r="146" spans="15:15" ht="14.25" customHeight="1" x14ac:dyDescent="0.35">
      <c r="O146" s="1"/>
    </row>
    <row r="147" spans="15:15" ht="14.25" customHeight="1" x14ac:dyDescent="0.35">
      <c r="O147" s="1"/>
    </row>
    <row r="148" spans="15:15" ht="14.25" customHeight="1" x14ac:dyDescent="0.35">
      <c r="O148" s="1"/>
    </row>
    <row r="149" spans="15:15" ht="14.25" customHeight="1" x14ac:dyDescent="0.35">
      <c r="O149" s="1"/>
    </row>
    <row r="150" spans="15:15" ht="14.25" customHeight="1" x14ac:dyDescent="0.35">
      <c r="O150" s="1"/>
    </row>
    <row r="151" spans="15:15" ht="14.25" customHeight="1" x14ac:dyDescent="0.35">
      <c r="O151" s="1"/>
    </row>
    <row r="152" spans="15:15" ht="14.25" customHeight="1" x14ac:dyDescent="0.35">
      <c r="O152" s="1"/>
    </row>
    <row r="153" spans="15:15" ht="14.25" customHeight="1" x14ac:dyDescent="0.35">
      <c r="O153" s="1"/>
    </row>
    <row r="154" spans="15:15" ht="14.25" customHeight="1" x14ac:dyDescent="0.35">
      <c r="O154" s="1"/>
    </row>
    <row r="155" spans="15:15" ht="14.25" customHeight="1" x14ac:dyDescent="0.35">
      <c r="O155" s="1"/>
    </row>
    <row r="156" spans="15:15" ht="14.25" customHeight="1" x14ac:dyDescent="0.35">
      <c r="O156" s="1"/>
    </row>
    <row r="157" spans="15:15" ht="14.25" customHeight="1" x14ac:dyDescent="0.35">
      <c r="O157" s="1"/>
    </row>
    <row r="158" spans="15:15" ht="14.25" customHeight="1" x14ac:dyDescent="0.35">
      <c r="O158" s="1"/>
    </row>
    <row r="159" spans="15:15" ht="14.25" customHeight="1" x14ac:dyDescent="0.35">
      <c r="O159" s="1"/>
    </row>
    <row r="160" spans="15:15" ht="14.25" customHeight="1" x14ac:dyDescent="0.35">
      <c r="O160" s="1"/>
    </row>
    <row r="161" spans="15:15" ht="14.25" customHeight="1" x14ac:dyDescent="0.35">
      <c r="O161" s="1"/>
    </row>
    <row r="162" spans="15:15" ht="14.25" customHeight="1" x14ac:dyDescent="0.35">
      <c r="O162" s="1"/>
    </row>
    <row r="163" spans="15:15" ht="14.25" customHeight="1" x14ac:dyDescent="0.35">
      <c r="O163" s="1"/>
    </row>
    <row r="164" spans="15:15" ht="14.25" customHeight="1" x14ac:dyDescent="0.35">
      <c r="O164" s="1"/>
    </row>
    <row r="165" spans="15:15" ht="14.25" customHeight="1" x14ac:dyDescent="0.35">
      <c r="O165" s="1"/>
    </row>
    <row r="166" spans="15:15" ht="14.25" customHeight="1" x14ac:dyDescent="0.35">
      <c r="O166" s="1"/>
    </row>
    <row r="167" spans="15:15" ht="14.25" customHeight="1" x14ac:dyDescent="0.35">
      <c r="O167" s="1"/>
    </row>
    <row r="168" spans="15:15" ht="14.25" customHeight="1" x14ac:dyDescent="0.35">
      <c r="O168" s="1"/>
    </row>
    <row r="169" spans="15:15" ht="14.25" customHeight="1" x14ac:dyDescent="0.35">
      <c r="O169" s="1"/>
    </row>
    <row r="170" spans="15:15" ht="14.25" customHeight="1" x14ac:dyDescent="0.35">
      <c r="O170" s="1"/>
    </row>
    <row r="171" spans="15:15" ht="14.25" customHeight="1" x14ac:dyDescent="0.35">
      <c r="O171" s="1"/>
    </row>
    <row r="172" spans="15:15" ht="14.25" customHeight="1" x14ac:dyDescent="0.35">
      <c r="O172" s="1"/>
    </row>
    <row r="173" spans="15:15" ht="14.25" customHeight="1" x14ac:dyDescent="0.35">
      <c r="O173" s="1"/>
    </row>
    <row r="174" spans="15:15" ht="14.25" customHeight="1" x14ac:dyDescent="0.35">
      <c r="O174" s="1"/>
    </row>
    <row r="175" spans="15:15" ht="14.25" customHeight="1" x14ac:dyDescent="0.35">
      <c r="O175" s="1"/>
    </row>
    <row r="176" spans="15:15" ht="14.25" customHeight="1" x14ac:dyDescent="0.35">
      <c r="O176" s="1"/>
    </row>
    <row r="177" spans="15:15" ht="14.25" customHeight="1" x14ac:dyDescent="0.35">
      <c r="O177" s="1"/>
    </row>
    <row r="178" spans="15:15" ht="14.25" customHeight="1" x14ac:dyDescent="0.35">
      <c r="O178" s="1"/>
    </row>
    <row r="179" spans="15:15" ht="14.25" customHeight="1" x14ac:dyDescent="0.35">
      <c r="O179" s="1"/>
    </row>
    <row r="180" spans="15:15" ht="14.25" customHeight="1" x14ac:dyDescent="0.35">
      <c r="O180" s="1"/>
    </row>
    <row r="181" spans="15:15" ht="14.25" customHeight="1" x14ac:dyDescent="0.35">
      <c r="O181" s="1"/>
    </row>
    <row r="182" spans="15:15" ht="14.25" customHeight="1" x14ac:dyDescent="0.35">
      <c r="O182" s="1"/>
    </row>
    <row r="183" spans="15:15" ht="14.25" customHeight="1" x14ac:dyDescent="0.35">
      <c r="O183" s="1"/>
    </row>
    <row r="184" spans="15:15" ht="14.25" customHeight="1" x14ac:dyDescent="0.35">
      <c r="O184" s="1"/>
    </row>
    <row r="185" spans="15:15" ht="14.25" customHeight="1" x14ac:dyDescent="0.35">
      <c r="O185" s="1"/>
    </row>
    <row r="186" spans="15:15" ht="14.25" customHeight="1" x14ac:dyDescent="0.35">
      <c r="O186" s="1"/>
    </row>
    <row r="187" spans="15:15" ht="14.25" customHeight="1" x14ac:dyDescent="0.35">
      <c r="O187" s="1"/>
    </row>
    <row r="188" spans="15:15" ht="14.25" customHeight="1" x14ac:dyDescent="0.35">
      <c r="O188" s="1"/>
    </row>
    <row r="189" spans="15:15" ht="14.25" customHeight="1" x14ac:dyDescent="0.35">
      <c r="O189" s="1"/>
    </row>
    <row r="190" spans="15:15" ht="14.25" customHeight="1" x14ac:dyDescent="0.35">
      <c r="O190" s="1"/>
    </row>
    <row r="191" spans="15:15" ht="14.25" customHeight="1" x14ac:dyDescent="0.35">
      <c r="O191" s="1"/>
    </row>
    <row r="192" spans="15:15" ht="14.25" customHeight="1" x14ac:dyDescent="0.35">
      <c r="O192" s="1"/>
    </row>
    <row r="193" spans="15:15" ht="14.25" customHeight="1" x14ac:dyDescent="0.35">
      <c r="O193" s="1"/>
    </row>
    <row r="194" spans="15:15" ht="14.25" customHeight="1" x14ac:dyDescent="0.35">
      <c r="O194" s="1"/>
    </row>
    <row r="195" spans="15:15" ht="14.25" customHeight="1" x14ac:dyDescent="0.35">
      <c r="O195" s="1"/>
    </row>
    <row r="196" spans="15:15" ht="14.25" customHeight="1" x14ac:dyDescent="0.35">
      <c r="O196" s="1"/>
    </row>
    <row r="197" spans="15:15" ht="14.25" customHeight="1" x14ac:dyDescent="0.35">
      <c r="O197" s="1"/>
    </row>
    <row r="198" spans="15:15" ht="14.25" customHeight="1" x14ac:dyDescent="0.35">
      <c r="O198" s="1"/>
    </row>
    <row r="199" spans="15:15" ht="14.25" customHeight="1" x14ac:dyDescent="0.35">
      <c r="O199" s="1"/>
    </row>
    <row r="200" spans="15:15" ht="14.25" customHeight="1" x14ac:dyDescent="0.35">
      <c r="O200" s="1"/>
    </row>
    <row r="201" spans="15:15" ht="14.25" customHeight="1" x14ac:dyDescent="0.35">
      <c r="O201" s="1"/>
    </row>
    <row r="202" spans="15:15" ht="14.25" customHeight="1" x14ac:dyDescent="0.35">
      <c r="O202" s="1"/>
    </row>
    <row r="203" spans="15:15" ht="14.25" customHeight="1" x14ac:dyDescent="0.35">
      <c r="O203" s="1"/>
    </row>
    <row r="204" spans="15:15" ht="14.25" customHeight="1" x14ac:dyDescent="0.35">
      <c r="O204" s="1"/>
    </row>
    <row r="205" spans="15:15" ht="14.25" customHeight="1" x14ac:dyDescent="0.35">
      <c r="O205" s="1"/>
    </row>
    <row r="206" spans="15:15" ht="14.25" customHeight="1" x14ac:dyDescent="0.35">
      <c r="O206" s="1"/>
    </row>
    <row r="207" spans="15:15" ht="14.25" customHeight="1" x14ac:dyDescent="0.35">
      <c r="O207" s="1"/>
    </row>
    <row r="208" spans="15:15" ht="14.25" customHeight="1" x14ac:dyDescent="0.35">
      <c r="O208" s="1"/>
    </row>
    <row r="209" spans="15:15" ht="14.25" customHeight="1" x14ac:dyDescent="0.35">
      <c r="O209" s="1"/>
    </row>
    <row r="210" spans="15:15" ht="14.25" customHeight="1" x14ac:dyDescent="0.35">
      <c r="O210" s="1"/>
    </row>
    <row r="211" spans="15:15" ht="14.25" customHeight="1" x14ac:dyDescent="0.35">
      <c r="O211" s="1"/>
    </row>
    <row r="212" spans="15:15" ht="14.25" customHeight="1" x14ac:dyDescent="0.35">
      <c r="O212" s="1"/>
    </row>
    <row r="213" spans="15:15" ht="14.25" customHeight="1" x14ac:dyDescent="0.35">
      <c r="O213" s="1"/>
    </row>
    <row r="214" spans="15:15" ht="14.25" customHeight="1" x14ac:dyDescent="0.35">
      <c r="O214" s="1"/>
    </row>
    <row r="215" spans="15:15" ht="14.25" customHeight="1" x14ac:dyDescent="0.35">
      <c r="O215" s="1"/>
    </row>
    <row r="216" spans="15:15" ht="14.25" customHeight="1" x14ac:dyDescent="0.35">
      <c r="O216" s="1"/>
    </row>
    <row r="217" spans="15:15" ht="14.25" customHeight="1" x14ac:dyDescent="0.35">
      <c r="O217" s="1"/>
    </row>
    <row r="218" spans="15:15" ht="14.25" customHeight="1" x14ac:dyDescent="0.35">
      <c r="O218" s="1"/>
    </row>
    <row r="219" spans="15:15" ht="14.25" customHeight="1" x14ac:dyDescent="0.35">
      <c r="O219" s="1"/>
    </row>
    <row r="220" spans="15:15" ht="14.25" customHeight="1" x14ac:dyDescent="0.35">
      <c r="O220" s="1"/>
    </row>
    <row r="221" spans="15:15" ht="14.25" customHeight="1" x14ac:dyDescent="0.35">
      <c r="O221" s="1"/>
    </row>
    <row r="222" spans="15:15" ht="14.25" customHeight="1" x14ac:dyDescent="0.35">
      <c r="O222" s="1"/>
    </row>
    <row r="223" spans="15:15" ht="14.25" customHeight="1" x14ac:dyDescent="0.35">
      <c r="O223" s="1"/>
    </row>
    <row r="224" spans="15:15" ht="14.25" customHeight="1" x14ac:dyDescent="0.35">
      <c r="O224" s="1"/>
    </row>
    <row r="225" spans="15:15" ht="14.25" customHeight="1" x14ac:dyDescent="0.35">
      <c r="O225" s="1"/>
    </row>
    <row r="226" spans="15:15" ht="14.25" customHeight="1" x14ac:dyDescent="0.35">
      <c r="O226" s="1"/>
    </row>
    <row r="227" spans="15:15" ht="14.25" customHeight="1" x14ac:dyDescent="0.35">
      <c r="O227" s="1"/>
    </row>
    <row r="228" spans="15:15" ht="14.25" customHeight="1" x14ac:dyDescent="0.35">
      <c r="O228" s="1"/>
    </row>
    <row r="229" spans="15:15" ht="14.25" customHeight="1" x14ac:dyDescent="0.35">
      <c r="O229" s="1"/>
    </row>
    <row r="230" spans="15:15" ht="14.25" customHeight="1" x14ac:dyDescent="0.35">
      <c r="O230" s="1"/>
    </row>
    <row r="231" spans="15:15" ht="14.25" customHeight="1" x14ac:dyDescent="0.35">
      <c r="O231" s="1"/>
    </row>
    <row r="232" spans="15:15" ht="14.25" customHeight="1" x14ac:dyDescent="0.35">
      <c r="O232" s="1"/>
    </row>
    <row r="233" spans="15:15" ht="14.25" customHeight="1" x14ac:dyDescent="0.35">
      <c r="O233" s="1"/>
    </row>
    <row r="234" spans="15:15" ht="14.25" customHeight="1" x14ac:dyDescent="0.35">
      <c r="O234" s="1"/>
    </row>
    <row r="235" spans="15:15" ht="14.25" customHeight="1" x14ac:dyDescent="0.35">
      <c r="O235" s="1"/>
    </row>
    <row r="236" spans="15:15" ht="14.25" customHeight="1" x14ac:dyDescent="0.35">
      <c r="O236" s="1"/>
    </row>
    <row r="237" spans="15:15" ht="14.25" customHeight="1" x14ac:dyDescent="0.35">
      <c r="O237" s="1"/>
    </row>
    <row r="238" spans="15:15" ht="14.25" customHeight="1" x14ac:dyDescent="0.35">
      <c r="O238" s="1"/>
    </row>
    <row r="239" spans="15:15" ht="14.25" customHeight="1" x14ac:dyDescent="0.35">
      <c r="O239" s="1"/>
    </row>
    <row r="240" spans="15:15" ht="14.25" customHeight="1" x14ac:dyDescent="0.35">
      <c r="O240" s="1"/>
    </row>
    <row r="241" spans="15:15" ht="14.25" customHeight="1" x14ac:dyDescent="0.35">
      <c r="O241" s="1"/>
    </row>
    <row r="242" spans="15:15" ht="14.25" customHeight="1" x14ac:dyDescent="0.35">
      <c r="O242" s="1"/>
    </row>
    <row r="243" spans="15:15" ht="14.25" customHeight="1" x14ac:dyDescent="0.35">
      <c r="O243" s="1"/>
    </row>
    <row r="244" spans="15:15" ht="14.25" customHeight="1" x14ac:dyDescent="0.35">
      <c r="O244" s="1"/>
    </row>
    <row r="245" spans="15:15" ht="14.25" customHeight="1" x14ac:dyDescent="0.35">
      <c r="O245" s="1"/>
    </row>
    <row r="246" spans="15:15" ht="14.25" customHeight="1" x14ac:dyDescent="0.35">
      <c r="O246" s="1"/>
    </row>
    <row r="247" spans="15:15" ht="14.25" customHeight="1" x14ac:dyDescent="0.35">
      <c r="O247" s="1"/>
    </row>
    <row r="248" spans="15:15" ht="14.25" customHeight="1" x14ac:dyDescent="0.35">
      <c r="O248" s="1"/>
    </row>
    <row r="249" spans="15:15" ht="14.25" customHeight="1" x14ac:dyDescent="0.35">
      <c r="O249" s="1"/>
    </row>
    <row r="250" spans="15:15" ht="14.25" customHeight="1" x14ac:dyDescent="0.35">
      <c r="O250" s="1"/>
    </row>
    <row r="251" spans="15:15" ht="14.25" customHeight="1" x14ac:dyDescent="0.35">
      <c r="O251" s="1"/>
    </row>
    <row r="252" spans="15:15" ht="14.25" customHeight="1" x14ac:dyDescent="0.35">
      <c r="O252" s="1"/>
    </row>
    <row r="253" spans="15:15" ht="14.25" customHeight="1" x14ac:dyDescent="0.35">
      <c r="O253" s="1"/>
    </row>
    <row r="254" spans="15:15" ht="14.25" customHeight="1" x14ac:dyDescent="0.35">
      <c r="O254" s="1"/>
    </row>
    <row r="255" spans="15:15" ht="14.25" customHeight="1" x14ac:dyDescent="0.35">
      <c r="O255" s="1"/>
    </row>
    <row r="256" spans="15:15" ht="14.25" customHeight="1" x14ac:dyDescent="0.35">
      <c r="O256" s="1"/>
    </row>
    <row r="257" spans="15:15" ht="14.25" customHeight="1" x14ac:dyDescent="0.35">
      <c r="O257" s="1"/>
    </row>
    <row r="258" spans="15:15" ht="14.25" customHeight="1" x14ac:dyDescent="0.35">
      <c r="O258" s="1"/>
    </row>
    <row r="259" spans="15:15" ht="14.25" customHeight="1" x14ac:dyDescent="0.35">
      <c r="O259" s="1"/>
    </row>
    <row r="260" spans="15:15" ht="14.25" customHeight="1" x14ac:dyDescent="0.35">
      <c r="O260" s="1"/>
    </row>
    <row r="261" spans="15:15" ht="14.25" customHeight="1" x14ac:dyDescent="0.35">
      <c r="O261" s="1"/>
    </row>
    <row r="262" spans="15:15" ht="14.25" customHeight="1" x14ac:dyDescent="0.35">
      <c r="O262" s="1"/>
    </row>
    <row r="263" spans="15:15" ht="14.25" customHeight="1" x14ac:dyDescent="0.35">
      <c r="O263" s="1"/>
    </row>
    <row r="264" spans="15:15" ht="14.25" customHeight="1" x14ac:dyDescent="0.35">
      <c r="O264" s="1"/>
    </row>
    <row r="265" spans="15:15" ht="14.25" customHeight="1" x14ac:dyDescent="0.35">
      <c r="O265" s="1"/>
    </row>
    <row r="266" spans="15:15" ht="14.25" customHeight="1" x14ac:dyDescent="0.35">
      <c r="O266" s="1"/>
    </row>
    <row r="267" spans="15:15" ht="14.25" customHeight="1" x14ac:dyDescent="0.35">
      <c r="O267" s="1"/>
    </row>
    <row r="268" spans="15:15" ht="14.25" customHeight="1" x14ac:dyDescent="0.35">
      <c r="O268" s="1"/>
    </row>
    <row r="269" spans="15:15" ht="14.25" customHeight="1" x14ac:dyDescent="0.35">
      <c r="O269" s="1"/>
    </row>
    <row r="270" spans="15:15" ht="14.25" customHeight="1" x14ac:dyDescent="0.35">
      <c r="O270" s="1"/>
    </row>
    <row r="271" spans="15:15" ht="14.25" customHeight="1" x14ac:dyDescent="0.35">
      <c r="O271" s="1"/>
    </row>
    <row r="272" spans="15:15" ht="14.25" customHeight="1" x14ac:dyDescent="0.35">
      <c r="O272" s="1"/>
    </row>
    <row r="273" spans="15:15" ht="14.25" customHeight="1" x14ac:dyDescent="0.35">
      <c r="O273" s="1"/>
    </row>
    <row r="274" spans="15:15" ht="14.25" customHeight="1" x14ac:dyDescent="0.35">
      <c r="O274" s="1"/>
    </row>
    <row r="275" spans="15:15" ht="14.25" customHeight="1" x14ac:dyDescent="0.35">
      <c r="O275" s="1"/>
    </row>
    <row r="276" spans="15:15" ht="14.25" customHeight="1" x14ac:dyDescent="0.35">
      <c r="O276" s="1"/>
    </row>
    <row r="277" spans="15:15" ht="14.25" customHeight="1" x14ac:dyDescent="0.35">
      <c r="O277" s="1"/>
    </row>
    <row r="278" spans="15:15" ht="14.25" customHeight="1" x14ac:dyDescent="0.35">
      <c r="O278" s="1"/>
    </row>
    <row r="279" spans="15:15" ht="14.25" customHeight="1" x14ac:dyDescent="0.35">
      <c r="O279" s="1"/>
    </row>
    <row r="280" spans="15:15" ht="14.25" customHeight="1" x14ac:dyDescent="0.35">
      <c r="O280" s="1"/>
    </row>
    <row r="281" spans="15:15" ht="14.25" customHeight="1" x14ac:dyDescent="0.35">
      <c r="O281" s="1"/>
    </row>
    <row r="282" spans="15:15" ht="14.25" customHeight="1" x14ac:dyDescent="0.35">
      <c r="O282" s="1"/>
    </row>
    <row r="283" spans="15:15" ht="14.25" customHeight="1" x14ac:dyDescent="0.35">
      <c r="O283" s="1"/>
    </row>
    <row r="284" spans="15:15" ht="14.25" customHeight="1" x14ac:dyDescent="0.35">
      <c r="O284" s="1"/>
    </row>
    <row r="285" spans="15:15" ht="14.25" customHeight="1" x14ac:dyDescent="0.35">
      <c r="O285" s="1"/>
    </row>
    <row r="286" spans="15:15" ht="14.25" customHeight="1" x14ac:dyDescent="0.35">
      <c r="O286" s="1"/>
    </row>
    <row r="287" spans="15:15" ht="14.25" customHeight="1" x14ac:dyDescent="0.35">
      <c r="O287" s="1"/>
    </row>
    <row r="288" spans="15:15" ht="14.25" customHeight="1" x14ac:dyDescent="0.35">
      <c r="O288" s="1"/>
    </row>
    <row r="289" spans="15:15" ht="14.25" customHeight="1" x14ac:dyDescent="0.35">
      <c r="O289" s="1"/>
    </row>
    <row r="290" spans="15:15" ht="14.25" customHeight="1" x14ac:dyDescent="0.35">
      <c r="O290" s="1"/>
    </row>
    <row r="291" spans="15:15" ht="14.25" customHeight="1" x14ac:dyDescent="0.35">
      <c r="O291" s="1"/>
    </row>
    <row r="292" spans="15:15" ht="14.25" customHeight="1" x14ac:dyDescent="0.35">
      <c r="O292" s="1"/>
    </row>
    <row r="293" spans="15:15" ht="14.25" customHeight="1" x14ac:dyDescent="0.35">
      <c r="O293" s="1"/>
    </row>
    <row r="294" spans="15:15" ht="14.25" customHeight="1" x14ac:dyDescent="0.35">
      <c r="O294" s="1"/>
    </row>
    <row r="295" spans="15:15" ht="14.25" customHeight="1" x14ac:dyDescent="0.35">
      <c r="O295" s="1"/>
    </row>
    <row r="296" spans="15:15" ht="14.25" customHeight="1" x14ac:dyDescent="0.35">
      <c r="O296" s="1"/>
    </row>
    <row r="297" spans="15:15" ht="14.25" customHeight="1" x14ac:dyDescent="0.35">
      <c r="O297" s="1"/>
    </row>
    <row r="298" spans="15:15" ht="14.25" customHeight="1" x14ac:dyDescent="0.35">
      <c r="O298" s="1"/>
    </row>
    <row r="299" spans="15:15" ht="14.25" customHeight="1" x14ac:dyDescent="0.35">
      <c r="O299" s="1"/>
    </row>
    <row r="300" spans="15:15" ht="14.25" customHeight="1" x14ac:dyDescent="0.35">
      <c r="O300" s="1"/>
    </row>
    <row r="301" spans="15:15" ht="14.25" customHeight="1" x14ac:dyDescent="0.35">
      <c r="O301" s="1"/>
    </row>
    <row r="302" spans="15:15" ht="14.25" customHeight="1" x14ac:dyDescent="0.35">
      <c r="O302" s="1"/>
    </row>
    <row r="303" spans="15:15" ht="14.25" customHeight="1" x14ac:dyDescent="0.35">
      <c r="O303" s="1"/>
    </row>
    <row r="304" spans="15:15" ht="14.25" customHeight="1" x14ac:dyDescent="0.35">
      <c r="O304" s="1"/>
    </row>
    <row r="305" spans="15:15" ht="14.25" customHeight="1" x14ac:dyDescent="0.35">
      <c r="O305" s="1"/>
    </row>
    <row r="306" spans="15:15" ht="14.25" customHeight="1" x14ac:dyDescent="0.35">
      <c r="O306" s="1"/>
    </row>
    <row r="307" spans="15:15" ht="14.25" customHeight="1" x14ac:dyDescent="0.35">
      <c r="O307" s="1"/>
    </row>
    <row r="308" spans="15:15" ht="14.25" customHeight="1" x14ac:dyDescent="0.35">
      <c r="O308" s="1"/>
    </row>
    <row r="309" spans="15:15" ht="14.25" customHeight="1" x14ac:dyDescent="0.35">
      <c r="O309" s="1"/>
    </row>
    <row r="310" spans="15:15" ht="14.25" customHeight="1" x14ac:dyDescent="0.35">
      <c r="O310" s="1"/>
    </row>
    <row r="311" spans="15:15" ht="14.25" customHeight="1" x14ac:dyDescent="0.35">
      <c r="O311" s="1"/>
    </row>
    <row r="312" spans="15:15" ht="14.25" customHeight="1" x14ac:dyDescent="0.35">
      <c r="O312" s="1"/>
    </row>
    <row r="313" spans="15:15" ht="14.25" customHeight="1" x14ac:dyDescent="0.35">
      <c r="O313" s="1"/>
    </row>
    <row r="314" spans="15:15" ht="14.25" customHeight="1" x14ac:dyDescent="0.35">
      <c r="O314" s="1"/>
    </row>
    <row r="315" spans="15:15" ht="14.25" customHeight="1" x14ac:dyDescent="0.35">
      <c r="O315" s="1"/>
    </row>
    <row r="316" spans="15:15" ht="14.25" customHeight="1" x14ac:dyDescent="0.35">
      <c r="O316" s="1"/>
    </row>
    <row r="317" spans="15:15" ht="14.25" customHeight="1" x14ac:dyDescent="0.35">
      <c r="O317" s="1"/>
    </row>
    <row r="318" spans="15:15" ht="14.25" customHeight="1" x14ac:dyDescent="0.35">
      <c r="O318" s="1"/>
    </row>
    <row r="319" spans="15:15" ht="14.25" customHeight="1" x14ac:dyDescent="0.35">
      <c r="O319" s="1"/>
    </row>
    <row r="320" spans="15:15" ht="14.25" customHeight="1" x14ac:dyDescent="0.35">
      <c r="O320" s="1"/>
    </row>
    <row r="321" spans="15:15" ht="14.25" customHeight="1" x14ac:dyDescent="0.35">
      <c r="O321" s="1"/>
    </row>
    <row r="322" spans="15:15" ht="14.25" customHeight="1" x14ac:dyDescent="0.35">
      <c r="O322" s="1"/>
    </row>
    <row r="323" spans="15:15" ht="14.25" customHeight="1" x14ac:dyDescent="0.35">
      <c r="O323" s="1"/>
    </row>
    <row r="324" spans="15:15" ht="14.25" customHeight="1" x14ac:dyDescent="0.35">
      <c r="O324" s="1"/>
    </row>
    <row r="325" spans="15:15" ht="14.25" customHeight="1" x14ac:dyDescent="0.35">
      <c r="O325" s="1"/>
    </row>
    <row r="326" spans="15:15" ht="14.25" customHeight="1" x14ac:dyDescent="0.35">
      <c r="O326" s="1"/>
    </row>
    <row r="327" spans="15:15" ht="14.25" customHeight="1" x14ac:dyDescent="0.35">
      <c r="O327" s="1"/>
    </row>
    <row r="328" spans="15:15" ht="14.25" customHeight="1" x14ac:dyDescent="0.35">
      <c r="O328" s="1"/>
    </row>
    <row r="329" spans="15:15" ht="14.25" customHeight="1" x14ac:dyDescent="0.35">
      <c r="O329" s="1"/>
    </row>
    <row r="330" spans="15:15" ht="14.25" customHeight="1" x14ac:dyDescent="0.35">
      <c r="O330" s="1"/>
    </row>
    <row r="331" spans="15:15" ht="14.25" customHeight="1" x14ac:dyDescent="0.35">
      <c r="O331" s="1"/>
    </row>
    <row r="332" spans="15:15" ht="14.25" customHeight="1" x14ac:dyDescent="0.35">
      <c r="O332" s="1"/>
    </row>
    <row r="333" spans="15:15" ht="14.25" customHeight="1" x14ac:dyDescent="0.35">
      <c r="O333" s="1"/>
    </row>
    <row r="334" spans="15:15" ht="14.25" customHeight="1" x14ac:dyDescent="0.35">
      <c r="O334" s="1"/>
    </row>
    <row r="335" spans="15:15" ht="14.25" customHeight="1" x14ac:dyDescent="0.35">
      <c r="O335" s="1"/>
    </row>
    <row r="336" spans="15:15" ht="14.25" customHeight="1" x14ac:dyDescent="0.35">
      <c r="O336" s="1"/>
    </row>
    <row r="337" spans="15:15" ht="14.25" customHeight="1" x14ac:dyDescent="0.35">
      <c r="O337" s="1"/>
    </row>
    <row r="338" spans="15:15" ht="14.25" customHeight="1" x14ac:dyDescent="0.35">
      <c r="O338" s="1"/>
    </row>
    <row r="339" spans="15:15" ht="14.25" customHeight="1" x14ac:dyDescent="0.35">
      <c r="O339" s="1"/>
    </row>
    <row r="340" spans="15:15" ht="14.25" customHeight="1" x14ac:dyDescent="0.35">
      <c r="O340" s="1"/>
    </row>
    <row r="341" spans="15:15" ht="14.25" customHeight="1" x14ac:dyDescent="0.35">
      <c r="O341" s="1"/>
    </row>
    <row r="342" spans="15:15" ht="14.25" customHeight="1" x14ac:dyDescent="0.35">
      <c r="O342" s="1"/>
    </row>
    <row r="343" spans="15:15" ht="14.25" customHeight="1" x14ac:dyDescent="0.35">
      <c r="O343" s="1"/>
    </row>
    <row r="344" spans="15:15" ht="14.25" customHeight="1" x14ac:dyDescent="0.35">
      <c r="O344" s="1"/>
    </row>
    <row r="345" spans="15:15" ht="14.25" customHeight="1" x14ac:dyDescent="0.35">
      <c r="O345" s="1"/>
    </row>
    <row r="346" spans="15:15" ht="14.25" customHeight="1" x14ac:dyDescent="0.35">
      <c r="O346" s="1"/>
    </row>
    <row r="347" spans="15:15" ht="14.25" customHeight="1" x14ac:dyDescent="0.35">
      <c r="O347" s="1"/>
    </row>
    <row r="348" spans="15:15" ht="14.25" customHeight="1" x14ac:dyDescent="0.35">
      <c r="O348" s="1"/>
    </row>
    <row r="349" spans="15:15" ht="14.25" customHeight="1" x14ac:dyDescent="0.35">
      <c r="O349" s="1"/>
    </row>
    <row r="350" spans="15:15" ht="14.25" customHeight="1" x14ac:dyDescent="0.35">
      <c r="O350" s="1"/>
    </row>
    <row r="351" spans="15:15" ht="14.25" customHeight="1" x14ac:dyDescent="0.35">
      <c r="O351" s="1"/>
    </row>
    <row r="352" spans="15:15" ht="14.25" customHeight="1" x14ac:dyDescent="0.35">
      <c r="O352" s="1"/>
    </row>
    <row r="353" spans="15:15" ht="14.25" customHeight="1" x14ac:dyDescent="0.35">
      <c r="O353" s="1"/>
    </row>
    <row r="354" spans="15:15" ht="14.25" customHeight="1" x14ac:dyDescent="0.35">
      <c r="O354" s="1"/>
    </row>
    <row r="355" spans="15:15" ht="14.25" customHeight="1" x14ac:dyDescent="0.35">
      <c r="O355" s="1"/>
    </row>
    <row r="356" spans="15:15" ht="14.25" customHeight="1" x14ac:dyDescent="0.35">
      <c r="O356" s="1"/>
    </row>
    <row r="357" spans="15:15" ht="14.25" customHeight="1" x14ac:dyDescent="0.35">
      <c r="O357" s="1"/>
    </row>
    <row r="358" spans="15:15" ht="14.25" customHeight="1" x14ac:dyDescent="0.35">
      <c r="O358" s="1"/>
    </row>
    <row r="359" spans="15:15" ht="14.25" customHeight="1" x14ac:dyDescent="0.35">
      <c r="O359" s="1"/>
    </row>
    <row r="360" spans="15:15" ht="14.25" customHeight="1" x14ac:dyDescent="0.35">
      <c r="O360" s="1"/>
    </row>
    <row r="361" spans="15:15" ht="14.25" customHeight="1" x14ac:dyDescent="0.35">
      <c r="O361" s="1"/>
    </row>
    <row r="362" spans="15:15" ht="14.25" customHeight="1" x14ac:dyDescent="0.35">
      <c r="O362" s="1"/>
    </row>
    <row r="363" spans="15:15" ht="14.25" customHeight="1" x14ac:dyDescent="0.35">
      <c r="O363" s="1"/>
    </row>
    <row r="364" spans="15:15" ht="14.25" customHeight="1" x14ac:dyDescent="0.35">
      <c r="O364" s="1"/>
    </row>
    <row r="365" spans="15:15" ht="14.25" customHeight="1" x14ac:dyDescent="0.35">
      <c r="O365" s="1"/>
    </row>
    <row r="366" spans="15:15" ht="14.25" customHeight="1" x14ac:dyDescent="0.35">
      <c r="O366" s="1"/>
    </row>
    <row r="367" spans="15:15" ht="14.25" customHeight="1" x14ac:dyDescent="0.35">
      <c r="O367" s="1"/>
    </row>
    <row r="368" spans="15:15" ht="14.25" customHeight="1" x14ac:dyDescent="0.35">
      <c r="O368" s="1"/>
    </row>
    <row r="369" spans="15:15" ht="14.25" customHeight="1" x14ac:dyDescent="0.35">
      <c r="O369" s="1"/>
    </row>
    <row r="370" spans="15:15" ht="14.25" customHeight="1" x14ac:dyDescent="0.35">
      <c r="O370" s="1"/>
    </row>
    <row r="371" spans="15:15" ht="14.25" customHeight="1" x14ac:dyDescent="0.35">
      <c r="O371" s="1"/>
    </row>
    <row r="372" spans="15:15" ht="14.25" customHeight="1" x14ac:dyDescent="0.35">
      <c r="O372" s="1"/>
    </row>
    <row r="373" spans="15:15" ht="14.25" customHeight="1" x14ac:dyDescent="0.35">
      <c r="O373" s="1"/>
    </row>
    <row r="374" spans="15:15" ht="14.25" customHeight="1" x14ac:dyDescent="0.35">
      <c r="O374" s="1"/>
    </row>
    <row r="375" spans="15:15" ht="14.25" customHeight="1" x14ac:dyDescent="0.35">
      <c r="O375" s="1"/>
    </row>
    <row r="376" spans="15:15" ht="14.25" customHeight="1" x14ac:dyDescent="0.35">
      <c r="O376" s="1"/>
    </row>
    <row r="377" spans="15:15" ht="14.25" customHeight="1" x14ac:dyDescent="0.35">
      <c r="O377" s="1"/>
    </row>
    <row r="378" spans="15:15" ht="14.25" customHeight="1" x14ac:dyDescent="0.35">
      <c r="O378" s="1"/>
    </row>
    <row r="379" spans="15:15" ht="14.25" customHeight="1" x14ac:dyDescent="0.35">
      <c r="O379" s="1"/>
    </row>
    <row r="380" spans="15:15" ht="14.25" customHeight="1" x14ac:dyDescent="0.35">
      <c r="O380" s="1"/>
    </row>
    <row r="381" spans="15:15" ht="14.25" customHeight="1" x14ac:dyDescent="0.35">
      <c r="O381" s="1"/>
    </row>
    <row r="382" spans="15:15" ht="14.25" customHeight="1" x14ac:dyDescent="0.35">
      <c r="O382" s="1"/>
    </row>
    <row r="383" spans="15:15" ht="14.25" customHeight="1" x14ac:dyDescent="0.35">
      <c r="O383" s="1"/>
    </row>
    <row r="384" spans="15:15" ht="14.25" customHeight="1" x14ac:dyDescent="0.35">
      <c r="O384" s="1"/>
    </row>
    <row r="385" spans="15:15" ht="14.25" customHeight="1" x14ac:dyDescent="0.35">
      <c r="O385" s="1"/>
    </row>
    <row r="386" spans="15:15" ht="14.25" customHeight="1" x14ac:dyDescent="0.35">
      <c r="O386" s="1"/>
    </row>
    <row r="387" spans="15:15" ht="14.25" customHeight="1" x14ac:dyDescent="0.35">
      <c r="O387" s="1"/>
    </row>
    <row r="388" spans="15:15" ht="14.25" customHeight="1" x14ac:dyDescent="0.35">
      <c r="O388" s="1"/>
    </row>
    <row r="389" spans="15:15" ht="14.25" customHeight="1" x14ac:dyDescent="0.35">
      <c r="O389" s="1"/>
    </row>
    <row r="390" spans="15:15" ht="14.25" customHeight="1" x14ac:dyDescent="0.35">
      <c r="O390" s="1"/>
    </row>
    <row r="391" spans="15:15" ht="14.25" customHeight="1" x14ac:dyDescent="0.35">
      <c r="O391" s="1"/>
    </row>
    <row r="392" spans="15:15" ht="14.25" customHeight="1" x14ac:dyDescent="0.35">
      <c r="O392" s="1"/>
    </row>
    <row r="393" spans="15:15" ht="14.25" customHeight="1" x14ac:dyDescent="0.35">
      <c r="O393" s="1"/>
    </row>
    <row r="394" spans="15:15" ht="14.25" customHeight="1" x14ac:dyDescent="0.35">
      <c r="O394" s="1"/>
    </row>
    <row r="395" spans="15:15" ht="14.25" customHeight="1" x14ac:dyDescent="0.35">
      <c r="O395" s="1"/>
    </row>
    <row r="396" spans="15:15" ht="14.25" customHeight="1" x14ac:dyDescent="0.35">
      <c r="O396" s="1"/>
    </row>
    <row r="397" spans="15:15" ht="14.25" customHeight="1" x14ac:dyDescent="0.35">
      <c r="O397" s="1"/>
    </row>
    <row r="398" spans="15:15" ht="14.25" customHeight="1" x14ac:dyDescent="0.35">
      <c r="O398" s="1"/>
    </row>
    <row r="399" spans="15:15" ht="14.25" customHeight="1" x14ac:dyDescent="0.35">
      <c r="O399" s="1"/>
    </row>
    <row r="400" spans="15:15" ht="14.25" customHeight="1" x14ac:dyDescent="0.35">
      <c r="O400" s="1"/>
    </row>
    <row r="401" spans="15:15" ht="14.25" customHeight="1" x14ac:dyDescent="0.35">
      <c r="O401" s="1"/>
    </row>
    <row r="402" spans="15:15" ht="14.25" customHeight="1" x14ac:dyDescent="0.35">
      <c r="O402" s="1"/>
    </row>
    <row r="403" spans="15:15" ht="14.25" customHeight="1" x14ac:dyDescent="0.35">
      <c r="O403" s="1"/>
    </row>
    <row r="404" spans="15:15" ht="14.25" customHeight="1" x14ac:dyDescent="0.35">
      <c r="O404" s="1"/>
    </row>
    <row r="405" spans="15:15" ht="14.25" customHeight="1" x14ac:dyDescent="0.35">
      <c r="O405" s="1"/>
    </row>
    <row r="406" spans="15:15" ht="14.25" customHeight="1" x14ac:dyDescent="0.35">
      <c r="O406" s="1"/>
    </row>
    <row r="407" spans="15:15" ht="14.25" customHeight="1" x14ac:dyDescent="0.35">
      <c r="O407" s="1"/>
    </row>
    <row r="408" spans="15:15" ht="14.25" customHeight="1" x14ac:dyDescent="0.35">
      <c r="O408" s="1"/>
    </row>
    <row r="409" spans="15:15" ht="14.25" customHeight="1" x14ac:dyDescent="0.35">
      <c r="O409" s="1"/>
    </row>
    <row r="410" spans="15:15" ht="14.25" customHeight="1" x14ac:dyDescent="0.35">
      <c r="O410" s="1"/>
    </row>
    <row r="411" spans="15:15" ht="14.25" customHeight="1" x14ac:dyDescent="0.35">
      <c r="O411" s="1"/>
    </row>
    <row r="412" spans="15:15" ht="14.25" customHeight="1" x14ac:dyDescent="0.35">
      <c r="O412" s="1"/>
    </row>
    <row r="413" spans="15:15" ht="14.25" customHeight="1" x14ac:dyDescent="0.35">
      <c r="O413" s="1"/>
    </row>
    <row r="414" spans="15:15" ht="14.25" customHeight="1" x14ac:dyDescent="0.35">
      <c r="O414" s="1"/>
    </row>
    <row r="415" spans="15:15" ht="14.25" customHeight="1" x14ac:dyDescent="0.35">
      <c r="O415" s="1"/>
    </row>
    <row r="416" spans="15:15" ht="14.25" customHeight="1" x14ac:dyDescent="0.35">
      <c r="O416" s="1"/>
    </row>
    <row r="417" spans="15:15" ht="14.25" customHeight="1" x14ac:dyDescent="0.35">
      <c r="O417" s="1"/>
    </row>
    <row r="418" spans="15:15" ht="14.25" customHeight="1" x14ac:dyDescent="0.35">
      <c r="O418" s="1"/>
    </row>
    <row r="419" spans="15:15" ht="14.25" customHeight="1" x14ac:dyDescent="0.35">
      <c r="O419" s="1"/>
    </row>
    <row r="420" spans="15:15" ht="14.25" customHeight="1" x14ac:dyDescent="0.35">
      <c r="O420" s="1"/>
    </row>
    <row r="421" spans="15:15" ht="14.25" customHeight="1" x14ac:dyDescent="0.35">
      <c r="O421" s="1"/>
    </row>
    <row r="422" spans="15:15" ht="14.25" customHeight="1" x14ac:dyDescent="0.35">
      <c r="O422" s="1"/>
    </row>
    <row r="423" spans="15:15" ht="14.25" customHeight="1" x14ac:dyDescent="0.35">
      <c r="O423" s="1"/>
    </row>
    <row r="424" spans="15:15" ht="14.25" customHeight="1" x14ac:dyDescent="0.35">
      <c r="O424" s="1"/>
    </row>
    <row r="425" spans="15:15" ht="14.25" customHeight="1" x14ac:dyDescent="0.35">
      <c r="O425" s="1"/>
    </row>
    <row r="426" spans="15:15" ht="14.25" customHeight="1" x14ac:dyDescent="0.35">
      <c r="O426" s="1"/>
    </row>
    <row r="427" spans="15:15" ht="14.25" customHeight="1" x14ac:dyDescent="0.35">
      <c r="O427" s="1"/>
    </row>
    <row r="428" spans="15:15" ht="14.25" customHeight="1" x14ac:dyDescent="0.35">
      <c r="O428" s="1"/>
    </row>
    <row r="429" spans="15:15" ht="14.25" customHeight="1" x14ac:dyDescent="0.35">
      <c r="O429" s="1"/>
    </row>
    <row r="430" spans="15:15" ht="14.25" customHeight="1" x14ac:dyDescent="0.35">
      <c r="O430" s="1"/>
    </row>
    <row r="431" spans="15:15" ht="14.25" customHeight="1" x14ac:dyDescent="0.35">
      <c r="O431" s="1"/>
    </row>
    <row r="432" spans="15:15" ht="14.25" customHeight="1" x14ac:dyDescent="0.35">
      <c r="O432" s="1"/>
    </row>
    <row r="433" spans="15:15" ht="14.25" customHeight="1" x14ac:dyDescent="0.35">
      <c r="O433" s="1"/>
    </row>
    <row r="434" spans="15:15" ht="14.25" customHeight="1" x14ac:dyDescent="0.35">
      <c r="O434" s="1"/>
    </row>
    <row r="435" spans="15:15" ht="14.25" customHeight="1" x14ac:dyDescent="0.35">
      <c r="O435" s="1"/>
    </row>
    <row r="436" spans="15:15" ht="14.25" customHeight="1" x14ac:dyDescent="0.35">
      <c r="O436" s="1"/>
    </row>
    <row r="437" spans="15:15" ht="14.25" customHeight="1" x14ac:dyDescent="0.35">
      <c r="O437" s="1"/>
    </row>
    <row r="438" spans="15:15" ht="14.25" customHeight="1" x14ac:dyDescent="0.35">
      <c r="O438" s="1"/>
    </row>
    <row r="439" spans="15:15" ht="14.25" customHeight="1" x14ac:dyDescent="0.35">
      <c r="O439" s="1"/>
    </row>
    <row r="440" spans="15:15" ht="14.25" customHeight="1" x14ac:dyDescent="0.35">
      <c r="O440" s="1"/>
    </row>
    <row r="441" spans="15:15" ht="14.25" customHeight="1" x14ac:dyDescent="0.35">
      <c r="O441" s="1"/>
    </row>
    <row r="442" spans="15:15" ht="14.25" customHeight="1" x14ac:dyDescent="0.35">
      <c r="O442" s="1"/>
    </row>
    <row r="443" spans="15:15" ht="14.25" customHeight="1" x14ac:dyDescent="0.35">
      <c r="O443" s="1"/>
    </row>
    <row r="444" spans="15:15" ht="14.25" customHeight="1" x14ac:dyDescent="0.35">
      <c r="O444" s="1"/>
    </row>
    <row r="445" spans="15:15" ht="14.25" customHeight="1" x14ac:dyDescent="0.35">
      <c r="O445" s="1"/>
    </row>
    <row r="446" spans="15:15" ht="14.25" customHeight="1" x14ac:dyDescent="0.35">
      <c r="O446" s="1"/>
    </row>
    <row r="447" spans="15:15" ht="14.25" customHeight="1" x14ac:dyDescent="0.35">
      <c r="O447" s="1"/>
    </row>
    <row r="448" spans="15:15" ht="14.25" customHeight="1" x14ac:dyDescent="0.35">
      <c r="O448" s="1"/>
    </row>
    <row r="449" spans="15:15" ht="14.25" customHeight="1" x14ac:dyDescent="0.35">
      <c r="O449" s="1"/>
    </row>
    <row r="450" spans="15:15" ht="14.25" customHeight="1" x14ac:dyDescent="0.35">
      <c r="O450" s="1"/>
    </row>
    <row r="451" spans="15:15" ht="14.25" customHeight="1" x14ac:dyDescent="0.35">
      <c r="O451" s="1"/>
    </row>
    <row r="452" spans="15:15" ht="14.25" customHeight="1" x14ac:dyDescent="0.35">
      <c r="O452" s="1"/>
    </row>
    <row r="453" spans="15:15" ht="14.25" customHeight="1" x14ac:dyDescent="0.35">
      <c r="O453" s="1"/>
    </row>
    <row r="454" spans="15:15" ht="14.25" customHeight="1" x14ac:dyDescent="0.35">
      <c r="O454" s="1"/>
    </row>
    <row r="455" spans="15:15" ht="14.25" customHeight="1" x14ac:dyDescent="0.35">
      <c r="O455" s="1"/>
    </row>
    <row r="456" spans="15:15" ht="14.25" customHeight="1" x14ac:dyDescent="0.35">
      <c r="O456" s="1"/>
    </row>
    <row r="457" spans="15:15" ht="14.25" customHeight="1" x14ac:dyDescent="0.35">
      <c r="O457" s="1"/>
    </row>
    <row r="458" spans="15:15" ht="14.25" customHeight="1" x14ac:dyDescent="0.35">
      <c r="O458" s="1"/>
    </row>
    <row r="459" spans="15:15" ht="14.25" customHeight="1" x14ac:dyDescent="0.35">
      <c r="O459" s="1"/>
    </row>
    <row r="460" spans="15:15" ht="14.25" customHeight="1" x14ac:dyDescent="0.35">
      <c r="O460" s="1"/>
    </row>
    <row r="461" spans="15:15" ht="14.25" customHeight="1" x14ac:dyDescent="0.35">
      <c r="O461" s="1"/>
    </row>
    <row r="462" spans="15:15" ht="14.25" customHeight="1" x14ac:dyDescent="0.35">
      <c r="O462" s="1"/>
    </row>
    <row r="463" spans="15:15" ht="14.25" customHeight="1" x14ac:dyDescent="0.35">
      <c r="O463" s="1"/>
    </row>
    <row r="464" spans="15:15" ht="14.25" customHeight="1" x14ac:dyDescent="0.35">
      <c r="O464" s="1"/>
    </row>
    <row r="465" spans="15:15" ht="14.25" customHeight="1" x14ac:dyDescent="0.35">
      <c r="O465" s="1"/>
    </row>
    <row r="466" spans="15:15" ht="14.25" customHeight="1" x14ac:dyDescent="0.35">
      <c r="O466" s="1"/>
    </row>
    <row r="467" spans="15:15" ht="14.25" customHeight="1" x14ac:dyDescent="0.35">
      <c r="O467" s="1"/>
    </row>
    <row r="468" spans="15:15" ht="14.25" customHeight="1" x14ac:dyDescent="0.35">
      <c r="O468" s="1"/>
    </row>
    <row r="469" spans="15:15" ht="14.25" customHeight="1" x14ac:dyDescent="0.35">
      <c r="O469" s="1"/>
    </row>
    <row r="470" spans="15:15" ht="14.25" customHeight="1" x14ac:dyDescent="0.35">
      <c r="O470" s="1"/>
    </row>
    <row r="471" spans="15:15" ht="14.25" customHeight="1" x14ac:dyDescent="0.35">
      <c r="O471" s="1"/>
    </row>
    <row r="472" spans="15:15" ht="14.25" customHeight="1" x14ac:dyDescent="0.35">
      <c r="O472" s="1"/>
    </row>
    <row r="473" spans="15:15" ht="14.25" customHeight="1" x14ac:dyDescent="0.35">
      <c r="O473" s="1"/>
    </row>
    <row r="474" spans="15:15" ht="14.25" customHeight="1" x14ac:dyDescent="0.35">
      <c r="O474" s="1"/>
    </row>
    <row r="475" spans="15:15" ht="14.25" customHeight="1" x14ac:dyDescent="0.35">
      <c r="O475" s="1"/>
    </row>
    <row r="476" spans="15:15" ht="14.25" customHeight="1" x14ac:dyDescent="0.35">
      <c r="O476" s="1"/>
    </row>
    <row r="477" spans="15:15" ht="14.25" customHeight="1" x14ac:dyDescent="0.35">
      <c r="O477" s="1"/>
    </row>
    <row r="478" spans="15:15" ht="14.25" customHeight="1" x14ac:dyDescent="0.35">
      <c r="O478" s="1"/>
    </row>
    <row r="479" spans="15:15" ht="14.25" customHeight="1" x14ac:dyDescent="0.35">
      <c r="O479" s="1"/>
    </row>
    <row r="480" spans="15:15" ht="14.25" customHeight="1" x14ac:dyDescent="0.35">
      <c r="O480" s="1"/>
    </row>
    <row r="481" spans="15:15" ht="14.25" customHeight="1" x14ac:dyDescent="0.35">
      <c r="O481" s="1"/>
    </row>
    <row r="482" spans="15:15" ht="14.25" customHeight="1" x14ac:dyDescent="0.35">
      <c r="O482" s="1"/>
    </row>
    <row r="483" spans="15:15" ht="14.25" customHeight="1" x14ac:dyDescent="0.35">
      <c r="O483" s="1"/>
    </row>
    <row r="484" spans="15:15" ht="14.25" customHeight="1" x14ac:dyDescent="0.35">
      <c r="O484" s="1"/>
    </row>
    <row r="485" spans="15:15" ht="14.25" customHeight="1" x14ac:dyDescent="0.35">
      <c r="O485" s="1"/>
    </row>
    <row r="486" spans="15:15" ht="14.25" customHeight="1" x14ac:dyDescent="0.35">
      <c r="O486" s="1"/>
    </row>
    <row r="487" spans="15:15" ht="14.25" customHeight="1" x14ac:dyDescent="0.35">
      <c r="O487" s="1"/>
    </row>
    <row r="488" spans="15:15" ht="14.25" customHeight="1" x14ac:dyDescent="0.35">
      <c r="O488" s="1"/>
    </row>
    <row r="489" spans="15:15" ht="14.25" customHeight="1" x14ac:dyDescent="0.35">
      <c r="O489" s="1"/>
    </row>
    <row r="490" spans="15:15" ht="14.25" customHeight="1" x14ac:dyDescent="0.35">
      <c r="O490" s="1"/>
    </row>
    <row r="491" spans="15:15" ht="14.25" customHeight="1" x14ac:dyDescent="0.35">
      <c r="O491" s="1"/>
    </row>
    <row r="492" spans="15:15" ht="14.25" customHeight="1" x14ac:dyDescent="0.35">
      <c r="O492" s="1"/>
    </row>
    <row r="493" spans="15:15" ht="14.25" customHeight="1" x14ac:dyDescent="0.35">
      <c r="O493" s="1"/>
    </row>
    <row r="494" spans="15:15" ht="14.25" customHeight="1" x14ac:dyDescent="0.35">
      <c r="O494" s="1"/>
    </row>
    <row r="495" spans="15:15" ht="14.25" customHeight="1" x14ac:dyDescent="0.35">
      <c r="O495" s="1"/>
    </row>
    <row r="496" spans="15:15" ht="14.25" customHeight="1" x14ac:dyDescent="0.35">
      <c r="O496" s="1"/>
    </row>
    <row r="497" spans="15:15" ht="14.25" customHeight="1" x14ac:dyDescent="0.35">
      <c r="O497" s="1"/>
    </row>
    <row r="498" spans="15:15" ht="14.25" customHeight="1" x14ac:dyDescent="0.35">
      <c r="O498" s="1"/>
    </row>
    <row r="499" spans="15:15" ht="14.25" customHeight="1" x14ac:dyDescent="0.35">
      <c r="O499" s="1"/>
    </row>
    <row r="500" spans="15:15" ht="14.25" customHeight="1" x14ac:dyDescent="0.35">
      <c r="O500" s="1"/>
    </row>
    <row r="501" spans="15:15" ht="14.25" customHeight="1" x14ac:dyDescent="0.35">
      <c r="O501" s="1"/>
    </row>
    <row r="502" spans="15:15" ht="14.25" customHeight="1" x14ac:dyDescent="0.35">
      <c r="O502" s="1"/>
    </row>
    <row r="503" spans="15:15" ht="14.25" customHeight="1" x14ac:dyDescent="0.35">
      <c r="O503" s="1"/>
    </row>
    <row r="504" spans="15:15" ht="14.25" customHeight="1" x14ac:dyDescent="0.35">
      <c r="O504" s="1"/>
    </row>
    <row r="505" spans="15:15" ht="14.25" customHeight="1" x14ac:dyDescent="0.35">
      <c r="O505" s="1"/>
    </row>
    <row r="506" spans="15:15" ht="14.25" customHeight="1" x14ac:dyDescent="0.35">
      <c r="O506" s="1"/>
    </row>
    <row r="507" spans="15:15" ht="14.25" customHeight="1" x14ac:dyDescent="0.35">
      <c r="O507" s="1"/>
    </row>
    <row r="508" spans="15:15" ht="14.25" customHeight="1" x14ac:dyDescent="0.35">
      <c r="O508" s="1"/>
    </row>
    <row r="509" spans="15:15" ht="14.25" customHeight="1" x14ac:dyDescent="0.35">
      <c r="O509" s="1"/>
    </row>
    <row r="510" spans="15:15" ht="14.25" customHeight="1" x14ac:dyDescent="0.35">
      <c r="O510" s="1"/>
    </row>
    <row r="511" spans="15:15" ht="14.25" customHeight="1" x14ac:dyDescent="0.35">
      <c r="O511" s="1"/>
    </row>
    <row r="512" spans="15:15" ht="14.25" customHeight="1" x14ac:dyDescent="0.35">
      <c r="O512" s="1"/>
    </row>
    <row r="513" spans="15:15" ht="14.25" customHeight="1" x14ac:dyDescent="0.35">
      <c r="O513" s="1"/>
    </row>
    <row r="514" spans="15:15" ht="14.25" customHeight="1" x14ac:dyDescent="0.35">
      <c r="O514" s="1"/>
    </row>
    <row r="515" spans="15:15" ht="14.25" customHeight="1" x14ac:dyDescent="0.35">
      <c r="O515" s="1"/>
    </row>
    <row r="516" spans="15:15" ht="14.25" customHeight="1" x14ac:dyDescent="0.35">
      <c r="O516" s="1"/>
    </row>
    <row r="517" spans="15:15" ht="14.25" customHeight="1" x14ac:dyDescent="0.35">
      <c r="O517" s="1"/>
    </row>
    <row r="518" spans="15:15" ht="14.25" customHeight="1" x14ac:dyDescent="0.35">
      <c r="O518" s="1"/>
    </row>
    <row r="519" spans="15:15" ht="14.25" customHeight="1" x14ac:dyDescent="0.35">
      <c r="O519" s="1"/>
    </row>
    <row r="520" spans="15:15" ht="14.25" customHeight="1" x14ac:dyDescent="0.35">
      <c r="O520" s="1"/>
    </row>
    <row r="521" spans="15:15" ht="14.25" customHeight="1" x14ac:dyDescent="0.35">
      <c r="O521" s="1"/>
    </row>
    <row r="522" spans="15:15" ht="14.25" customHeight="1" x14ac:dyDescent="0.35">
      <c r="O522" s="1"/>
    </row>
    <row r="523" spans="15:15" ht="14.25" customHeight="1" x14ac:dyDescent="0.35">
      <c r="O523" s="1"/>
    </row>
    <row r="524" spans="15:15" ht="14.25" customHeight="1" x14ac:dyDescent="0.35">
      <c r="O524" s="1"/>
    </row>
    <row r="525" spans="15:15" ht="14.25" customHeight="1" x14ac:dyDescent="0.35">
      <c r="O525" s="1"/>
    </row>
    <row r="526" spans="15:15" ht="14.25" customHeight="1" x14ac:dyDescent="0.35">
      <c r="O526" s="1"/>
    </row>
    <row r="527" spans="15:15" ht="14.25" customHeight="1" x14ac:dyDescent="0.35">
      <c r="O527" s="1"/>
    </row>
    <row r="528" spans="15:15" ht="14.25" customHeight="1" x14ac:dyDescent="0.35">
      <c r="O528" s="1"/>
    </row>
    <row r="529" spans="15:15" ht="14.25" customHeight="1" x14ac:dyDescent="0.35">
      <c r="O529" s="1"/>
    </row>
    <row r="530" spans="15:15" ht="14.25" customHeight="1" x14ac:dyDescent="0.35">
      <c r="O530" s="1"/>
    </row>
    <row r="531" spans="15:15" ht="14.25" customHeight="1" x14ac:dyDescent="0.35">
      <c r="O531" s="1"/>
    </row>
    <row r="532" spans="15:15" ht="14.25" customHeight="1" x14ac:dyDescent="0.35">
      <c r="O532" s="1"/>
    </row>
    <row r="533" spans="15:15" ht="14.25" customHeight="1" x14ac:dyDescent="0.35">
      <c r="O533" s="1"/>
    </row>
    <row r="534" spans="15:15" ht="14.25" customHeight="1" x14ac:dyDescent="0.35">
      <c r="O534" s="1"/>
    </row>
    <row r="535" spans="15:15" ht="14.25" customHeight="1" x14ac:dyDescent="0.35">
      <c r="O535" s="1"/>
    </row>
    <row r="536" spans="15:15" ht="14.25" customHeight="1" x14ac:dyDescent="0.35">
      <c r="O536" s="1"/>
    </row>
    <row r="537" spans="15:15" ht="14.25" customHeight="1" x14ac:dyDescent="0.35">
      <c r="O537" s="1"/>
    </row>
    <row r="538" spans="15:15" ht="14.25" customHeight="1" x14ac:dyDescent="0.35">
      <c r="O538" s="1"/>
    </row>
    <row r="539" spans="15:15" ht="14.25" customHeight="1" x14ac:dyDescent="0.35">
      <c r="O539" s="1"/>
    </row>
    <row r="540" spans="15:15" ht="14.25" customHeight="1" x14ac:dyDescent="0.35">
      <c r="O540" s="1"/>
    </row>
    <row r="541" spans="15:15" ht="14.25" customHeight="1" x14ac:dyDescent="0.35">
      <c r="O541" s="1"/>
    </row>
    <row r="542" spans="15:15" ht="14.25" customHeight="1" x14ac:dyDescent="0.35">
      <c r="O542" s="1"/>
    </row>
    <row r="543" spans="15:15" ht="14.25" customHeight="1" x14ac:dyDescent="0.35">
      <c r="O543" s="1"/>
    </row>
    <row r="544" spans="15:15" ht="14.25" customHeight="1" x14ac:dyDescent="0.35">
      <c r="O544" s="1"/>
    </row>
    <row r="545" spans="15:15" ht="14.25" customHeight="1" x14ac:dyDescent="0.35">
      <c r="O545" s="1"/>
    </row>
    <row r="546" spans="15:15" ht="14.25" customHeight="1" x14ac:dyDescent="0.35">
      <c r="O546" s="1"/>
    </row>
    <row r="547" spans="15:15" ht="14.25" customHeight="1" x14ac:dyDescent="0.35">
      <c r="O547" s="1"/>
    </row>
    <row r="548" spans="15:15" ht="14.25" customHeight="1" x14ac:dyDescent="0.35">
      <c r="O548" s="1"/>
    </row>
    <row r="549" spans="15:15" ht="14.25" customHeight="1" x14ac:dyDescent="0.35">
      <c r="O549" s="1"/>
    </row>
    <row r="550" spans="15:15" ht="14.25" customHeight="1" x14ac:dyDescent="0.35">
      <c r="O550" s="1"/>
    </row>
    <row r="551" spans="15:15" ht="14.25" customHeight="1" x14ac:dyDescent="0.35">
      <c r="O551" s="1"/>
    </row>
    <row r="552" spans="15:15" ht="14.25" customHeight="1" x14ac:dyDescent="0.35">
      <c r="O552" s="1"/>
    </row>
    <row r="553" spans="15:15" ht="14.25" customHeight="1" x14ac:dyDescent="0.35">
      <c r="O553" s="1"/>
    </row>
    <row r="554" spans="15:15" ht="14.25" customHeight="1" x14ac:dyDescent="0.35">
      <c r="O554" s="1"/>
    </row>
    <row r="555" spans="15:15" ht="14.25" customHeight="1" x14ac:dyDescent="0.35">
      <c r="O555" s="1"/>
    </row>
    <row r="556" spans="15:15" ht="14.25" customHeight="1" x14ac:dyDescent="0.35">
      <c r="O556" s="1"/>
    </row>
    <row r="557" spans="15:15" ht="14.25" customHeight="1" x14ac:dyDescent="0.35">
      <c r="O557" s="1"/>
    </row>
    <row r="558" spans="15:15" ht="14.25" customHeight="1" x14ac:dyDescent="0.35">
      <c r="O558" s="1"/>
    </row>
    <row r="559" spans="15:15" ht="14.25" customHeight="1" x14ac:dyDescent="0.35">
      <c r="O559" s="1"/>
    </row>
    <row r="560" spans="15:15" ht="14.25" customHeight="1" x14ac:dyDescent="0.35">
      <c r="O560" s="1"/>
    </row>
    <row r="561" spans="15:15" ht="14.25" customHeight="1" x14ac:dyDescent="0.35">
      <c r="O561" s="1"/>
    </row>
    <row r="562" spans="15:15" ht="14.25" customHeight="1" x14ac:dyDescent="0.35">
      <c r="O562" s="1"/>
    </row>
    <row r="563" spans="15:15" ht="14.25" customHeight="1" x14ac:dyDescent="0.35">
      <c r="O563" s="1"/>
    </row>
    <row r="564" spans="15:15" ht="14.25" customHeight="1" x14ac:dyDescent="0.35">
      <c r="O564" s="1"/>
    </row>
    <row r="565" spans="15:15" ht="14.25" customHeight="1" x14ac:dyDescent="0.35">
      <c r="O565" s="1"/>
    </row>
    <row r="566" spans="15:15" ht="14.25" customHeight="1" x14ac:dyDescent="0.35">
      <c r="O566" s="1"/>
    </row>
    <row r="567" spans="15:15" ht="14.25" customHeight="1" x14ac:dyDescent="0.35">
      <c r="O567" s="1"/>
    </row>
    <row r="568" spans="15:15" ht="14.25" customHeight="1" x14ac:dyDescent="0.35">
      <c r="O568" s="1"/>
    </row>
    <row r="569" spans="15:15" ht="14.25" customHeight="1" x14ac:dyDescent="0.35">
      <c r="O569" s="1"/>
    </row>
    <row r="570" spans="15:15" ht="14.25" customHeight="1" x14ac:dyDescent="0.35">
      <c r="O570" s="1"/>
    </row>
    <row r="571" spans="15:15" ht="14.25" customHeight="1" x14ac:dyDescent="0.35">
      <c r="O571" s="1"/>
    </row>
    <row r="572" spans="15:15" ht="14.25" customHeight="1" x14ac:dyDescent="0.35">
      <c r="O572" s="1"/>
    </row>
    <row r="573" spans="15:15" ht="14.25" customHeight="1" x14ac:dyDescent="0.35">
      <c r="O573" s="1"/>
    </row>
    <row r="574" spans="15:15" ht="14.25" customHeight="1" x14ac:dyDescent="0.35">
      <c r="O574" s="1"/>
    </row>
    <row r="575" spans="15:15" ht="14.25" customHeight="1" x14ac:dyDescent="0.35">
      <c r="O575" s="1"/>
    </row>
    <row r="576" spans="15:15" ht="14.25" customHeight="1" x14ac:dyDescent="0.35">
      <c r="O576" s="1"/>
    </row>
    <row r="577" spans="15:15" ht="14.25" customHeight="1" x14ac:dyDescent="0.35">
      <c r="O577" s="1"/>
    </row>
    <row r="578" spans="15:15" ht="14.25" customHeight="1" x14ac:dyDescent="0.35">
      <c r="O578" s="1"/>
    </row>
    <row r="579" spans="15:15" ht="14.25" customHeight="1" x14ac:dyDescent="0.35">
      <c r="O579" s="1"/>
    </row>
    <row r="580" spans="15:15" ht="14.25" customHeight="1" x14ac:dyDescent="0.35">
      <c r="O580" s="1"/>
    </row>
    <row r="581" spans="15:15" ht="14.25" customHeight="1" x14ac:dyDescent="0.35">
      <c r="O581" s="1"/>
    </row>
    <row r="582" spans="15:15" ht="14.25" customHeight="1" x14ac:dyDescent="0.35">
      <c r="O582" s="1"/>
    </row>
    <row r="583" spans="15:15" ht="14.25" customHeight="1" x14ac:dyDescent="0.35">
      <c r="O583" s="1"/>
    </row>
    <row r="584" spans="15:15" ht="14.25" customHeight="1" x14ac:dyDescent="0.35">
      <c r="O584" s="1"/>
    </row>
    <row r="585" spans="15:15" ht="14.25" customHeight="1" x14ac:dyDescent="0.35">
      <c r="O585" s="1"/>
    </row>
    <row r="586" spans="15:15" ht="14.25" customHeight="1" x14ac:dyDescent="0.35">
      <c r="O586" s="1"/>
    </row>
    <row r="587" spans="15:15" ht="14.25" customHeight="1" x14ac:dyDescent="0.35">
      <c r="O587" s="1"/>
    </row>
    <row r="588" spans="15:15" ht="14.25" customHeight="1" x14ac:dyDescent="0.35">
      <c r="O588" s="1"/>
    </row>
    <row r="589" spans="15:15" ht="14.25" customHeight="1" x14ac:dyDescent="0.35">
      <c r="O589" s="1"/>
    </row>
    <row r="590" spans="15:15" ht="14.25" customHeight="1" x14ac:dyDescent="0.35">
      <c r="O590" s="1"/>
    </row>
    <row r="591" spans="15:15" ht="14.25" customHeight="1" x14ac:dyDescent="0.35">
      <c r="O591" s="1"/>
    </row>
    <row r="592" spans="15:15" ht="14.25" customHeight="1" x14ac:dyDescent="0.35">
      <c r="O592" s="1"/>
    </row>
    <row r="593" spans="15:15" ht="14.25" customHeight="1" x14ac:dyDescent="0.35">
      <c r="O593" s="1"/>
    </row>
    <row r="594" spans="15:15" ht="14.25" customHeight="1" x14ac:dyDescent="0.35">
      <c r="O594" s="1"/>
    </row>
    <row r="595" spans="15:15" ht="14.25" customHeight="1" x14ac:dyDescent="0.35">
      <c r="O595" s="1"/>
    </row>
    <row r="596" spans="15:15" ht="14.25" customHeight="1" x14ac:dyDescent="0.35">
      <c r="O596" s="1"/>
    </row>
    <row r="597" spans="15:15" ht="14.25" customHeight="1" x14ac:dyDescent="0.35">
      <c r="O597" s="1"/>
    </row>
    <row r="598" spans="15:15" ht="14.25" customHeight="1" x14ac:dyDescent="0.35">
      <c r="O598" s="1"/>
    </row>
    <row r="599" spans="15:15" ht="14.25" customHeight="1" x14ac:dyDescent="0.35">
      <c r="O599" s="1"/>
    </row>
    <row r="600" spans="15:15" ht="14.25" customHeight="1" x14ac:dyDescent="0.35">
      <c r="O600" s="1"/>
    </row>
    <row r="601" spans="15:15" ht="14.25" customHeight="1" x14ac:dyDescent="0.35">
      <c r="O601" s="1"/>
    </row>
    <row r="602" spans="15:15" ht="14.25" customHeight="1" x14ac:dyDescent="0.35">
      <c r="O602" s="1"/>
    </row>
    <row r="603" spans="15:15" ht="14.25" customHeight="1" x14ac:dyDescent="0.35">
      <c r="O603" s="1"/>
    </row>
    <row r="604" spans="15:15" ht="14.25" customHeight="1" x14ac:dyDescent="0.35">
      <c r="O604" s="1"/>
    </row>
    <row r="605" spans="15:15" ht="14.25" customHeight="1" x14ac:dyDescent="0.35">
      <c r="O605" s="1"/>
    </row>
    <row r="606" spans="15:15" ht="14.25" customHeight="1" x14ac:dyDescent="0.35">
      <c r="O606" s="1"/>
    </row>
    <row r="607" spans="15:15" ht="14.25" customHeight="1" x14ac:dyDescent="0.35">
      <c r="O607" s="1"/>
    </row>
    <row r="608" spans="15:15" ht="14.25" customHeight="1" x14ac:dyDescent="0.35">
      <c r="O608" s="1"/>
    </row>
    <row r="609" spans="15:15" ht="14.25" customHeight="1" x14ac:dyDescent="0.35">
      <c r="O609" s="1"/>
    </row>
    <row r="610" spans="15:15" ht="14.25" customHeight="1" x14ac:dyDescent="0.35">
      <c r="O610" s="1"/>
    </row>
    <row r="611" spans="15:15" ht="14.25" customHeight="1" x14ac:dyDescent="0.35">
      <c r="O611" s="1"/>
    </row>
    <row r="612" spans="15:15" ht="14.25" customHeight="1" x14ac:dyDescent="0.35">
      <c r="O612" s="1"/>
    </row>
    <row r="613" spans="15:15" ht="14.25" customHeight="1" x14ac:dyDescent="0.35">
      <c r="O613" s="1"/>
    </row>
    <row r="614" spans="15:15" ht="14.25" customHeight="1" x14ac:dyDescent="0.35">
      <c r="O614" s="1"/>
    </row>
    <row r="615" spans="15:15" ht="14.25" customHeight="1" x14ac:dyDescent="0.35">
      <c r="O615" s="1"/>
    </row>
    <row r="616" spans="15:15" ht="14.25" customHeight="1" x14ac:dyDescent="0.35">
      <c r="O616" s="1"/>
    </row>
    <row r="617" spans="15:15" ht="14.25" customHeight="1" x14ac:dyDescent="0.35">
      <c r="O617" s="1"/>
    </row>
    <row r="618" spans="15:15" ht="14.25" customHeight="1" x14ac:dyDescent="0.35">
      <c r="O618" s="1"/>
    </row>
    <row r="619" spans="15:15" ht="14.25" customHeight="1" x14ac:dyDescent="0.35">
      <c r="O619" s="1"/>
    </row>
    <row r="620" spans="15:15" ht="14.25" customHeight="1" x14ac:dyDescent="0.35">
      <c r="O620" s="1"/>
    </row>
    <row r="621" spans="15:15" ht="14.25" customHeight="1" x14ac:dyDescent="0.35">
      <c r="O621" s="1"/>
    </row>
    <row r="622" spans="15:15" ht="14.25" customHeight="1" x14ac:dyDescent="0.35">
      <c r="O622" s="1"/>
    </row>
    <row r="623" spans="15:15" ht="14.25" customHeight="1" x14ac:dyDescent="0.35">
      <c r="O623" s="1"/>
    </row>
    <row r="624" spans="15:15" ht="14.25" customHeight="1" x14ac:dyDescent="0.35">
      <c r="O624" s="1"/>
    </row>
    <row r="625" spans="15:15" ht="14.25" customHeight="1" x14ac:dyDescent="0.35">
      <c r="O625" s="1"/>
    </row>
    <row r="626" spans="15:15" ht="14.25" customHeight="1" x14ac:dyDescent="0.35">
      <c r="O626" s="1"/>
    </row>
    <row r="627" spans="15:15" ht="14.25" customHeight="1" x14ac:dyDescent="0.35">
      <c r="O627" s="1"/>
    </row>
    <row r="628" spans="15:15" ht="14.25" customHeight="1" x14ac:dyDescent="0.35">
      <c r="O628" s="1"/>
    </row>
    <row r="629" spans="15:15" ht="14.25" customHeight="1" x14ac:dyDescent="0.35">
      <c r="O629" s="1"/>
    </row>
    <row r="630" spans="15:15" ht="14.25" customHeight="1" x14ac:dyDescent="0.35">
      <c r="O630" s="1"/>
    </row>
    <row r="631" spans="15:15" ht="14.25" customHeight="1" x14ac:dyDescent="0.35">
      <c r="O631" s="1"/>
    </row>
    <row r="632" spans="15:15" ht="14.25" customHeight="1" x14ac:dyDescent="0.35">
      <c r="O632" s="1"/>
    </row>
    <row r="633" spans="15:15" ht="14.25" customHeight="1" x14ac:dyDescent="0.35">
      <c r="O633" s="1"/>
    </row>
    <row r="634" spans="15:15" ht="14.25" customHeight="1" x14ac:dyDescent="0.35">
      <c r="O634" s="1"/>
    </row>
    <row r="635" spans="15:15" ht="14.25" customHeight="1" x14ac:dyDescent="0.35">
      <c r="O635" s="1"/>
    </row>
    <row r="636" spans="15:15" ht="14.25" customHeight="1" x14ac:dyDescent="0.35">
      <c r="O636" s="1"/>
    </row>
    <row r="637" spans="15:15" ht="14.25" customHeight="1" x14ac:dyDescent="0.35">
      <c r="O637" s="1"/>
    </row>
    <row r="638" spans="15:15" ht="14.25" customHeight="1" x14ac:dyDescent="0.35">
      <c r="O638" s="1"/>
    </row>
    <row r="639" spans="15:15" ht="14.25" customHeight="1" x14ac:dyDescent="0.35">
      <c r="O639" s="1"/>
    </row>
    <row r="640" spans="15:15" ht="14.25" customHeight="1" x14ac:dyDescent="0.35">
      <c r="O640" s="1"/>
    </row>
    <row r="641" spans="15:15" ht="14.25" customHeight="1" x14ac:dyDescent="0.35">
      <c r="O641" s="1"/>
    </row>
    <row r="642" spans="15:15" ht="14.25" customHeight="1" x14ac:dyDescent="0.35">
      <c r="O642" s="1"/>
    </row>
    <row r="643" spans="15:15" ht="14.25" customHeight="1" x14ac:dyDescent="0.35">
      <c r="O643" s="1"/>
    </row>
    <row r="644" spans="15:15" ht="14.25" customHeight="1" x14ac:dyDescent="0.35">
      <c r="O644" s="1"/>
    </row>
    <row r="645" spans="15:15" ht="14.25" customHeight="1" x14ac:dyDescent="0.35">
      <c r="O645" s="1"/>
    </row>
    <row r="646" spans="15:15" ht="14.25" customHeight="1" x14ac:dyDescent="0.35">
      <c r="O646" s="1"/>
    </row>
    <row r="647" spans="15:15" ht="14.25" customHeight="1" x14ac:dyDescent="0.35">
      <c r="O647" s="1"/>
    </row>
    <row r="648" spans="15:15" ht="14.25" customHeight="1" x14ac:dyDescent="0.35">
      <c r="O648" s="1"/>
    </row>
    <row r="649" spans="15:15" ht="14.25" customHeight="1" x14ac:dyDescent="0.35">
      <c r="O649" s="1"/>
    </row>
    <row r="650" spans="15:15" ht="14.25" customHeight="1" x14ac:dyDescent="0.35">
      <c r="O650" s="1"/>
    </row>
    <row r="651" spans="15:15" ht="14.25" customHeight="1" x14ac:dyDescent="0.35">
      <c r="O651" s="1"/>
    </row>
    <row r="652" spans="15:15" ht="14.25" customHeight="1" x14ac:dyDescent="0.35">
      <c r="O652" s="1"/>
    </row>
    <row r="653" spans="15:15" ht="14.25" customHeight="1" x14ac:dyDescent="0.35">
      <c r="O653" s="1"/>
    </row>
    <row r="654" spans="15:15" ht="14.25" customHeight="1" x14ac:dyDescent="0.35">
      <c r="O654" s="1"/>
    </row>
    <row r="655" spans="15:15" ht="14.25" customHeight="1" x14ac:dyDescent="0.35">
      <c r="O655" s="1"/>
    </row>
    <row r="656" spans="15:15" ht="14.25" customHeight="1" x14ac:dyDescent="0.35">
      <c r="O656" s="1"/>
    </row>
    <row r="657" spans="15:15" ht="14.25" customHeight="1" x14ac:dyDescent="0.35">
      <c r="O657" s="1"/>
    </row>
    <row r="658" spans="15:15" ht="14.25" customHeight="1" x14ac:dyDescent="0.35">
      <c r="O658" s="1"/>
    </row>
    <row r="659" spans="15:15" ht="14.25" customHeight="1" x14ac:dyDescent="0.35">
      <c r="O659" s="1"/>
    </row>
    <row r="660" spans="15:15" ht="14.25" customHeight="1" x14ac:dyDescent="0.35">
      <c r="O660" s="1"/>
    </row>
    <row r="661" spans="15:15" ht="14.25" customHeight="1" x14ac:dyDescent="0.35">
      <c r="O661" s="1"/>
    </row>
    <row r="662" spans="15:15" ht="14.25" customHeight="1" x14ac:dyDescent="0.35">
      <c r="O662" s="1"/>
    </row>
    <row r="663" spans="15:15" ht="14.25" customHeight="1" x14ac:dyDescent="0.35">
      <c r="O663" s="1"/>
    </row>
    <row r="664" spans="15:15" ht="14.25" customHeight="1" x14ac:dyDescent="0.35">
      <c r="O664" s="1"/>
    </row>
    <row r="665" spans="15:15" ht="14.25" customHeight="1" x14ac:dyDescent="0.35">
      <c r="O665" s="1"/>
    </row>
    <row r="666" spans="15:15" ht="14.25" customHeight="1" x14ac:dyDescent="0.35">
      <c r="O666" s="1"/>
    </row>
    <row r="667" spans="15:15" ht="14.25" customHeight="1" x14ac:dyDescent="0.35">
      <c r="O667" s="1"/>
    </row>
    <row r="668" spans="15:15" ht="14.25" customHeight="1" x14ac:dyDescent="0.35">
      <c r="O668" s="1"/>
    </row>
    <row r="669" spans="15:15" ht="14.25" customHeight="1" x14ac:dyDescent="0.35">
      <c r="O669" s="1"/>
    </row>
    <row r="670" spans="15:15" ht="14.25" customHeight="1" x14ac:dyDescent="0.35">
      <c r="O670" s="1"/>
    </row>
    <row r="671" spans="15:15" ht="14.25" customHeight="1" x14ac:dyDescent="0.35">
      <c r="O671" s="1"/>
    </row>
    <row r="672" spans="15:15" ht="14.25" customHeight="1" x14ac:dyDescent="0.35">
      <c r="O672" s="1"/>
    </row>
    <row r="673" spans="15:15" ht="14.25" customHeight="1" x14ac:dyDescent="0.35">
      <c r="O673" s="1"/>
    </row>
    <row r="674" spans="15:15" ht="14.25" customHeight="1" x14ac:dyDescent="0.35">
      <c r="O674" s="1"/>
    </row>
    <row r="675" spans="15:15" ht="14.25" customHeight="1" x14ac:dyDescent="0.35">
      <c r="O675" s="1"/>
    </row>
    <row r="676" spans="15:15" ht="14.25" customHeight="1" x14ac:dyDescent="0.35">
      <c r="O676" s="1"/>
    </row>
    <row r="677" spans="15:15" ht="14.25" customHeight="1" x14ac:dyDescent="0.35">
      <c r="O677" s="1"/>
    </row>
    <row r="678" spans="15:15" ht="14.25" customHeight="1" x14ac:dyDescent="0.35">
      <c r="O678" s="1"/>
    </row>
    <row r="679" spans="15:15" ht="14.25" customHeight="1" x14ac:dyDescent="0.35">
      <c r="O679" s="1"/>
    </row>
    <row r="680" spans="15:15" ht="14.25" customHeight="1" x14ac:dyDescent="0.35">
      <c r="O680" s="1"/>
    </row>
    <row r="681" spans="15:15" ht="14.25" customHeight="1" x14ac:dyDescent="0.35">
      <c r="O681" s="1"/>
    </row>
    <row r="682" spans="15:15" ht="14.25" customHeight="1" x14ac:dyDescent="0.35">
      <c r="O682" s="1"/>
    </row>
    <row r="683" spans="15:15" ht="14.25" customHeight="1" x14ac:dyDescent="0.35">
      <c r="O683" s="1"/>
    </row>
    <row r="684" spans="15:15" ht="14.25" customHeight="1" x14ac:dyDescent="0.35">
      <c r="O684" s="1"/>
    </row>
    <row r="685" spans="15:15" ht="14.25" customHeight="1" x14ac:dyDescent="0.35">
      <c r="O685" s="1"/>
    </row>
    <row r="686" spans="15:15" ht="14.25" customHeight="1" x14ac:dyDescent="0.35">
      <c r="O686" s="1"/>
    </row>
    <row r="687" spans="15:15" ht="14.25" customHeight="1" x14ac:dyDescent="0.35">
      <c r="O687" s="1"/>
    </row>
    <row r="688" spans="15:15" ht="14.25" customHeight="1" x14ac:dyDescent="0.35">
      <c r="O688" s="1"/>
    </row>
    <row r="689" spans="15:15" ht="14.25" customHeight="1" x14ac:dyDescent="0.35">
      <c r="O689" s="1"/>
    </row>
    <row r="690" spans="15:15" ht="14.25" customHeight="1" x14ac:dyDescent="0.35">
      <c r="O690" s="1"/>
    </row>
    <row r="691" spans="15:15" ht="14.25" customHeight="1" x14ac:dyDescent="0.35">
      <c r="O691" s="1"/>
    </row>
    <row r="692" spans="15:15" ht="14.25" customHeight="1" x14ac:dyDescent="0.35">
      <c r="O692" s="1"/>
    </row>
    <row r="693" spans="15:15" ht="14.25" customHeight="1" x14ac:dyDescent="0.35">
      <c r="O693" s="1"/>
    </row>
    <row r="694" spans="15:15" ht="14.25" customHeight="1" x14ac:dyDescent="0.35">
      <c r="O694" s="1"/>
    </row>
    <row r="695" spans="15:15" ht="14.25" customHeight="1" x14ac:dyDescent="0.35">
      <c r="O695" s="1"/>
    </row>
    <row r="696" spans="15:15" ht="14.25" customHeight="1" x14ac:dyDescent="0.35">
      <c r="O696" s="1"/>
    </row>
    <row r="697" spans="15:15" ht="14.25" customHeight="1" x14ac:dyDescent="0.35">
      <c r="O697" s="1"/>
    </row>
    <row r="698" spans="15:15" ht="14.25" customHeight="1" x14ac:dyDescent="0.35">
      <c r="O698" s="1"/>
    </row>
    <row r="699" spans="15:15" ht="14.25" customHeight="1" x14ac:dyDescent="0.35">
      <c r="O699" s="1"/>
    </row>
    <row r="700" spans="15:15" ht="14.25" customHeight="1" x14ac:dyDescent="0.35">
      <c r="O700" s="1"/>
    </row>
    <row r="701" spans="15:15" ht="14.25" customHeight="1" x14ac:dyDescent="0.35">
      <c r="O701" s="1"/>
    </row>
    <row r="702" spans="15:15" ht="14.25" customHeight="1" x14ac:dyDescent="0.35">
      <c r="O702" s="1"/>
    </row>
    <row r="703" spans="15:15" ht="14.25" customHeight="1" x14ac:dyDescent="0.35">
      <c r="O703" s="1"/>
    </row>
    <row r="704" spans="15:15" ht="14.25" customHeight="1" x14ac:dyDescent="0.35">
      <c r="O704" s="1"/>
    </row>
    <row r="705" spans="15:15" ht="14.25" customHeight="1" x14ac:dyDescent="0.35">
      <c r="O705" s="1"/>
    </row>
    <row r="706" spans="15:15" ht="14.25" customHeight="1" x14ac:dyDescent="0.35">
      <c r="O706" s="1"/>
    </row>
    <row r="707" spans="15:15" ht="14.25" customHeight="1" x14ac:dyDescent="0.35">
      <c r="O707" s="1"/>
    </row>
    <row r="708" spans="15:15" ht="14.25" customHeight="1" x14ac:dyDescent="0.35">
      <c r="O708" s="1"/>
    </row>
    <row r="709" spans="15:15" ht="14.25" customHeight="1" x14ac:dyDescent="0.35">
      <c r="O709" s="1"/>
    </row>
    <row r="710" spans="15:15" ht="14.25" customHeight="1" x14ac:dyDescent="0.35">
      <c r="O710" s="1"/>
    </row>
    <row r="711" spans="15:15" ht="14.25" customHeight="1" x14ac:dyDescent="0.35">
      <c r="O711" s="1"/>
    </row>
    <row r="712" spans="15:15" ht="14.25" customHeight="1" x14ac:dyDescent="0.35">
      <c r="O712" s="1"/>
    </row>
    <row r="713" spans="15:15" ht="14.25" customHeight="1" x14ac:dyDescent="0.35">
      <c r="O713" s="1"/>
    </row>
    <row r="714" spans="15:15" ht="14.25" customHeight="1" x14ac:dyDescent="0.35">
      <c r="O714" s="1"/>
    </row>
    <row r="715" spans="15:15" ht="14.25" customHeight="1" x14ac:dyDescent="0.35">
      <c r="O715" s="1"/>
    </row>
    <row r="716" spans="15:15" ht="14.25" customHeight="1" x14ac:dyDescent="0.35">
      <c r="O716" s="1"/>
    </row>
    <row r="717" spans="15:15" ht="14.25" customHeight="1" x14ac:dyDescent="0.35">
      <c r="O717" s="1"/>
    </row>
    <row r="718" spans="15:15" ht="14.25" customHeight="1" x14ac:dyDescent="0.35">
      <c r="O718" s="1"/>
    </row>
    <row r="719" spans="15:15" ht="14.25" customHeight="1" x14ac:dyDescent="0.35">
      <c r="O719" s="1"/>
    </row>
    <row r="720" spans="15:15" ht="14.25" customHeight="1" x14ac:dyDescent="0.35">
      <c r="O720" s="1"/>
    </row>
    <row r="721" spans="15:15" ht="14.25" customHeight="1" x14ac:dyDescent="0.35">
      <c r="O721" s="1"/>
    </row>
    <row r="722" spans="15:15" ht="14.25" customHeight="1" x14ac:dyDescent="0.35">
      <c r="O722" s="1"/>
    </row>
    <row r="723" spans="15:15" ht="14.25" customHeight="1" x14ac:dyDescent="0.35">
      <c r="O723" s="1"/>
    </row>
    <row r="724" spans="15:15" ht="14.25" customHeight="1" x14ac:dyDescent="0.35">
      <c r="O724" s="1"/>
    </row>
    <row r="725" spans="15:15" ht="14.25" customHeight="1" x14ac:dyDescent="0.35">
      <c r="O725" s="1"/>
    </row>
    <row r="726" spans="15:15" ht="14.25" customHeight="1" x14ac:dyDescent="0.35">
      <c r="O726" s="1"/>
    </row>
    <row r="727" spans="15:15" ht="14.25" customHeight="1" x14ac:dyDescent="0.35">
      <c r="O727" s="1"/>
    </row>
    <row r="728" spans="15:15" ht="14.25" customHeight="1" x14ac:dyDescent="0.35">
      <c r="O728" s="1"/>
    </row>
    <row r="729" spans="15:15" ht="14.25" customHeight="1" x14ac:dyDescent="0.35">
      <c r="O729" s="1"/>
    </row>
    <row r="730" spans="15:15" ht="14.25" customHeight="1" x14ac:dyDescent="0.35">
      <c r="O730" s="1"/>
    </row>
    <row r="731" spans="15:15" ht="14.25" customHeight="1" x14ac:dyDescent="0.35">
      <c r="O731" s="1"/>
    </row>
    <row r="732" spans="15:15" ht="14.25" customHeight="1" x14ac:dyDescent="0.35">
      <c r="O732" s="1"/>
    </row>
    <row r="733" spans="15:15" ht="14.25" customHeight="1" x14ac:dyDescent="0.35">
      <c r="O733" s="1"/>
    </row>
    <row r="734" spans="15:15" ht="14.25" customHeight="1" x14ac:dyDescent="0.35">
      <c r="O734" s="1"/>
    </row>
    <row r="735" spans="15:15" ht="14.25" customHeight="1" x14ac:dyDescent="0.35">
      <c r="O735" s="1"/>
    </row>
    <row r="736" spans="15:15" ht="14.25" customHeight="1" x14ac:dyDescent="0.35">
      <c r="O736" s="1"/>
    </row>
    <row r="737" spans="15:15" ht="14.25" customHeight="1" x14ac:dyDescent="0.35">
      <c r="O737" s="1"/>
    </row>
    <row r="738" spans="15:15" ht="14.25" customHeight="1" x14ac:dyDescent="0.35">
      <c r="O738" s="1"/>
    </row>
    <row r="739" spans="15:15" ht="14.25" customHeight="1" x14ac:dyDescent="0.35">
      <c r="O739" s="1"/>
    </row>
    <row r="740" spans="15:15" ht="14.25" customHeight="1" x14ac:dyDescent="0.35">
      <c r="O740" s="1"/>
    </row>
    <row r="741" spans="15:15" ht="14.25" customHeight="1" x14ac:dyDescent="0.35">
      <c r="O741" s="1"/>
    </row>
    <row r="742" spans="15:15" ht="14.25" customHeight="1" x14ac:dyDescent="0.35">
      <c r="O742" s="1"/>
    </row>
    <row r="743" spans="15:15" ht="14.25" customHeight="1" x14ac:dyDescent="0.35">
      <c r="O743" s="1"/>
    </row>
    <row r="744" spans="15:15" ht="14.25" customHeight="1" x14ac:dyDescent="0.35">
      <c r="O744" s="1"/>
    </row>
    <row r="745" spans="15:15" ht="14.25" customHeight="1" x14ac:dyDescent="0.35">
      <c r="O745" s="1"/>
    </row>
    <row r="746" spans="15:15" ht="14.25" customHeight="1" x14ac:dyDescent="0.35">
      <c r="O746" s="1"/>
    </row>
    <row r="747" spans="15:15" ht="14.25" customHeight="1" x14ac:dyDescent="0.35">
      <c r="O747" s="1"/>
    </row>
    <row r="748" spans="15:15" ht="14.25" customHeight="1" x14ac:dyDescent="0.35">
      <c r="O748" s="1"/>
    </row>
    <row r="749" spans="15:15" ht="14.25" customHeight="1" x14ac:dyDescent="0.35">
      <c r="O749" s="1"/>
    </row>
    <row r="750" spans="15:15" ht="14.25" customHeight="1" x14ac:dyDescent="0.35">
      <c r="O750" s="1"/>
    </row>
    <row r="751" spans="15:15" ht="14.25" customHeight="1" x14ac:dyDescent="0.35">
      <c r="O751" s="1"/>
    </row>
    <row r="752" spans="15:15" ht="14.25" customHeight="1" x14ac:dyDescent="0.35">
      <c r="O752" s="1"/>
    </row>
    <row r="753" spans="15:15" ht="14.25" customHeight="1" x14ac:dyDescent="0.35">
      <c r="O753" s="1"/>
    </row>
    <row r="754" spans="15:15" ht="14.25" customHeight="1" x14ac:dyDescent="0.35">
      <c r="O754" s="1"/>
    </row>
    <row r="755" spans="15:15" ht="14.25" customHeight="1" x14ac:dyDescent="0.35">
      <c r="O755" s="1"/>
    </row>
    <row r="756" spans="15:15" ht="14.25" customHeight="1" x14ac:dyDescent="0.35">
      <c r="O756" s="1"/>
    </row>
    <row r="757" spans="15:15" ht="14.25" customHeight="1" x14ac:dyDescent="0.35">
      <c r="O757" s="1"/>
    </row>
    <row r="758" spans="15:15" ht="14.25" customHeight="1" x14ac:dyDescent="0.35">
      <c r="O758" s="1"/>
    </row>
    <row r="759" spans="15:15" ht="14.25" customHeight="1" x14ac:dyDescent="0.35">
      <c r="O759" s="1"/>
    </row>
    <row r="760" spans="15:15" ht="14.25" customHeight="1" x14ac:dyDescent="0.35">
      <c r="O760" s="1"/>
    </row>
    <row r="761" spans="15:15" ht="14.25" customHeight="1" x14ac:dyDescent="0.35">
      <c r="O761" s="1"/>
    </row>
    <row r="762" spans="15:15" ht="14.25" customHeight="1" x14ac:dyDescent="0.35">
      <c r="O762" s="1"/>
    </row>
    <row r="763" spans="15:15" ht="14.25" customHeight="1" x14ac:dyDescent="0.35">
      <c r="O763" s="1"/>
    </row>
    <row r="764" spans="15:15" ht="14.25" customHeight="1" x14ac:dyDescent="0.35">
      <c r="O764" s="1"/>
    </row>
    <row r="765" spans="15:15" ht="14.25" customHeight="1" x14ac:dyDescent="0.35">
      <c r="O765" s="1"/>
    </row>
    <row r="766" spans="15:15" ht="14.25" customHeight="1" x14ac:dyDescent="0.35">
      <c r="O766" s="1"/>
    </row>
    <row r="767" spans="15:15" ht="14.25" customHeight="1" x14ac:dyDescent="0.35">
      <c r="O767" s="1"/>
    </row>
    <row r="768" spans="15:15" ht="14.25" customHeight="1" x14ac:dyDescent="0.35">
      <c r="O768" s="1"/>
    </row>
    <row r="769" spans="15:15" ht="14.25" customHeight="1" x14ac:dyDescent="0.35">
      <c r="O769" s="1"/>
    </row>
    <row r="770" spans="15:15" ht="14.25" customHeight="1" x14ac:dyDescent="0.35">
      <c r="O770" s="1"/>
    </row>
    <row r="771" spans="15:15" ht="14.25" customHeight="1" x14ac:dyDescent="0.35">
      <c r="O771" s="1"/>
    </row>
    <row r="772" spans="15:15" ht="14.25" customHeight="1" x14ac:dyDescent="0.35">
      <c r="O772" s="1"/>
    </row>
    <row r="773" spans="15:15" ht="14.25" customHeight="1" x14ac:dyDescent="0.35">
      <c r="O773" s="1"/>
    </row>
    <row r="774" spans="15:15" ht="14.25" customHeight="1" x14ac:dyDescent="0.35">
      <c r="O774" s="1"/>
    </row>
    <row r="775" spans="15:15" ht="14.25" customHeight="1" x14ac:dyDescent="0.35">
      <c r="O775" s="1"/>
    </row>
    <row r="776" spans="15:15" ht="14.25" customHeight="1" x14ac:dyDescent="0.35">
      <c r="O776" s="1"/>
    </row>
    <row r="777" spans="15:15" ht="14.25" customHeight="1" x14ac:dyDescent="0.35">
      <c r="O777" s="1"/>
    </row>
    <row r="778" spans="15:15" ht="14.25" customHeight="1" x14ac:dyDescent="0.35">
      <c r="O778" s="1"/>
    </row>
    <row r="779" spans="15:15" ht="14.25" customHeight="1" x14ac:dyDescent="0.35">
      <c r="O779" s="1"/>
    </row>
    <row r="780" spans="15:15" ht="14.25" customHeight="1" x14ac:dyDescent="0.35">
      <c r="O780" s="1"/>
    </row>
    <row r="781" spans="15:15" ht="14.25" customHeight="1" x14ac:dyDescent="0.35">
      <c r="O781" s="1"/>
    </row>
    <row r="782" spans="15:15" ht="14.25" customHeight="1" x14ac:dyDescent="0.35">
      <c r="O782" s="1"/>
    </row>
    <row r="783" spans="15:15" ht="14.25" customHeight="1" x14ac:dyDescent="0.35">
      <c r="O783" s="1"/>
    </row>
    <row r="784" spans="15:15" ht="14.25" customHeight="1" x14ac:dyDescent="0.35">
      <c r="O784" s="1"/>
    </row>
    <row r="785" spans="15:15" ht="14.25" customHeight="1" x14ac:dyDescent="0.35">
      <c r="O785" s="1"/>
    </row>
    <row r="786" spans="15:15" ht="14.25" customHeight="1" x14ac:dyDescent="0.35">
      <c r="O786" s="1"/>
    </row>
    <row r="787" spans="15:15" ht="14.25" customHeight="1" x14ac:dyDescent="0.35">
      <c r="O787" s="1"/>
    </row>
    <row r="788" spans="15:15" ht="14.25" customHeight="1" x14ac:dyDescent="0.35">
      <c r="O788" s="1"/>
    </row>
    <row r="789" spans="15:15" ht="14.25" customHeight="1" x14ac:dyDescent="0.35">
      <c r="O789" s="1"/>
    </row>
    <row r="790" spans="15:15" ht="14.25" customHeight="1" x14ac:dyDescent="0.35">
      <c r="O790" s="1"/>
    </row>
    <row r="791" spans="15:15" ht="14.25" customHeight="1" x14ac:dyDescent="0.35">
      <c r="O791" s="1"/>
    </row>
    <row r="792" spans="15:15" ht="14.25" customHeight="1" x14ac:dyDescent="0.35">
      <c r="O792" s="1"/>
    </row>
    <row r="793" spans="15:15" ht="14.25" customHeight="1" x14ac:dyDescent="0.35">
      <c r="O793" s="1"/>
    </row>
    <row r="794" spans="15:15" ht="14.25" customHeight="1" x14ac:dyDescent="0.35">
      <c r="O794" s="1"/>
    </row>
    <row r="795" spans="15:15" ht="14.25" customHeight="1" x14ac:dyDescent="0.35">
      <c r="O795" s="1"/>
    </row>
    <row r="796" spans="15:15" ht="14.25" customHeight="1" x14ac:dyDescent="0.35">
      <c r="O796" s="1"/>
    </row>
    <row r="797" spans="15:15" ht="14.25" customHeight="1" x14ac:dyDescent="0.35">
      <c r="O797" s="1"/>
    </row>
    <row r="798" spans="15:15" ht="14.25" customHeight="1" x14ac:dyDescent="0.35">
      <c r="O798" s="1"/>
    </row>
    <row r="799" spans="15:15" ht="14.25" customHeight="1" x14ac:dyDescent="0.35">
      <c r="O799" s="1"/>
    </row>
    <row r="800" spans="15:15" ht="14.25" customHeight="1" x14ac:dyDescent="0.35">
      <c r="O800" s="1"/>
    </row>
    <row r="801" spans="15:15" ht="14.25" customHeight="1" x14ac:dyDescent="0.35">
      <c r="O801" s="1"/>
    </row>
    <row r="802" spans="15:15" ht="14.25" customHeight="1" x14ac:dyDescent="0.35">
      <c r="O802" s="1"/>
    </row>
    <row r="803" spans="15:15" ht="14.25" customHeight="1" x14ac:dyDescent="0.35">
      <c r="O803" s="1"/>
    </row>
    <row r="804" spans="15:15" ht="14.25" customHeight="1" x14ac:dyDescent="0.35">
      <c r="O804" s="1"/>
    </row>
    <row r="805" spans="15:15" ht="14.25" customHeight="1" x14ac:dyDescent="0.35">
      <c r="O805" s="1"/>
    </row>
    <row r="806" spans="15:15" ht="14.25" customHeight="1" x14ac:dyDescent="0.35">
      <c r="O806" s="1"/>
    </row>
    <row r="807" spans="15:15" ht="14.25" customHeight="1" x14ac:dyDescent="0.35">
      <c r="O807" s="1"/>
    </row>
    <row r="808" spans="15:15" ht="14.25" customHeight="1" x14ac:dyDescent="0.35">
      <c r="O808" s="1"/>
    </row>
    <row r="809" spans="15:15" ht="14.25" customHeight="1" x14ac:dyDescent="0.35">
      <c r="O809" s="1"/>
    </row>
    <row r="810" spans="15:15" ht="14.25" customHeight="1" x14ac:dyDescent="0.35">
      <c r="O810" s="1"/>
    </row>
    <row r="811" spans="15:15" ht="14.25" customHeight="1" x14ac:dyDescent="0.35">
      <c r="O811" s="1"/>
    </row>
    <row r="812" spans="15:15" ht="14.25" customHeight="1" x14ac:dyDescent="0.35">
      <c r="O812" s="1"/>
    </row>
    <row r="813" spans="15:15" ht="14.25" customHeight="1" x14ac:dyDescent="0.35">
      <c r="O813" s="1"/>
    </row>
    <row r="814" spans="15:15" ht="14.25" customHeight="1" x14ac:dyDescent="0.35">
      <c r="O814" s="1"/>
    </row>
    <row r="815" spans="15:15" ht="14.25" customHeight="1" x14ac:dyDescent="0.35">
      <c r="O815" s="1"/>
    </row>
    <row r="816" spans="15:15" ht="14.25" customHeight="1" x14ac:dyDescent="0.35">
      <c r="O816" s="1"/>
    </row>
    <row r="817" spans="15:15" ht="14.25" customHeight="1" x14ac:dyDescent="0.35">
      <c r="O817" s="1"/>
    </row>
    <row r="818" spans="15:15" ht="14.25" customHeight="1" x14ac:dyDescent="0.35">
      <c r="O818" s="1"/>
    </row>
    <row r="819" spans="15:15" ht="14.25" customHeight="1" x14ac:dyDescent="0.35">
      <c r="O819" s="1"/>
    </row>
    <row r="820" spans="15:15" ht="14.25" customHeight="1" x14ac:dyDescent="0.35">
      <c r="O820" s="1"/>
    </row>
    <row r="821" spans="15:15" ht="14.25" customHeight="1" x14ac:dyDescent="0.35">
      <c r="O821" s="1"/>
    </row>
    <row r="822" spans="15:15" ht="14.25" customHeight="1" x14ac:dyDescent="0.35">
      <c r="O822" s="1"/>
    </row>
    <row r="823" spans="15:15" ht="14.25" customHeight="1" x14ac:dyDescent="0.35">
      <c r="O823" s="1"/>
    </row>
    <row r="824" spans="15:15" ht="14.25" customHeight="1" x14ac:dyDescent="0.35">
      <c r="O824" s="1"/>
    </row>
    <row r="825" spans="15:15" ht="14.25" customHeight="1" x14ac:dyDescent="0.35">
      <c r="O825" s="1"/>
    </row>
    <row r="826" spans="15:15" ht="14.25" customHeight="1" x14ac:dyDescent="0.35">
      <c r="O826" s="1"/>
    </row>
    <row r="827" spans="15:15" ht="14.25" customHeight="1" x14ac:dyDescent="0.35">
      <c r="O827" s="1"/>
    </row>
    <row r="828" spans="15:15" ht="14.25" customHeight="1" x14ac:dyDescent="0.35">
      <c r="O828" s="1"/>
    </row>
    <row r="829" spans="15:15" ht="14.25" customHeight="1" x14ac:dyDescent="0.35">
      <c r="O829" s="1"/>
    </row>
    <row r="830" spans="15:15" ht="14.25" customHeight="1" x14ac:dyDescent="0.35">
      <c r="O830" s="1"/>
    </row>
    <row r="831" spans="15:15" ht="14.25" customHeight="1" x14ac:dyDescent="0.35">
      <c r="O831" s="1"/>
    </row>
    <row r="832" spans="15:15" ht="14.25" customHeight="1" x14ac:dyDescent="0.35">
      <c r="O832" s="1"/>
    </row>
    <row r="833" spans="15:15" ht="14.25" customHeight="1" x14ac:dyDescent="0.35">
      <c r="O833" s="1"/>
    </row>
    <row r="834" spans="15:15" ht="14.25" customHeight="1" x14ac:dyDescent="0.35">
      <c r="O834" s="1"/>
    </row>
    <row r="835" spans="15:15" ht="14.25" customHeight="1" x14ac:dyDescent="0.35">
      <c r="O835" s="1"/>
    </row>
    <row r="836" spans="15:15" ht="14.25" customHeight="1" x14ac:dyDescent="0.35">
      <c r="O836" s="1"/>
    </row>
    <row r="837" spans="15:15" ht="14.25" customHeight="1" x14ac:dyDescent="0.35">
      <c r="O837" s="1"/>
    </row>
    <row r="838" spans="15:15" ht="14.25" customHeight="1" x14ac:dyDescent="0.35">
      <c r="O838" s="1"/>
    </row>
    <row r="839" spans="15:15" ht="14.25" customHeight="1" x14ac:dyDescent="0.35">
      <c r="O839" s="1"/>
    </row>
    <row r="840" spans="15:15" ht="14.25" customHeight="1" x14ac:dyDescent="0.35">
      <c r="O840" s="1"/>
    </row>
    <row r="841" spans="15:15" ht="14.25" customHeight="1" x14ac:dyDescent="0.35">
      <c r="O841" s="1"/>
    </row>
    <row r="842" spans="15:15" ht="14.25" customHeight="1" x14ac:dyDescent="0.35">
      <c r="O842" s="1"/>
    </row>
    <row r="843" spans="15:15" ht="14.25" customHeight="1" x14ac:dyDescent="0.35">
      <c r="O843" s="1"/>
    </row>
    <row r="844" spans="15:15" ht="14.25" customHeight="1" x14ac:dyDescent="0.35">
      <c r="O844" s="1"/>
    </row>
    <row r="845" spans="15:15" ht="14.25" customHeight="1" x14ac:dyDescent="0.35">
      <c r="O845" s="1"/>
    </row>
    <row r="846" spans="15:15" ht="14.25" customHeight="1" x14ac:dyDescent="0.35">
      <c r="O846" s="1"/>
    </row>
    <row r="847" spans="15:15" ht="14.25" customHeight="1" x14ac:dyDescent="0.35">
      <c r="O847" s="1"/>
    </row>
    <row r="848" spans="15:15" ht="14.25" customHeight="1" x14ac:dyDescent="0.35">
      <c r="O848" s="1"/>
    </row>
    <row r="849" spans="15:15" ht="14.25" customHeight="1" x14ac:dyDescent="0.35">
      <c r="O849" s="1"/>
    </row>
    <row r="850" spans="15:15" ht="14.25" customHeight="1" x14ac:dyDescent="0.35">
      <c r="O850" s="1"/>
    </row>
    <row r="851" spans="15:15" ht="14.25" customHeight="1" x14ac:dyDescent="0.35">
      <c r="O851" s="1"/>
    </row>
    <row r="852" spans="15:15" ht="14.25" customHeight="1" x14ac:dyDescent="0.35">
      <c r="O852" s="1"/>
    </row>
    <row r="853" spans="15:15" ht="14.25" customHeight="1" x14ac:dyDescent="0.35">
      <c r="O853" s="1"/>
    </row>
    <row r="854" spans="15:15" ht="14.25" customHeight="1" x14ac:dyDescent="0.35">
      <c r="O854" s="1"/>
    </row>
    <row r="855" spans="15:15" ht="14.25" customHeight="1" x14ac:dyDescent="0.35">
      <c r="O855" s="1"/>
    </row>
    <row r="856" spans="15:15" ht="14.25" customHeight="1" x14ac:dyDescent="0.35">
      <c r="O856" s="1"/>
    </row>
    <row r="857" spans="15:15" ht="14.25" customHeight="1" x14ac:dyDescent="0.35">
      <c r="O857" s="1"/>
    </row>
    <row r="858" spans="15:15" ht="14.25" customHeight="1" x14ac:dyDescent="0.35">
      <c r="O858" s="1"/>
    </row>
    <row r="859" spans="15:15" ht="14.25" customHeight="1" x14ac:dyDescent="0.35">
      <c r="O859" s="1"/>
    </row>
    <row r="860" spans="15:15" ht="14.25" customHeight="1" x14ac:dyDescent="0.35">
      <c r="O860" s="1"/>
    </row>
    <row r="861" spans="15:15" ht="14.25" customHeight="1" x14ac:dyDescent="0.35">
      <c r="O861" s="1"/>
    </row>
    <row r="862" spans="15:15" ht="14.25" customHeight="1" x14ac:dyDescent="0.35">
      <c r="O862" s="1"/>
    </row>
    <row r="863" spans="15:15" ht="14.25" customHeight="1" x14ac:dyDescent="0.35">
      <c r="O863" s="1"/>
    </row>
    <row r="864" spans="15:15" ht="14.25" customHeight="1" x14ac:dyDescent="0.35">
      <c r="O864" s="1"/>
    </row>
    <row r="865" spans="15:15" ht="14.25" customHeight="1" x14ac:dyDescent="0.35">
      <c r="O865" s="1"/>
    </row>
    <row r="866" spans="15:15" ht="14.25" customHeight="1" x14ac:dyDescent="0.35">
      <c r="O866" s="1"/>
    </row>
    <row r="867" spans="15:15" ht="14.25" customHeight="1" x14ac:dyDescent="0.35">
      <c r="O867" s="1"/>
    </row>
    <row r="868" spans="15:15" ht="14.25" customHeight="1" x14ac:dyDescent="0.35">
      <c r="O868" s="1"/>
    </row>
    <row r="869" spans="15:15" ht="14.25" customHeight="1" x14ac:dyDescent="0.35">
      <c r="O869" s="1"/>
    </row>
    <row r="870" spans="15:15" ht="14.25" customHeight="1" x14ac:dyDescent="0.35">
      <c r="O870" s="1"/>
    </row>
    <row r="871" spans="15:15" ht="14.25" customHeight="1" x14ac:dyDescent="0.35">
      <c r="O871" s="1"/>
    </row>
    <row r="872" spans="15:15" ht="14.25" customHeight="1" x14ac:dyDescent="0.35">
      <c r="O872" s="1"/>
    </row>
    <row r="873" spans="15:15" ht="14.25" customHeight="1" x14ac:dyDescent="0.35">
      <c r="O873" s="1"/>
    </row>
    <row r="874" spans="15:15" ht="14.25" customHeight="1" x14ac:dyDescent="0.35">
      <c r="O874" s="1"/>
    </row>
    <row r="875" spans="15:15" ht="14.25" customHeight="1" x14ac:dyDescent="0.35">
      <c r="O875" s="1"/>
    </row>
    <row r="876" spans="15:15" ht="14.25" customHeight="1" x14ac:dyDescent="0.35">
      <c r="O876" s="1"/>
    </row>
    <row r="877" spans="15:15" ht="14.25" customHeight="1" x14ac:dyDescent="0.35">
      <c r="O877" s="1"/>
    </row>
    <row r="878" spans="15:15" ht="14.25" customHeight="1" x14ac:dyDescent="0.35">
      <c r="O878" s="1"/>
    </row>
    <row r="879" spans="15:15" ht="14.25" customHeight="1" x14ac:dyDescent="0.35">
      <c r="O879" s="1"/>
    </row>
    <row r="880" spans="15:15" ht="14.25" customHeight="1" x14ac:dyDescent="0.35">
      <c r="O880" s="1"/>
    </row>
    <row r="881" spans="15:15" ht="14.25" customHeight="1" x14ac:dyDescent="0.35">
      <c r="O881" s="1"/>
    </row>
    <row r="882" spans="15:15" ht="14.25" customHeight="1" x14ac:dyDescent="0.35">
      <c r="O882" s="1"/>
    </row>
    <row r="883" spans="15:15" ht="14.25" customHeight="1" x14ac:dyDescent="0.35">
      <c r="O883" s="1"/>
    </row>
    <row r="884" spans="15:15" ht="14.25" customHeight="1" x14ac:dyDescent="0.35">
      <c r="O884" s="1"/>
    </row>
    <row r="885" spans="15:15" ht="14.25" customHeight="1" x14ac:dyDescent="0.35">
      <c r="O885" s="1"/>
    </row>
    <row r="886" spans="15:15" ht="14.25" customHeight="1" x14ac:dyDescent="0.35">
      <c r="O886" s="1"/>
    </row>
    <row r="887" spans="15:15" ht="14.25" customHeight="1" x14ac:dyDescent="0.35">
      <c r="O887" s="1"/>
    </row>
    <row r="888" spans="15:15" ht="14.25" customHeight="1" x14ac:dyDescent="0.35">
      <c r="O888" s="1"/>
    </row>
    <row r="889" spans="15:15" ht="14.25" customHeight="1" x14ac:dyDescent="0.35">
      <c r="O889" s="1"/>
    </row>
    <row r="890" spans="15:15" ht="14.25" customHeight="1" x14ac:dyDescent="0.35">
      <c r="O890" s="1"/>
    </row>
    <row r="891" spans="15:15" ht="14.25" customHeight="1" x14ac:dyDescent="0.35">
      <c r="O891" s="1"/>
    </row>
    <row r="892" spans="15:15" ht="14.25" customHeight="1" x14ac:dyDescent="0.35">
      <c r="O892" s="1"/>
    </row>
    <row r="893" spans="15:15" ht="14.25" customHeight="1" x14ac:dyDescent="0.35">
      <c r="O893" s="1"/>
    </row>
    <row r="894" spans="15:15" ht="14.25" customHeight="1" x14ac:dyDescent="0.35">
      <c r="O894" s="1"/>
    </row>
    <row r="895" spans="15:15" ht="14.25" customHeight="1" x14ac:dyDescent="0.35">
      <c r="O895" s="1"/>
    </row>
    <row r="896" spans="15:15" ht="14.25" customHeight="1" x14ac:dyDescent="0.35">
      <c r="O896" s="1"/>
    </row>
    <row r="897" spans="15:15" ht="14.25" customHeight="1" x14ac:dyDescent="0.35">
      <c r="O897" s="1"/>
    </row>
    <row r="898" spans="15:15" ht="14.25" customHeight="1" x14ac:dyDescent="0.35">
      <c r="O898" s="1"/>
    </row>
    <row r="899" spans="15:15" ht="14.25" customHeight="1" x14ac:dyDescent="0.35">
      <c r="O899" s="1"/>
    </row>
    <row r="900" spans="15:15" ht="14.25" customHeight="1" x14ac:dyDescent="0.35">
      <c r="O900" s="1"/>
    </row>
    <row r="901" spans="15:15" ht="14.25" customHeight="1" x14ac:dyDescent="0.35">
      <c r="O901" s="1"/>
    </row>
    <row r="902" spans="15:15" ht="14.25" customHeight="1" x14ac:dyDescent="0.35">
      <c r="O902" s="1"/>
    </row>
    <row r="903" spans="15:15" ht="14.25" customHeight="1" x14ac:dyDescent="0.35">
      <c r="O903" s="1"/>
    </row>
    <row r="904" spans="15:15" ht="14.25" customHeight="1" x14ac:dyDescent="0.35">
      <c r="O904" s="1"/>
    </row>
    <row r="905" spans="15:15" ht="14.25" customHeight="1" x14ac:dyDescent="0.35">
      <c r="O905" s="1"/>
    </row>
    <row r="906" spans="15:15" ht="14.25" customHeight="1" x14ac:dyDescent="0.35">
      <c r="O906" s="1"/>
    </row>
    <row r="907" spans="15:15" ht="14.25" customHeight="1" x14ac:dyDescent="0.35">
      <c r="O907" s="1"/>
    </row>
    <row r="908" spans="15:15" ht="14.25" customHeight="1" x14ac:dyDescent="0.35">
      <c r="O908" s="1"/>
    </row>
    <row r="909" spans="15:15" ht="14.25" customHeight="1" x14ac:dyDescent="0.35">
      <c r="O909" s="1"/>
    </row>
    <row r="910" spans="15:15" ht="14.25" customHeight="1" x14ac:dyDescent="0.35">
      <c r="O910" s="1"/>
    </row>
    <row r="911" spans="15:15" ht="14.25" customHeight="1" x14ac:dyDescent="0.35">
      <c r="O911" s="1"/>
    </row>
    <row r="912" spans="15:15" ht="14.25" customHeight="1" x14ac:dyDescent="0.35">
      <c r="O912" s="1"/>
    </row>
    <row r="913" spans="15:15" ht="14.25" customHeight="1" x14ac:dyDescent="0.35">
      <c r="O913" s="1"/>
    </row>
    <row r="914" spans="15:15" ht="14.25" customHeight="1" x14ac:dyDescent="0.35">
      <c r="O914" s="1"/>
    </row>
    <row r="915" spans="15:15" ht="14.25" customHeight="1" x14ac:dyDescent="0.35">
      <c r="O915" s="1"/>
    </row>
    <row r="916" spans="15:15" ht="14.25" customHeight="1" x14ac:dyDescent="0.35">
      <c r="O916" s="1"/>
    </row>
    <row r="917" spans="15:15" ht="14.25" customHeight="1" x14ac:dyDescent="0.35">
      <c r="O917" s="1"/>
    </row>
    <row r="918" spans="15:15" ht="14.25" customHeight="1" x14ac:dyDescent="0.35">
      <c r="O918" s="1"/>
    </row>
    <row r="919" spans="15:15" ht="14.25" customHeight="1" x14ac:dyDescent="0.35">
      <c r="O919" s="1"/>
    </row>
    <row r="920" spans="15:15" ht="14.25" customHeight="1" x14ac:dyDescent="0.35">
      <c r="O920" s="1"/>
    </row>
    <row r="921" spans="15:15" ht="14.25" customHeight="1" x14ac:dyDescent="0.35">
      <c r="O921" s="1"/>
    </row>
    <row r="922" spans="15:15" ht="14.25" customHeight="1" x14ac:dyDescent="0.35">
      <c r="O922" s="1"/>
    </row>
    <row r="923" spans="15:15" ht="14.25" customHeight="1" x14ac:dyDescent="0.35">
      <c r="O923" s="1"/>
    </row>
    <row r="924" spans="15:15" ht="14.25" customHeight="1" x14ac:dyDescent="0.35">
      <c r="O924" s="1"/>
    </row>
    <row r="925" spans="15:15" ht="14.25" customHeight="1" x14ac:dyDescent="0.35">
      <c r="O925" s="1"/>
    </row>
    <row r="926" spans="15:15" ht="14.25" customHeight="1" x14ac:dyDescent="0.35">
      <c r="O926" s="1"/>
    </row>
    <row r="927" spans="15:15" ht="14.25" customHeight="1" x14ac:dyDescent="0.35">
      <c r="O927" s="1"/>
    </row>
    <row r="928" spans="15:15" ht="14.25" customHeight="1" x14ac:dyDescent="0.35">
      <c r="O928" s="1"/>
    </row>
    <row r="929" spans="15:15" ht="14.25" customHeight="1" x14ac:dyDescent="0.35">
      <c r="O929" s="1"/>
    </row>
    <row r="930" spans="15:15" ht="14.25" customHeight="1" x14ac:dyDescent="0.35">
      <c r="O930" s="1"/>
    </row>
    <row r="931" spans="15:15" ht="14.25" customHeight="1" x14ac:dyDescent="0.35">
      <c r="O931" s="1"/>
    </row>
    <row r="932" spans="15:15" ht="14.25" customHeight="1" x14ac:dyDescent="0.35">
      <c r="O932" s="1"/>
    </row>
    <row r="933" spans="15:15" ht="14.25" customHeight="1" x14ac:dyDescent="0.35">
      <c r="O933" s="1"/>
    </row>
    <row r="934" spans="15:15" ht="14.25" customHeight="1" x14ac:dyDescent="0.35">
      <c r="O934" s="1"/>
    </row>
    <row r="935" spans="15:15" ht="14.25" customHeight="1" x14ac:dyDescent="0.35">
      <c r="O935" s="1"/>
    </row>
    <row r="936" spans="15:15" ht="14.25" customHeight="1" x14ac:dyDescent="0.35">
      <c r="O936" s="1"/>
    </row>
    <row r="937" spans="15:15" ht="14.25" customHeight="1" x14ac:dyDescent="0.35">
      <c r="O937" s="1"/>
    </row>
    <row r="938" spans="15:15" ht="14.25" customHeight="1" x14ac:dyDescent="0.35">
      <c r="O938" s="1"/>
    </row>
    <row r="939" spans="15:15" ht="14.25" customHeight="1" x14ac:dyDescent="0.35">
      <c r="O939" s="1"/>
    </row>
    <row r="940" spans="15:15" ht="14.25" customHeight="1" x14ac:dyDescent="0.35">
      <c r="O940" s="1"/>
    </row>
    <row r="941" spans="15:15" ht="14.25" customHeight="1" x14ac:dyDescent="0.35">
      <c r="O941" s="1"/>
    </row>
    <row r="942" spans="15:15" ht="14.25" customHeight="1" x14ac:dyDescent="0.35">
      <c r="O942" s="1"/>
    </row>
    <row r="943" spans="15:15" ht="14.25" customHeight="1" x14ac:dyDescent="0.35">
      <c r="O943" s="1"/>
    </row>
    <row r="944" spans="15:15" ht="14.25" customHeight="1" x14ac:dyDescent="0.35">
      <c r="O944" s="1"/>
    </row>
    <row r="945" spans="15:15" ht="14.25" customHeight="1" x14ac:dyDescent="0.35">
      <c r="O945" s="1"/>
    </row>
    <row r="946" spans="15:15" ht="14.25" customHeight="1" x14ac:dyDescent="0.35">
      <c r="O946" s="1"/>
    </row>
    <row r="947" spans="15:15" ht="14.25" customHeight="1" x14ac:dyDescent="0.35">
      <c r="O947" s="1"/>
    </row>
    <row r="948" spans="15:15" ht="14.25" customHeight="1" x14ac:dyDescent="0.35">
      <c r="O948" s="1"/>
    </row>
    <row r="949" spans="15:15" ht="14.25" customHeight="1" x14ac:dyDescent="0.35">
      <c r="O949" s="1"/>
    </row>
    <row r="950" spans="15:15" ht="14.25" customHeight="1" x14ac:dyDescent="0.35">
      <c r="O950" s="1"/>
    </row>
    <row r="951" spans="15:15" ht="14.25" customHeight="1" x14ac:dyDescent="0.35">
      <c r="O951" s="1"/>
    </row>
    <row r="952" spans="15:15" ht="14.25" customHeight="1" x14ac:dyDescent="0.35">
      <c r="O952" s="1"/>
    </row>
    <row r="953" spans="15:15" ht="14.25" customHeight="1" x14ac:dyDescent="0.35">
      <c r="O953" s="1"/>
    </row>
    <row r="954" spans="15:15" ht="14.25" customHeight="1" x14ac:dyDescent="0.35">
      <c r="O954" s="1"/>
    </row>
    <row r="955" spans="15:15" ht="14.25" customHeight="1" x14ac:dyDescent="0.35">
      <c r="O955" s="1"/>
    </row>
    <row r="956" spans="15:15" ht="14.25" customHeight="1" x14ac:dyDescent="0.35">
      <c r="O956" s="1"/>
    </row>
    <row r="957" spans="15:15" ht="14.25" customHeight="1" x14ac:dyDescent="0.35">
      <c r="O957" s="1"/>
    </row>
    <row r="958" spans="15:15" ht="14.25" customHeight="1" x14ac:dyDescent="0.35">
      <c r="O958" s="1"/>
    </row>
    <row r="959" spans="15:15" ht="14.25" customHeight="1" x14ac:dyDescent="0.35">
      <c r="O959" s="1"/>
    </row>
    <row r="960" spans="15:15" ht="14.25" customHeight="1" x14ac:dyDescent="0.35">
      <c r="O960" s="1"/>
    </row>
    <row r="961" spans="15:15" ht="14.25" customHeight="1" x14ac:dyDescent="0.35">
      <c r="O961" s="1"/>
    </row>
    <row r="962" spans="15:15" ht="14.25" customHeight="1" x14ac:dyDescent="0.35">
      <c r="O962" s="1"/>
    </row>
    <row r="963" spans="15:15" ht="14.25" customHeight="1" x14ac:dyDescent="0.35">
      <c r="O963" s="1"/>
    </row>
    <row r="964" spans="15:15" ht="14.25" customHeight="1" x14ac:dyDescent="0.35">
      <c r="O964" s="1"/>
    </row>
    <row r="965" spans="15:15" ht="14.25" customHeight="1" x14ac:dyDescent="0.35">
      <c r="O965" s="1"/>
    </row>
    <row r="966" spans="15:15" ht="14.25" customHeight="1" x14ac:dyDescent="0.35">
      <c r="O966" s="1"/>
    </row>
    <row r="967" spans="15:15" ht="14.25" customHeight="1" x14ac:dyDescent="0.35">
      <c r="O967" s="1"/>
    </row>
    <row r="968" spans="15:15" ht="14.25" customHeight="1" x14ac:dyDescent="0.35">
      <c r="O968" s="1"/>
    </row>
    <row r="969" spans="15:15" ht="14.25" customHeight="1" x14ac:dyDescent="0.35">
      <c r="O969" s="1"/>
    </row>
    <row r="970" spans="15:15" ht="14.25" customHeight="1" x14ac:dyDescent="0.35">
      <c r="O970" s="1"/>
    </row>
    <row r="971" spans="15:15" ht="14.25" customHeight="1" x14ac:dyDescent="0.35">
      <c r="O971" s="1"/>
    </row>
    <row r="972" spans="15:15" ht="14.25" customHeight="1" x14ac:dyDescent="0.35">
      <c r="O972" s="1"/>
    </row>
    <row r="973" spans="15:15" ht="14.25" customHeight="1" x14ac:dyDescent="0.35">
      <c r="O973" s="1"/>
    </row>
    <row r="974" spans="15:15" ht="14.25" customHeight="1" x14ac:dyDescent="0.35">
      <c r="O974" s="1"/>
    </row>
    <row r="975" spans="15:15" ht="14.25" customHeight="1" x14ac:dyDescent="0.35">
      <c r="O975" s="1"/>
    </row>
    <row r="976" spans="15:15" ht="14.25" customHeight="1" x14ac:dyDescent="0.35">
      <c r="O976" s="1"/>
    </row>
    <row r="977" spans="15:15" ht="14.25" customHeight="1" x14ac:dyDescent="0.35">
      <c r="O977" s="1"/>
    </row>
    <row r="978" spans="15:15" ht="14.25" customHeight="1" x14ac:dyDescent="0.35">
      <c r="O978" s="1"/>
    </row>
    <row r="979" spans="15:15" ht="14.25" customHeight="1" x14ac:dyDescent="0.35">
      <c r="O979" s="1"/>
    </row>
    <row r="980" spans="15:15" ht="14.25" customHeight="1" x14ac:dyDescent="0.35">
      <c r="O980" s="1"/>
    </row>
    <row r="981" spans="15:15" ht="14.25" customHeight="1" x14ac:dyDescent="0.35">
      <c r="O981" s="1"/>
    </row>
    <row r="982" spans="15:15" ht="14.25" customHeight="1" x14ac:dyDescent="0.35">
      <c r="O982" s="1"/>
    </row>
    <row r="983" spans="15:15" ht="14.25" customHeight="1" x14ac:dyDescent="0.35">
      <c r="O983" s="1"/>
    </row>
    <row r="984" spans="15:15" ht="14.25" customHeight="1" x14ac:dyDescent="0.35">
      <c r="O984" s="1"/>
    </row>
    <row r="985" spans="15:15" ht="14.25" customHeight="1" x14ac:dyDescent="0.35">
      <c r="O985" s="1"/>
    </row>
    <row r="986" spans="15:15" ht="14.25" customHeight="1" x14ac:dyDescent="0.35">
      <c r="O986" s="1"/>
    </row>
    <row r="987" spans="15:15" ht="14.25" customHeight="1" x14ac:dyDescent="0.35">
      <c r="O987" s="1"/>
    </row>
    <row r="988" spans="15:15" ht="14.25" customHeight="1" x14ac:dyDescent="0.35">
      <c r="O988" s="1"/>
    </row>
    <row r="989" spans="15:15" ht="14.25" customHeight="1" x14ac:dyDescent="0.35">
      <c r="O989" s="1"/>
    </row>
    <row r="990" spans="15:15" ht="14.25" customHeight="1" x14ac:dyDescent="0.35">
      <c r="O990" s="1"/>
    </row>
    <row r="991" spans="15:15" ht="14.25" customHeight="1" x14ac:dyDescent="0.35">
      <c r="O991" s="1"/>
    </row>
    <row r="992" spans="15:15" ht="14.25" customHeight="1" x14ac:dyDescent="0.35">
      <c r="O992" s="1"/>
    </row>
    <row r="993" spans="15:15" ht="14.25" customHeight="1" x14ac:dyDescent="0.35">
      <c r="O993" s="1"/>
    </row>
    <row r="994" spans="15:15" ht="14.25" customHeight="1" x14ac:dyDescent="0.35">
      <c r="O994" s="1"/>
    </row>
    <row r="995" spans="15:15" ht="14.25" customHeight="1" x14ac:dyDescent="0.35">
      <c r="O995" s="1"/>
    </row>
    <row r="996" spans="15:15" ht="14.25" customHeight="1" x14ac:dyDescent="0.35">
      <c r="O996" s="1"/>
    </row>
    <row r="997" spans="15:15" ht="14.25" customHeight="1" x14ac:dyDescent="0.35">
      <c r="O997" s="1"/>
    </row>
    <row r="998" spans="15:15" ht="14.25" customHeight="1" x14ac:dyDescent="0.35">
      <c r="O998" s="1"/>
    </row>
    <row r="999" spans="15:15" ht="14.25" customHeight="1" x14ac:dyDescent="0.35">
      <c r="O999" s="1"/>
    </row>
    <row r="1000" spans="15:15" ht="14.25" customHeight="1" x14ac:dyDescent="0.35">
      <c r="O1000" s="1"/>
    </row>
  </sheetData>
  <mergeCells count="16">
    <mergeCell ref="B21:B23"/>
    <mergeCell ref="B24:B25"/>
    <mergeCell ref="B8:C8"/>
    <mergeCell ref="I8:J8"/>
    <mergeCell ref="B9:C9"/>
    <mergeCell ref="I9:J9"/>
    <mergeCell ref="F11:K11"/>
    <mergeCell ref="B13:B20"/>
    <mergeCell ref="C13:C16"/>
    <mergeCell ref="C17:C19"/>
    <mergeCell ref="B7:C7"/>
    <mergeCell ref="B2:C2"/>
    <mergeCell ref="B3:C3"/>
    <mergeCell ref="B4:C4"/>
    <mergeCell ref="B5:C5"/>
    <mergeCell ref="B6:C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4E6C-0A34-476B-BE4D-3CFB341B9667}">
  <dimension ref="A1:J998"/>
  <sheetViews>
    <sheetView workbookViewId="0">
      <pane ySplit="2" topLeftCell="A12" activePane="bottomLeft" state="frozen"/>
      <selection activeCell="E7" sqref="E7"/>
      <selection pane="bottomLeft" activeCell="G26" sqref="G26"/>
    </sheetView>
  </sheetViews>
  <sheetFormatPr defaultColWidth="14.453125" defaultRowHeight="15" customHeight="1" x14ac:dyDescent="0.35"/>
  <cols>
    <col min="1" max="1" width="32.26953125" customWidth="1"/>
    <col min="2" max="2" width="7.54296875" customWidth="1"/>
    <col min="3" max="3" width="18.08984375" customWidth="1"/>
    <col min="4" max="4" width="19.26953125" customWidth="1"/>
    <col min="5" max="14" width="9.7265625" customWidth="1"/>
  </cols>
  <sheetData>
    <row r="1" spans="1:10" ht="15" customHeight="1" x14ac:dyDescent="0.35">
      <c r="A1" t="s">
        <v>149</v>
      </c>
    </row>
    <row r="2" spans="1:10" ht="14.25" customHeight="1" x14ac:dyDescent="0.35">
      <c r="A2" s="70" t="s">
        <v>40</v>
      </c>
      <c r="B2" s="70" t="s">
        <v>44</v>
      </c>
      <c r="C2" s="70" t="s">
        <v>45</v>
      </c>
      <c r="D2" s="70" t="s">
        <v>46</v>
      </c>
    </row>
    <row r="3" spans="1:10" ht="14.25" customHeight="1" x14ac:dyDescent="0.35">
      <c r="A3" s="71" t="s">
        <v>157</v>
      </c>
      <c r="B3" s="72">
        <v>60</v>
      </c>
      <c r="C3" s="72">
        <f>(6000+200)</f>
        <v>6200</v>
      </c>
      <c r="D3" s="72">
        <f>C3*B3</f>
        <v>372000</v>
      </c>
      <c r="H3" s="140"/>
    </row>
    <row r="4" spans="1:10" ht="14.25" customHeight="1" x14ac:dyDescent="0.35">
      <c r="A4" s="71" t="s">
        <v>158</v>
      </c>
      <c r="B4" s="72">
        <v>60</v>
      </c>
      <c r="C4" s="72">
        <f>(540+20)*5</f>
        <v>2800</v>
      </c>
      <c r="D4" s="72">
        <f>C4*B4</f>
        <v>168000</v>
      </c>
      <c r="H4" s="140"/>
      <c r="I4">
        <f>(12*21)*2</f>
        <v>504</v>
      </c>
    </row>
    <row r="5" spans="1:10" ht="14.25" customHeight="1" x14ac:dyDescent="0.35">
      <c r="A5" s="71" t="s">
        <v>48</v>
      </c>
      <c r="B5" s="72">
        <v>40000</v>
      </c>
      <c r="C5" s="72">
        <f>(4*5)</f>
        <v>20</v>
      </c>
      <c r="D5" s="72">
        <f>B5*C5</f>
        <v>800000</v>
      </c>
      <c r="H5" s="140"/>
    </row>
    <row r="6" spans="1:10" ht="14.25" customHeight="1" x14ac:dyDescent="0.35">
      <c r="A6" s="71" t="s">
        <v>156</v>
      </c>
      <c r="B6" s="139">
        <v>70000</v>
      </c>
      <c r="C6" s="72">
        <f>10+11</f>
        <v>21</v>
      </c>
      <c r="D6" s="72">
        <f t="shared" ref="D6" si="0">B6*C6</f>
        <v>1470000</v>
      </c>
    </row>
    <row r="7" spans="1:10" ht="14.25" customHeight="1" x14ac:dyDescent="0.35">
      <c r="A7" s="137" t="s">
        <v>43</v>
      </c>
      <c r="B7" s="137"/>
      <c r="C7" s="137"/>
      <c r="D7" s="137">
        <f>SUM(D3:D6)</f>
        <v>2810000</v>
      </c>
    </row>
    <row r="8" spans="1:10" ht="14.25" customHeight="1" x14ac:dyDescent="0.35">
      <c r="A8" s="138"/>
      <c r="B8" s="139"/>
      <c r="C8" s="139"/>
      <c r="D8" s="139"/>
    </row>
    <row r="9" spans="1:10" ht="14.25" customHeight="1" x14ac:dyDescent="0.35">
      <c r="A9" s="138" t="s">
        <v>160</v>
      </c>
      <c r="B9" s="139"/>
      <c r="C9" s="139"/>
      <c r="D9" s="139"/>
    </row>
    <row r="10" spans="1:10" ht="14.25" customHeight="1" x14ac:dyDescent="0.35">
      <c r="A10" s="70" t="s">
        <v>40</v>
      </c>
      <c r="B10" s="70" t="s">
        <v>44</v>
      </c>
      <c r="C10" s="70" t="s">
        <v>45</v>
      </c>
      <c r="D10" s="70" t="s">
        <v>46</v>
      </c>
    </row>
    <row r="11" spans="1:10" ht="14.25" customHeight="1" x14ac:dyDescent="0.35">
      <c r="A11" s="71" t="s">
        <v>157</v>
      </c>
      <c r="B11" s="72">
        <v>60</v>
      </c>
      <c r="C11" s="143">
        <f>J12+200</f>
        <v>1866.6666666666665</v>
      </c>
      <c r="D11" s="72">
        <f>C11*B11</f>
        <v>111999.99999999999</v>
      </c>
      <c r="G11" s="204"/>
      <c r="H11" s="205"/>
      <c r="I11" s="205"/>
      <c r="J11" s="206"/>
    </row>
    <row r="12" spans="1:10" ht="14.25" customHeight="1" x14ac:dyDescent="0.35">
      <c r="A12" s="71" t="s">
        <v>158</v>
      </c>
      <c r="B12" s="72">
        <v>60</v>
      </c>
      <c r="C12" s="72">
        <v>560</v>
      </c>
      <c r="D12" s="72">
        <f>C12*B12</f>
        <v>33600</v>
      </c>
      <c r="G12" t="s">
        <v>144</v>
      </c>
      <c r="H12" t="s">
        <v>148</v>
      </c>
      <c r="I12" s="142">
        <f>6000/3.6</f>
        <v>1666.6666666666665</v>
      </c>
      <c r="J12" s="142">
        <f>I12</f>
        <v>1666.6666666666665</v>
      </c>
    </row>
    <row r="13" spans="1:10" ht="14.25" customHeight="1" x14ac:dyDescent="0.35">
      <c r="A13" s="71" t="s">
        <v>48</v>
      </c>
      <c r="B13" s="72">
        <v>40000</v>
      </c>
      <c r="C13" s="72">
        <v>4</v>
      </c>
      <c r="D13" s="72">
        <f>B13*C13</f>
        <v>160000</v>
      </c>
      <c r="G13" t="s">
        <v>145</v>
      </c>
      <c r="H13">
        <v>0.5</v>
      </c>
      <c r="I13">
        <f>I12/2</f>
        <v>833.33333333333326</v>
      </c>
      <c r="J13">
        <f>I13*2</f>
        <v>1666.6666666666665</v>
      </c>
    </row>
    <row r="14" spans="1:10" ht="14.25" customHeight="1" x14ac:dyDescent="0.35">
      <c r="A14" s="71" t="s">
        <v>156</v>
      </c>
      <c r="B14" s="139">
        <v>70000</v>
      </c>
      <c r="C14" s="72">
        <v>8</v>
      </c>
      <c r="D14" s="72">
        <f t="shared" ref="D14" si="1">B14*C14</f>
        <v>560000</v>
      </c>
      <c r="G14" t="s">
        <v>146</v>
      </c>
      <c r="H14">
        <v>0.8</v>
      </c>
      <c r="I14">
        <f>H14*I12</f>
        <v>1333.3333333333333</v>
      </c>
      <c r="J14">
        <f>I14*2</f>
        <v>2666.6666666666665</v>
      </c>
    </row>
    <row r="15" spans="1:10" ht="14.25" customHeight="1" x14ac:dyDescent="0.35">
      <c r="A15" s="137" t="s">
        <v>43</v>
      </c>
      <c r="B15" s="137"/>
      <c r="C15" s="137"/>
      <c r="D15" s="137">
        <f>SUM(D11:D14)</f>
        <v>865600</v>
      </c>
    </row>
    <row r="16" spans="1:10" ht="14.25" customHeight="1" x14ac:dyDescent="0.35">
      <c r="A16" s="138"/>
      <c r="B16" s="139"/>
      <c r="C16" s="139"/>
      <c r="D16" s="139"/>
    </row>
    <row r="17" spans="1:10" ht="14.25" customHeight="1" x14ac:dyDescent="0.35">
      <c r="A17" s="138" t="s">
        <v>161</v>
      </c>
      <c r="B17" s="139"/>
      <c r="C17" s="139"/>
      <c r="D17" s="139"/>
      <c r="I17" s="142"/>
      <c r="J17" s="142"/>
    </row>
    <row r="18" spans="1:10" ht="14.25" customHeight="1" x14ac:dyDescent="0.35">
      <c r="A18" s="70" t="s">
        <v>40</v>
      </c>
      <c r="B18" s="70" t="s">
        <v>44</v>
      </c>
      <c r="C18" s="70" t="s">
        <v>45</v>
      </c>
      <c r="D18" s="70" t="s">
        <v>46</v>
      </c>
      <c r="H18">
        <f>D15+D23+D30</f>
        <v>2810000</v>
      </c>
    </row>
    <row r="19" spans="1:10" ht="14.25" customHeight="1" x14ac:dyDescent="0.35">
      <c r="A19" s="71" t="s">
        <v>157</v>
      </c>
      <c r="B19" s="72">
        <v>60</v>
      </c>
      <c r="C19" s="72">
        <f>J13</f>
        <v>1666.6666666666665</v>
      </c>
      <c r="D19" s="72">
        <f>C19*B19</f>
        <v>99999.999999999985</v>
      </c>
    </row>
    <row r="20" spans="1:10" ht="14.25" customHeight="1" x14ac:dyDescent="0.35">
      <c r="A20" s="71" t="s">
        <v>158</v>
      </c>
      <c r="B20" s="72">
        <v>60</v>
      </c>
      <c r="C20" s="72">
        <v>1120</v>
      </c>
      <c r="D20" s="72">
        <f>C20*B20</f>
        <v>67200</v>
      </c>
    </row>
    <row r="21" spans="1:10" ht="14.25" customHeight="1" x14ac:dyDescent="0.35">
      <c r="A21" s="71" t="s">
        <v>48</v>
      </c>
      <c r="B21" s="72">
        <v>40000</v>
      </c>
      <c r="C21" s="72">
        <v>8</v>
      </c>
      <c r="D21" s="72">
        <f>B21*C21</f>
        <v>320000</v>
      </c>
    </row>
    <row r="22" spans="1:10" ht="14.25" customHeight="1" x14ac:dyDescent="0.35">
      <c r="A22" s="71" t="s">
        <v>156</v>
      </c>
      <c r="B22" s="139">
        <v>70000</v>
      </c>
      <c r="C22" s="72">
        <v>5</v>
      </c>
      <c r="D22" s="72">
        <f t="shared" ref="D22" si="2">B22*C22</f>
        <v>350000</v>
      </c>
    </row>
    <row r="23" spans="1:10" ht="14.25" customHeight="1" x14ac:dyDescent="0.35">
      <c r="A23" s="137" t="s">
        <v>43</v>
      </c>
      <c r="B23" s="137"/>
      <c r="C23" s="137"/>
      <c r="D23" s="137">
        <f>SUM(D19:D22)</f>
        <v>837200</v>
      </c>
    </row>
    <row r="24" spans="1:10" ht="14.25" customHeight="1" x14ac:dyDescent="0.35">
      <c r="A24" s="138" t="s">
        <v>162</v>
      </c>
      <c r="B24" s="139"/>
      <c r="C24" s="139"/>
      <c r="D24" s="139"/>
    </row>
    <row r="25" spans="1:10" ht="14.25" customHeight="1" x14ac:dyDescent="0.35">
      <c r="A25" s="70" t="s">
        <v>40</v>
      </c>
      <c r="B25" s="70" t="s">
        <v>44</v>
      </c>
      <c r="C25" s="70" t="s">
        <v>45</v>
      </c>
      <c r="D25" s="70" t="s">
        <v>46</v>
      </c>
    </row>
    <row r="26" spans="1:10" ht="14.25" customHeight="1" x14ac:dyDescent="0.35">
      <c r="A26" s="71" t="s">
        <v>157</v>
      </c>
      <c r="B26" s="72">
        <v>60</v>
      </c>
      <c r="C26" s="72">
        <f>J14</f>
        <v>2666.6666666666665</v>
      </c>
      <c r="D26" s="72">
        <f>C26*B26</f>
        <v>160000</v>
      </c>
    </row>
    <row r="27" spans="1:10" ht="14.25" customHeight="1" x14ac:dyDescent="0.35">
      <c r="A27" s="71" t="s">
        <v>158</v>
      </c>
      <c r="B27" s="72">
        <v>60</v>
      </c>
      <c r="C27" s="72">
        <v>1120</v>
      </c>
      <c r="D27" s="72">
        <f>C27*B27</f>
        <v>67200</v>
      </c>
    </row>
    <row r="28" spans="1:10" ht="14.25" customHeight="1" x14ac:dyDescent="0.35">
      <c r="A28" s="71" t="s">
        <v>48</v>
      </c>
      <c r="B28" s="72">
        <v>40000</v>
      </c>
      <c r="C28" s="72">
        <v>8</v>
      </c>
      <c r="D28" s="72">
        <f>B28*C28</f>
        <v>320000</v>
      </c>
    </row>
    <row r="29" spans="1:10" ht="14.25" customHeight="1" x14ac:dyDescent="0.35">
      <c r="A29" s="71" t="s">
        <v>156</v>
      </c>
      <c r="B29" s="139">
        <v>70000</v>
      </c>
      <c r="C29" s="72">
        <v>8</v>
      </c>
      <c r="D29" s="72">
        <f t="shared" ref="D29" si="3">B29*C29</f>
        <v>560000</v>
      </c>
      <c r="E29" s="11"/>
    </row>
    <row r="30" spans="1:10" ht="14.25" customHeight="1" x14ac:dyDescent="0.35">
      <c r="A30" s="137" t="s">
        <v>43</v>
      </c>
      <c r="B30" s="137"/>
      <c r="C30" s="137"/>
      <c r="D30" s="137">
        <f>SUM(D26:D29)</f>
        <v>1107200</v>
      </c>
    </row>
    <row r="31" spans="1:10" ht="14.25" customHeight="1" x14ac:dyDescent="0.35">
      <c r="D31" s="73"/>
    </row>
    <row r="32" spans="1:10" ht="14.25" customHeight="1" x14ac:dyDescent="0.35">
      <c r="D32" s="74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autoFilter ref="A2:D27" xr:uid="{00000000-0001-0000-0200-000000000000}"/>
  <mergeCells count="1">
    <mergeCell ref="G11:J1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5321-8E13-4F24-8FAF-A61A8C4A6F88}">
  <sheetPr>
    <tabColor rgb="FFE2EFD9"/>
  </sheetPr>
  <dimension ref="B1:P1000"/>
  <sheetViews>
    <sheetView topLeftCell="B10" zoomScale="70" zoomScaleNormal="70" workbookViewId="0">
      <selection activeCell="F14" sqref="F14"/>
    </sheetView>
  </sheetViews>
  <sheetFormatPr defaultColWidth="14.453125" defaultRowHeight="15" customHeight="1" x14ac:dyDescent="0.35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 thickBot="1" x14ac:dyDescent="0.4">
      <c r="O1" s="1"/>
    </row>
    <row r="2" spans="2:16" ht="14.25" customHeight="1" x14ac:dyDescent="0.45">
      <c r="B2" s="199" t="s">
        <v>0</v>
      </c>
      <c r="C2" s="200"/>
      <c r="D2" s="2" t="s">
        <v>1</v>
      </c>
      <c r="E2" s="3"/>
      <c r="I2" s="4"/>
      <c r="O2" s="1"/>
    </row>
    <row r="3" spans="2:16" ht="14.25" customHeight="1" x14ac:dyDescent="0.45">
      <c r="B3" s="198" t="s">
        <v>2</v>
      </c>
      <c r="C3" s="186"/>
      <c r="D3" s="5">
        <f ca="1">TODAY()</f>
        <v>45853</v>
      </c>
      <c r="I3" s="4"/>
      <c r="O3" s="1"/>
    </row>
    <row r="4" spans="2:16" ht="14.25" customHeight="1" x14ac:dyDescent="0.45">
      <c r="B4" s="198" t="s">
        <v>3</v>
      </c>
      <c r="C4" s="186"/>
      <c r="D4" s="6">
        <v>3</v>
      </c>
      <c r="E4" s="3"/>
      <c r="O4" s="1"/>
    </row>
    <row r="5" spans="2:16" ht="14.25" customHeight="1" x14ac:dyDescent="0.45">
      <c r="B5" s="198" t="s">
        <v>4</v>
      </c>
      <c r="C5" s="186"/>
      <c r="D5" s="7">
        <v>0.1</v>
      </c>
      <c r="E5" s="3"/>
      <c r="O5" s="1"/>
    </row>
    <row r="6" spans="2:16" ht="14.25" customHeight="1" x14ac:dyDescent="0.45">
      <c r="B6" s="198" t="s">
        <v>5</v>
      </c>
      <c r="C6" s="186"/>
      <c r="D6" s="8">
        <v>0.05</v>
      </c>
      <c r="E6" s="3"/>
      <c r="O6" s="1"/>
    </row>
    <row r="7" spans="2:16" ht="14.25" customHeight="1" x14ac:dyDescent="0.45">
      <c r="B7" s="198" t="s">
        <v>6</v>
      </c>
      <c r="C7" s="186"/>
      <c r="D7" s="9">
        <v>40000</v>
      </c>
      <c r="E7" s="3"/>
      <c r="O7" s="10"/>
      <c r="P7" s="11"/>
    </row>
    <row r="8" spans="2:16" ht="14.25" customHeight="1" x14ac:dyDescent="0.45">
      <c r="B8" s="185"/>
      <c r="C8" s="186"/>
      <c r="D8" s="12"/>
      <c r="E8" s="3"/>
      <c r="I8" s="187"/>
      <c r="J8" s="186"/>
      <c r="K8" s="13"/>
      <c r="O8" s="10"/>
      <c r="P8" s="11"/>
    </row>
    <row r="9" spans="2:16" ht="14.25" customHeight="1" thickBot="1" x14ac:dyDescent="0.5">
      <c r="B9" s="188" t="s">
        <v>7</v>
      </c>
      <c r="C9" s="189"/>
      <c r="D9" s="14">
        <v>200000</v>
      </c>
      <c r="E9" s="3"/>
      <c r="F9" s="15"/>
      <c r="G9" s="16"/>
      <c r="H9" s="16"/>
      <c r="I9" s="187"/>
      <c r="J9" s="186"/>
      <c r="K9" s="17"/>
      <c r="O9" s="1"/>
      <c r="P9" s="11"/>
    </row>
    <row r="10" spans="2:16" ht="14.25" customHeight="1" thickBot="1" x14ac:dyDescent="0.4">
      <c r="O10" s="1"/>
      <c r="P10" s="11"/>
    </row>
    <row r="11" spans="2:16" ht="43.5" customHeight="1" thickBot="1" x14ac:dyDescent="0.4">
      <c r="B11" s="4"/>
      <c r="C11" s="4"/>
      <c r="D11" s="4"/>
      <c r="E11" s="4"/>
      <c r="F11" s="190" t="s">
        <v>8</v>
      </c>
      <c r="G11" s="191"/>
      <c r="H11" s="191"/>
      <c r="I11" s="191"/>
      <c r="J11" s="191"/>
      <c r="K11" s="192"/>
      <c r="O11" s="1"/>
    </row>
    <row r="12" spans="2:16" ht="49.5" customHeight="1" thickBot="1" x14ac:dyDescent="0.4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 x14ac:dyDescent="0.35">
      <c r="B13" s="193" t="s">
        <v>19</v>
      </c>
      <c r="C13" s="194" t="s">
        <v>20</v>
      </c>
      <c r="D13" s="24" t="s">
        <v>20</v>
      </c>
      <c r="E13" s="25" t="s">
        <v>21</v>
      </c>
      <c r="F13" s="26">
        <f>'Hardware List-RFID'!D15</f>
        <v>865600</v>
      </c>
      <c r="G13" s="27"/>
      <c r="H13" s="28">
        <f>F13</f>
        <v>865600</v>
      </c>
      <c r="I13" s="29">
        <v>0.25</v>
      </c>
      <c r="J13" s="30">
        <f>H13/(1-I13)</f>
        <v>1154133.3333333333</v>
      </c>
      <c r="K13" s="28">
        <f t="shared" ref="K13:K15" si="0">H13/(1-I13)</f>
        <v>1154133.3333333333</v>
      </c>
      <c r="O13" s="1"/>
    </row>
    <row r="14" spans="2:16" ht="18" customHeight="1" x14ac:dyDescent="0.35">
      <c r="B14" s="182"/>
      <c r="C14" s="195"/>
      <c r="D14" s="31" t="s">
        <v>22</v>
      </c>
      <c r="E14" s="32" t="s">
        <v>21</v>
      </c>
      <c r="F14" s="33">
        <v>0</v>
      </c>
      <c r="G14" s="27"/>
      <c r="H14" s="34">
        <v>0</v>
      </c>
      <c r="I14" s="29">
        <v>0.25</v>
      </c>
      <c r="J14" s="30">
        <f t="shared" ref="J14" si="1">H14/(1-I14)</f>
        <v>0</v>
      </c>
      <c r="K14" s="34">
        <f t="shared" si="0"/>
        <v>0</v>
      </c>
      <c r="O14" s="1"/>
    </row>
    <row r="15" spans="2:16" ht="18" customHeight="1" x14ac:dyDescent="0.35">
      <c r="B15" s="182"/>
      <c r="C15" s="195"/>
      <c r="D15" s="35" t="s">
        <v>23</v>
      </c>
      <c r="E15" s="36" t="s">
        <v>21</v>
      </c>
      <c r="F15" s="34">
        <f>(SUM(F13:F14)*$D$6)</f>
        <v>43280</v>
      </c>
      <c r="G15" s="37"/>
      <c r="H15" s="34">
        <f>(SUM(H13:H14)*$D$6)</f>
        <v>43280</v>
      </c>
      <c r="I15" s="29">
        <v>0.25</v>
      </c>
      <c r="J15" s="30">
        <f>H15/(1-I15)</f>
        <v>57706.666666666664</v>
      </c>
      <c r="K15" s="34">
        <f t="shared" si="0"/>
        <v>57706.666666666664</v>
      </c>
      <c r="O15" s="1"/>
    </row>
    <row r="16" spans="2:16" ht="18" customHeight="1" x14ac:dyDescent="0.35">
      <c r="B16" s="182"/>
      <c r="C16" s="196"/>
      <c r="D16" s="38" t="s">
        <v>24</v>
      </c>
      <c r="E16" s="39"/>
      <c r="F16" s="38"/>
      <c r="G16" s="38"/>
      <c r="H16" s="40">
        <f>SUM(H13:H15)</f>
        <v>908880</v>
      </c>
      <c r="I16" s="39"/>
      <c r="J16" s="39"/>
      <c r="K16" s="40">
        <f>SUM(K13:K15)</f>
        <v>1211840</v>
      </c>
      <c r="O16" s="1"/>
    </row>
    <row r="17" spans="2:16" ht="18" customHeight="1" x14ac:dyDescent="0.35">
      <c r="B17" s="182"/>
      <c r="C17" s="197" t="s">
        <v>25</v>
      </c>
      <c r="D17" s="35" t="s">
        <v>26</v>
      </c>
      <c r="E17" s="36" t="s">
        <v>21</v>
      </c>
      <c r="F17" s="41">
        <v>300000</v>
      </c>
      <c r="G17" s="37"/>
      <c r="H17" s="34">
        <f t="shared" ref="H17:H18" si="2">F17</f>
        <v>300000</v>
      </c>
      <c r="I17" s="29">
        <v>0.25</v>
      </c>
      <c r="J17" s="30">
        <f t="shared" ref="J17:J18" si="3">H17/(1-I17)</f>
        <v>400000</v>
      </c>
      <c r="K17" s="34">
        <f t="shared" ref="K17:K18" si="4">H17/(1-I17)</f>
        <v>400000</v>
      </c>
      <c r="O17" s="1"/>
    </row>
    <row r="18" spans="2:16" ht="18" customHeight="1" x14ac:dyDescent="0.35">
      <c r="B18" s="182"/>
      <c r="C18" s="195"/>
      <c r="D18" s="43" t="s">
        <v>7</v>
      </c>
      <c r="E18" s="32" t="s">
        <v>21</v>
      </c>
      <c r="F18" s="44">
        <f>D9</f>
        <v>200000</v>
      </c>
      <c r="G18" s="37"/>
      <c r="H18" s="34">
        <f t="shared" si="2"/>
        <v>200000</v>
      </c>
      <c r="I18" s="29">
        <v>0.25</v>
      </c>
      <c r="J18" s="30">
        <f t="shared" si="3"/>
        <v>266666.66666666669</v>
      </c>
      <c r="K18" s="34">
        <f t="shared" si="4"/>
        <v>266666.66666666669</v>
      </c>
      <c r="O18" s="1"/>
    </row>
    <row r="19" spans="2:16" ht="18" customHeight="1" x14ac:dyDescent="0.35">
      <c r="B19" s="182"/>
      <c r="C19" s="196"/>
      <c r="D19" s="38" t="s">
        <v>27</v>
      </c>
      <c r="E19" s="39"/>
      <c r="F19" s="38"/>
      <c r="G19" s="38"/>
      <c r="H19" s="40">
        <f>SUM(H17:H18)</f>
        <v>500000</v>
      </c>
      <c r="I19" s="39"/>
      <c r="J19" s="45"/>
      <c r="K19" s="40">
        <f>SUM(K17:K18)</f>
        <v>666666.66666666674</v>
      </c>
      <c r="O19" s="1"/>
    </row>
    <row r="20" spans="2:16" ht="18" customHeight="1" x14ac:dyDescent="0.35">
      <c r="B20" s="183"/>
      <c r="D20" s="46"/>
      <c r="E20" s="47"/>
      <c r="F20" s="46"/>
      <c r="G20" s="48" t="s">
        <v>28</v>
      </c>
      <c r="H20" s="49">
        <f>H16+H19</f>
        <v>1408880</v>
      </c>
      <c r="I20" s="50"/>
      <c r="J20" s="51"/>
      <c r="K20" s="49">
        <f>K16+K19</f>
        <v>1878506.6666666667</v>
      </c>
      <c r="N20" s="11"/>
      <c r="O20" s="1"/>
      <c r="P20" s="52"/>
    </row>
    <row r="21" spans="2:16" ht="18" customHeight="1" x14ac:dyDescent="0.35">
      <c r="B21" s="181" t="s">
        <v>29</v>
      </c>
      <c r="C21" s="36" t="s">
        <v>30</v>
      </c>
      <c r="D21" s="43" t="s">
        <v>31</v>
      </c>
      <c r="E21" s="32" t="s">
        <v>32</v>
      </c>
      <c r="F21" s="34">
        <f>'Manpower Cost New'!S8+'Manpower Cost New'!U26</f>
        <v>1086000</v>
      </c>
      <c r="G21" s="53">
        <f t="shared" ref="G21:G22" si="5">$D$4</f>
        <v>3</v>
      </c>
      <c r="H21" s="34">
        <f>F21</f>
        <v>1086000</v>
      </c>
      <c r="I21" s="42">
        <v>0</v>
      </c>
      <c r="J21" s="30">
        <f>H21</f>
        <v>1086000</v>
      </c>
      <c r="K21" s="34">
        <f>J21</f>
        <v>1086000</v>
      </c>
      <c r="L21" s="52"/>
      <c r="N21" s="11"/>
      <c r="O21" s="1"/>
      <c r="P21" s="52"/>
    </row>
    <row r="22" spans="2:16" ht="18" customHeight="1" x14ac:dyDescent="0.35">
      <c r="B22" s="182"/>
      <c r="C22" s="36" t="s">
        <v>33</v>
      </c>
      <c r="D22" s="54" t="s">
        <v>34</v>
      </c>
      <c r="E22" s="32" t="s">
        <v>32</v>
      </c>
      <c r="F22" s="34">
        <f>D7*12</f>
        <v>480000</v>
      </c>
      <c r="G22" s="53">
        <f t="shared" si="5"/>
        <v>3</v>
      </c>
      <c r="H22" s="34">
        <f>F22*G22</f>
        <v>1440000</v>
      </c>
      <c r="I22" s="42"/>
      <c r="J22" s="55">
        <v>0</v>
      </c>
      <c r="K22" s="34">
        <f>H22</f>
        <v>1440000</v>
      </c>
      <c r="N22" s="11"/>
      <c r="O22" s="1"/>
      <c r="P22" s="52"/>
    </row>
    <row r="23" spans="2:16" ht="18" customHeight="1" x14ac:dyDescent="0.35">
      <c r="B23" s="183"/>
      <c r="D23" s="46"/>
      <c r="E23" s="47"/>
      <c r="F23" s="56"/>
      <c r="G23" s="48" t="s">
        <v>35</v>
      </c>
      <c r="H23" s="49">
        <f>SUM(H21:H22)</f>
        <v>2526000</v>
      </c>
      <c r="I23" s="50"/>
      <c r="J23" s="51"/>
      <c r="K23" s="136">
        <f>SUM(K21:K22)</f>
        <v>2526000</v>
      </c>
      <c r="L23" s="52"/>
      <c r="O23" s="1"/>
    </row>
    <row r="24" spans="2:16" ht="18" customHeight="1" x14ac:dyDescent="0.35">
      <c r="B24" s="184" t="s">
        <v>36</v>
      </c>
      <c r="C24" s="36" t="s">
        <v>36</v>
      </c>
      <c r="D24" s="54" t="s">
        <v>37</v>
      </c>
      <c r="E24" s="32" t="s">
        <v>32</v>
      </c>
      <c r="F24" s="34">
        <f>('Hardware List-RFID'!D13+'Hardware List-RFID'!D14)*D5</f>
        <v>72000</v>
      </c>
      <c r="G24" s="53">
        <f>G21-1</f>
        <v>2</v>
      </c>
      <c r="H24" s="34">
        <f>F24*G24</f>
        <v>144000</v>
      </c>
      <c r="I24" s="29">
        <v>0.25</v>
      </c>
      <c r="J24" s="30">
        <f>H24/(1-I24)</f>
        <v>192000</v>
      </c>
      <c r="K24" s="34">
        <f>J24</f>
        <v>192000</v>
      </c>
      <c r="N24" s="11"/>
      <c r="O24" s="1"/>
      <c r="P24" s="52"/>
    </row>
    <row r="25" spans="2:16" ht="18" customHeight="1" x14ac:dyDescent="0.35">
      <c r="B25" s="183"/>
      <c r="C25" s="57" t="s">
        <v>38</v>
      </c>
      <c r="D25" s="46"/>
      <c r="E25" s="46"/>
      <c r="F25" s="46"/>
      <c r="G25" s="48" t="s">
        <v>38</v>
      </c>
      <c r="H25" s="49">
        <f>SUM(H24)</f>
        <v>144000</v>
      </c>
      <c r="I25" s="50"/>
      <c r="J25" s="51"/>
      <c r="K25" s="49">
        <f>K24</f>
        <v>192000</v>
      </c>
      <c r="O25" s="1"/>
      <c r="P25" s="52"/>
    </row>
    <row r="26" spans="2:16" ht="38.25" customHeight="1" thickBot="1" x14ac:dyDescent="0.4">
      <c r="B26" s="58"/>
      <c r="C26" s="59"/>
      <c r="D26" s="59"/>
      <c r="E26" s="59"/>
      <c r="F26" s="59"/>
      <c r="G26" s="60" t="s">
        <v>142</v>
      </c>
      <c r="H26" s="61">
        <f>H20+H23+H25</f>
        <v>4078880</v>
      </c>
      <c r="I26" s="62">
        <f>1-H26/K26</f>
        <v>0.11261305687217549</v>
      </c>
      <c r="J26" s="63"/>
      <c r="K26" s="61">
        <f>K20+K23+K25</f>
        <v>4596506.666666667</v>
      </c>
      <c r="O26" s="1"/>
    </row>
    <row r="27" spans="2:16" ht="14.25" customHeight="1" x14ac:dyDescent="0.35">
      <c r="H27" s="52"/>
      <c r="O27" s="1"/>
    </row>
    <row r="28" spans="2:16" ht="14.25" customHeight="1" x14ac:dyDescent="0.35">
      <c r="L28" s="11"/>
      <c r="O28" s="1"/>
    </row>
    <row r="29" spans="2:16" ht="14.25" customHeight="1" x14ac:dyDescent="0.35">
      <c r="D29" s="52"/>
      <c r="L29" s="64"/>
      <c r="M29" s="64"/>
      <c r="O29" s="1"/>
    </row>
    <row r="30" spans="2:16" ht="14.25" customHeight="1" x14ac:dyDescent="0.35">
      <c r="L30" s="64"/>
      <c r="M30" s="64"/>
      <c r="O30" s="1"/>
    </row>
    <row r="31" spans="2:16" ht="14.25" customHeight="1" x14ac:dyDescent="0.35">
      <c r="O31" s="1"/>
    </row>
    <row r="32" spans="2:16" ht="14.25" customHeight="1" x14ac:dyDescent="0.35">
      <c r="H32" s="52"/>
      <c r="O32" s="1"/>
    </row>
    <row r="33" spans="15:15" ht="14.25" customHeight="1" x14ac:dyDescent="0.35">
      <c r="O33" s="1"/>
    </row>
    <row r="34" spans="15:15" ht="14.25" customHeight="1" x14ac:dyDescent="0.35">
      <c r="O34" s="1"/>
    </row>
    <row r="35" spans="15:15" ht="14.25" customHeight="1" x14ac:dyDescent="0.35">
      <c r="O35" s="1"/>
    </row>
    <row r="36" spans="15:15" ht="14.25" customHeight="1" x14ac:dyDescent="0.35">
      <c r="O36" s="1"/>
    </row>
    <row r="37" spans="15:15" ht="14.25" customHeight="1" x14ac:dyDescent="0.35">
      <c r="O37" s="1"/>
    </row>
    <row r="38" spans="15:15" ht="14.25" customHeight="1" x14ac:dyDescent="0.35">
      <c r="O38" s="1"/>
    </row>
    <row r="39" spans="15:15" ht="14.25" customHeight="1" x14ac:dyDescent="0.35">
      <c r="O39" s="1"/>
    </row>
    <row r="40" spans="15:15" ht="14.25" customHeight="1" x14ac:dyDescent="0.35">
      <c r="O40" s="1"/>
    </row>
    <row r="41" spans="15:15" ht="14.25" customHeight="1" x14ac:dyDescent="0.35">
      <c r="O41" s="1"/>
    </row>
    <row r="42" spans="15:15" ht="14.25" customHeight="1" x14ac:dyDescent="0.35">
      <c r="O42" s="1"/>
    </row>
    <row r="43" spans="15:15" ht="14.25" customHeight="1" x14ac:dyDescent="0.35">
      <c r="O43" s="1"/>
    </row>
    <row r="44" spans="15:15" ht="14.25" customHeight="1" x14ac:dyDescent="0.35">
      <c r="O44" s="1"/>
    </row>
    <row r="45" spans="15:15" ht="14.25" customHeight="1" x14ac:dyDescent="0.35">
      <c r="O45" s="1"/>
    </row>
    <row r="46" spans="15:15" ht="14.25" customHeight="1" x14ac:dyDescent="0.35">
      <c r="O46" s="1"/>
    </row>
    <row r="47" spans="15:15" ht="14.25" customHeight="1" x14ac:dyDescent="0.35">
      <c r="O47" s="1"/>
    </row>
    <row r="48" spans="15:15" ht="14.25" customHeight="1" x14ac:dyDescent="0.35">
      <c r="O48" s="1"/>
    </row>
    <row r="49" spans="15:15" ht="14.25" customHeight="1" x14ac:dyDescent="0.35">
      <c r="O49" s="1"/>
    </row>
    <row r="50" spans="15:15" ht="14.25" customHeight="1" x14ac:dyDescent="0.35">
      <c r="O50" s="1"/>
    </row>
    <row r="51" spans="15:15" ht="14.25" customHeight="1" x14ac:dyDescent="0.35">
      <c r="O51" s="1"/>
    </row>
    <row r="52" spans="15:15" ht="14.25" customHeight="1" x14ac:dyDescent="0.35">
      <c r="O52" s="1"/>
    </row>
    <row r="53" spans="15:15" ht="14.25" customHeight="1" x14ac:dyDescent="0.35">
      <c r="O53" s="1"/>
    </row>
    <row r="54" spans="15:15" ht="14.25" customHeight="1" x14ac:dyDescent="0.35">
      <c r="O54" s="1"/>
    </row>
    <row r="55" spans="15:15" ht="14.25" customHeight="1" x14ac:dyDescent="0.35">
      <c r="O55" s="1"/>
    </row>
    <row r="56" spans="15:15" ht="14.25" customHeight="1" x14ac:dyDescent="0.35">
      <c r="O56" s="1"/>
    </row>
    <row r="57" spans="15:15" ht="14.25" customHeight="1" x14ac:dyDescent="0.35">
      <c r="O57" s="1"/>
    </row>
    <row r="58" spans="15:15" ht="14.25" customHeight="1" x14ac:dyDescent="0.35">
      <c r="O58" s="1"/>
    </row>
    <row r="59" spans="15:15" ht="14.25" customHeight="1" x14ac:dyDescent="0.35">
      <c r="O59" s="1"/>
    </row>
    <row r="60" spans="15:15" ht="14.25" customHeight="1" x14ac:dyDescent="0.35">
      <c r="O60" s="1"/>
    </row>
    <row r="61" spans="15:15" ht="14.25" customHeight="1" x14ac:dyDescent="0.35">
      <c r="O61" s="1"/>
    </row>
    <row r="62" spans="15:15" ht="14.25" customHeight="1" x14ac:dyDescent="0.35">
      <c r="O62" s="1"/>
    </row>
    <row r="63" spans="15:15" ht="14.25" customHeight="1" x14ac:dyDescent="0.35">
      <c r="O63" s="1"/>
    </row>
    <row r="64" spans="15:15" ht="14.25" customHeight="1" x14ac:dyDescent="0.35">
      <c r="O64" s="1"/>
    </row>
    <row r="65" spans="15:15" ht="14.25" customHeight="1" x14ac:dyDescent="0.35">
      <c r="O65" s="1"/>
    </row>
    <row r="66" spans="15:15" ht="14.25" customHeight="1" x14ac:dyDescent="0.35">
      <c r="O66" s="1"/>
    </row>
    <row r="67" spans="15:15" ht="14.25" customHeight="1" x14ac:dyDescent="0.35">
      <c r="O67" s="1"/>
    </row>
    <row r="68" spans="15:15" ht="14.25" customHeight="1" x14ac:dyDescent="0.35">
      <c r="O68" s="1"/>
    </row>
    <row r="69" spans="15:15" ht="14.25" customHeight="1" x14ac:dyDescent="0.35">
      <c r="O69" s="1"/>
    </row>
    <row r="70" spans="15:15" ht="14.25" customHeight="1" x14ac:dyDescent="0.35">
      <c r="O70" s="1"/>
    </row>
    <row r="71" spans="15:15" ht="14.25" customHeight="1" x14ac:dyDescent="0.35">
      <c r="O71" s="1"/>
    </row>
    <row r="72" spans="15:15" ht="14.25" customHeight="1" x14ac:dyDescent="0.35">
      <c r="O72" s="1"/>
    </row>
    <row r="73" spans="15:15" ht="14.25" customHeight="1" x14ac:dyDescent="0.35">
      <c r="O73" s="1"/>
    </row>
    <row r="74" spans="15:15" ht="14.25" customHeight="1" x14ac:dyDescent="0.35">
      <c r="O74" s="1"/>
    </row>
    <row r="75" spans="15:15" ht="14.25" customHeight="1" x14ac:dyDescent="0.35">
      <c r="O75" s="1"/>
    </row>
    <row r="76" spans="15:15" ht="14.25" customHeight="1" x14ac:dyDescent="0.35">
      <c r="O76" s="1"/>
    </row>
    <row r="77" spans="15:15" ht="14.25" customHeight="1" x14ac:dyDescent="0.35">
      <c r="O77" s="1"/>
    </row>
    <row r="78" spans="15:15" ht="14.25" customHeight="1" x14ac:dyDescent="0.35">
      <c r="O78" s="1"/>
    </row>
    <row r="79" spans="15:15" ht="14.25" customHeight="1" x14ac:dyDescent="0.35">
      <c r="O79" s="1"/>
    </row>
    <row r="80" spans="15:15" ht="14.25" customHeight="1" x14ac:dyDescent="0.35">
      <c r="O80" s="1"/>
    </row>
    <row r="81" spans="15:15" ht="14.25" customHeight="1" x14ac:dyDescent="0.35">
      <c r="O81" s="1"/>
    </row>
    <row r="82" spans="15:15" ht="14.25" customHeight="1" x14ac:dyDescent="0.35">
      <c r="O82" s="1"/>
    </row>
    <row r="83" spans="15:15" ht="14.25" customHeight="1" x14ac:dyDescent="0.35">
      <c r="O83" s="1"/>
    </row>
    <row r="84" spans="15:15" ht="14.25" customHeight="1" x14ac:dyDescent="0.35">
      <c r="O84" s="1"/>
    </row>
    <row r="85" spans="15:15" ht="14.25" customHeight="1" x14ac:dyDescent="0.35">
      <c r="O85" s="1"/>
    </row>
    <row r="86" spans="15:15" ht="14.25" customHeight="1" x14ac:dyDescent="0.35">
      <c r="O86" s="1"/>
    </row>
    <row r="87" spans="15:15" ht="14.25" customHeight="1" x14ac:dyDescent="0.35">
      <c r="O87" s="1"/>
    </row>
    <row r="88" spans="15:15" ht="14.25" customHeight="1" x14ac:dyDescent="0.35">
      <c r="O88" s="1"/>
    </row>
    <row r="89" spans="15:15" ht="14.25" customHeight="1" x14ac:dyDescent="0.35">
      <c r="O89" s="1"/>
    </row>
    <row r="90" spans="15:15" ht="14.25" customHeight="1" x14ac:dyDescent="0.35">
      <c r="O90" s="1"/>
    </row>
    <row r="91" spans="15:15" ht="14.25" customHeight="1" x14ac:dyDescent="0.35">
      <c r="O91" s="1"/>
    </row>
    <row r="92" spans="15:15" ht="14.25" customHeight="1" x14ac:dyDescent="0.35">
      <c r="O92" s="1"/>
    </row>
    <row r="93" spans="15:15" ht="14.25" customHeight="1" x14ac:dyDescent="0.35">
      <c r="O93" s="1"/>
    </row>
    <row r="94" spans="15:15" ht="14.25" customHeight="1" x14ac:dyDescent="0.35">
      <c r="O94" s="1"/>
    </row>
    <row r="95" spans="15:15" ht="14.25" customHeight="1" x14ac:dyDescent="0.35">
      <c r="O95" s="1"/>
    </row>
    <row r="96" spans="15:15" ht="14.25" customHeight="1" x14ac:dyDescent="0.35">
      <c r="O96" s="1"/>
    </row>
    <row r="97" spans="15:15" ht="14.25" customHeight="1" x14ac:dyDescent="0.35">
      <c r="O97" s="1"/>
    </row>
    <row r="98" spans="15:15" ht="14.25" customHeight="1" x14ac:dyDescent="0.35">
      <c r="O98" s="1"/>
    </row>
    <row r="99" spans="15:15" ht="14.25" customHeight="1" x14ac:dyDescent="0.35">
      <c r="O99" s="1"/>
    </row>
    <row r="100" spans="15:15" ht="14.25" customHeight="1" x14ac:dyDescent="0.35">
      <c r="O100" s="1"/>
    </row>
    <row r="101" spans="15:15" ht="14.25" customHeight="1" x14ac:dyDescent="0.35">
      <c r="O101" s="1"/>
    </row>
    <row r="102" spans="15:15" ht="14.25" customHeight="1" x14ac:dyDescent="0.35">
      <c r="O102" s="1"/>
    </row>
    <row r="103" spans="15:15" ht="14.25" customHeight="1" x14ac:dyDescent="0.35">
      <c r="O103" s="1"/>
    </row>
    <row r="104" spans="15:15" ht="14.25" customHeight="1" x14ac:dyDescent="0.35">
      <c r="O104" s="1"/>
    </row>
    <row r="105" spans="15:15" ht="14.25" customHeight="1" x14ac:dyDescent="0.35">
      <c r="O105" s="1"/>
    </row>
    <row r="106" spans="15:15" ht="14.25" customHeight="1" x14ac:dyDescent="0.35">
      <c r="O106" s="1"/>
    </row>
    <row r="107" spans="15:15" ht="14.25" customHeight="1" x14ac:dyDescent="0.35">
      <c r="O107" s="1"/>
    </row>
    <row r="108" spans="15:15" ht="14.25" customHeight="1" x14ac:dyDescent="0.35">
      <c r="O108" s="1"/>
    </row>
    <row r="109" spans="15:15" ht="14.25" customHeight="1" x14ac:dyDescent="0.35">
      <c r="O109" s="1"/>
    </row>
    <row r="110" spans="15:15" ht="14.25" customHeight="1" x14ac:dyDescent="0.35">
      <c r="O110" s="1"/>
    </row>
    <row r="111" spans="15:15" ht="14.25" customHeight="1" x14ac:dyDescent="0.35">
      <c r="O111" s="1"/>
    </row>
    <row r="112" spans="15:15" ht="14.25" customHeight="1" x14ac:dyDescent="0.35">
      <c r="O112" s="1"/>
    </row>
    <row r="113" spans="15:15" ht="14.25" customHeight="1" x14ac:dyDescent="0.35">
      <c r="O113" s="1"/>
    </row>
    <row r="114" spans="15:15" ht="14.25" customHeight="1" x14ac:dyDescent="0.35">
      <c r="O114" s="1"/>
    </row>
    <row r="115" spans="15:15" ht="14.25" customHeight="1" x14ac:dyDescent="0.35">
      <c r="O115" s="1"/>
    </row>
    <row r="116" spans="15:15" ht="14.25" customHeight="1" x14ac:dyDescent="0.35">
      <c r="O116" s="1"/>
    </row>
    <row r="117" spans="15:15" ht="14.25" customHeight="1" x14ac:dyDescent="0.35">
      <c r="O117" s="1"/>
    </row>
    <row r="118" spans="15:15" ht="14.25" customHeight="1" x14ac:dyDescent="0.35">
      <c r="O118" s="1"/>
    </row>
    <row r="119" spans="15:15" ht="14.25" customHeight="1" x14ac:dyDescent="0.35">
      <c r="O119" s="1"/>
    </row>
    <row r="120" spans="15:15" ht="14.25" customHeight="1" x14ac:dyDescent="0.35">
      <c r="O120" s="1"/>
    </row>
    <row r="121" spans="15:15" ht="14.25" customHeight="1" x14ac:dyDescent="0.35">
      <c r="O121" s="1"/>
    </row>
    <row r="122" spans="15:15" ht="14.25" customHeight="1" x14ac:dyDescent="0.35">
      <c r="O122" s="1"/>
    </row>
    <row r="123" spans="15:15" ht="14.25" customHeight="1" x14ac:dyDescent="0.35">
      <c r="O123" s="1"/>
    </row>
    <row r="124" spans="15:15" ht="14.25" customHeight="1" x14ac:dyDescent="0.35">
      <c r="O124" s="1"/>
    </row>
    <row r="125" spans="15:15" ht="14.25" customHeight="1" x14ac:dyDescent="0.35">
      <c r="O125" s="1"/>
    </row>
    <row r="126" spans="15:15" ht="14.25" customHeight="1" x14ac:dyDescent="0.35">
      <c r="O126" s="1"/>
    </row>
    <row r="127" spans="15:15" ht="14.25" customHeight="1" x14ac:dyDescent="0.35">
      <c r="O127" s="1"/>
    </row>
    <row r="128" spans="15:15" ht="14.25" customHeight="1" x14ac:dyDescent="0.35">
      <c r="O128" s="1"/>
    </row>
    <row r="129" spans="15:15" ht="14.25" customHeight="1" x14ac:dyDescent="0.35">
      <c r="O129" s="1"/>
    </row>
    <row r="130" spans="15:15" ht="14.25" customHeight="1" x14ac:dyDescent="0.35">
      <c r="O130" s="1"/>
    </row>
    <row r="131" spans="15:15" ht="14.25" customHeight="1" x14ac:dyDescent="0.35">
      <c r="O131" s="1"/>
    </row>
    <row r="132" spans="15:15" ht="14.25" customHeight="1" x14ac:dyDescent="0.35">
      <c r="O132" s="1"/>
    </row>
    <row r="133" spans="15:15" ht="14.25" customHeight="1" x14ac:dyDescent="0.35">
      <c r="O133" s="1"/>
    </row>
    <row r="134" spans="15:15" ht="14.25" customHeight="1" x14ac:dyDescent="0.35">
      <c r="O134" s="1"/>
    </row>
    <row r="135" spans="15:15" ht="14.25" customHeight="1" x14ac:dyDescent="0.35">
      <c r="O135" s="1"/>
    </row>
    <row r="136" spans="15:15" ht="14.25" customHeight="1" x14ac:dyDescent="0.35">
      <c r="O136" s="1"/>
    </row>
    <row r="137" spans="15:15" ht="14.25" customHeight="1" x14ac:dyDescent="0.35">
      <c r="O137" s="1"/>
    </row>
    <row r="138" spans="15:15" ht="14.25" customHeight="1" x14ac:dyDescent="0.35">
      <c r="O138" s="1"/>
    </row>
    <row r="139" spans="15:15" ht="14.25" customHeight="1" x14ac:dyDescent="0.35">
      <c r="O139" s="1"/>
    </row>
    <row r="140" spans="15:15" ht="14.25" customHeight="1" x14ac:dyDescent="0.35">
      <c r="O140" s="1"/>
    </row>
    <row r="141" spans="15:15" ht="14.25" customHeight="1" x14ac:dyDescent="0.35">
      <c r="O141" s="1"/>
    </row>
    <row r="142" spans="15:15" ht="14.25" customHeight="1" x14ac:dyDescent="0.35">
      <c r="O142" s="1"/>
    </row>
    <row r="143" spans="15:15" ht="14.25" customHeight="1" x14ac:dyDescent="0.35">
      <c r="O143" s="1"/>
    </row>
    <row r="144" spans="15:15" ht="14.25" customHeight="1" x14ac:dyDescent="0.35">
      <c r="O144" s="1"/>
    </row>
    <row r="145" spans="15:15" ht="14.25" customHeight="1" x14ac:dyDescent="0.35">
      <c r="O145" s="1"/>
    </row>
    <row r="146" spans="15:15" ht="14.25" customHeight="1" x14ac:dyDescent="0.35">
      <c r="O146" s="1"/>
    </row>
    <row r="147" spans="15:15" ht="14.25" customHeight="1" x14ac:dyDescent="0.35">
      <c r="O147" s="1"/>
    </row>
    <row r="148" spans="15:15" ht="14.25" customHeight="1" x14ac:dyDescent="0.35">
      <c r="O148" s="1"/>
    </row>
    <row r="149" spans="15:15" ht="14.25" customHeight="1" x14ac:dyDescent="0.35">
      <c r="O149" s="1"/>
    </row>
    <row r="150" spans="15:15" ht="14.25" customHeight="1" x14ac:dyDescent="0.35">
      <c r="O150" s="1"/>
    </row>
    <row r="151" spans="15:15" ht="14.25" customHeight="1" x14ac:dyDescent="0.35">
      <c r="O151" s="1"/>
    </row>
    <row r="152" spans="15:15" ht="14.25" customHeight="1" x14ac:dyDescent="0.35">
      <c r="O152" s="1"/>
    </row>
    <row r="153" spans="15:15" ht="14.25" customHeight="1" x14ac:dyDescent="0.35">
      <c r="O153" s="1"/>
    </row>
    <row r="154" spans="15:15" ht="14.25" customHeight="1" x14ac:dyDescent="0.35">
      <c r="O154" s="1"/>
    </row>
    <row r="155" spans="15:15" ht="14.25" customHeight="1" x14ac:dyDescent="0.35">
      <c r="O155" s="1"/>
    </row>
    <row r="156" spans="15:15" ht="14.25" customHeight="1" x14ac:dyDescent="0.35">
      <c r="O156" s="1"/>
    </row>
    <row r="157" spans="15:15" ht="14.25" customHeight="1" x14ac:dyDescent="0.35">
      <c r="O157" s="1"/>
    </row>
    <row r="158" spans="15:15" ht="14.25" customHeight="1" x14ac:dyDescent="0.35">
      <c r="O158" s="1"/>
    </row>
    <row r="159" spans="15:15" ht="14.25" customHeight="1" x14ac:dyDescent="0.35">
      <c r="O159" s="1"/>
    </row>
    <row r="160" spans="15:15" ht="14.25" customHeight="1" x14ac:dyDescent="0.35">
      <c r="O160" s="1"/>
    </row>
    <row r="161" spans="15:15" ht="14.25" customHeight="1" x14ac:dyDescent="0.35">
      <c r="O161" s="1"/>
    </row>
    <row r="162" spans="15:15" ht="14.25" customHeight="1" x14ac:dyDescent="0.35">
      <c r="O162" s="1"/>
    </row>
    <row r="163" spans="15:15" ht="14.25" customHeight="1" x14ac:dyDescent="0.35">
      <c r="O163" s="1"/>
    </row>
    <row r="164" spans="15:15" ht="14.25" customHeight="1" x14ac:dyDescent="0.35">
      <c r="O164" s="1"/>
    </row>
    <row r="165" spans="15:15" ht="14.25" customHeight="1" x14ac:dyDescent="0.35">
      <c r="O165" s="1"/>
    </row>
    <row r="166" spans="15:15" ht="14.25" customHeight="1" x14ac:dyDescent="0.35">
      <c r="O166" s="1"/>
    </row>
    <row r="167" spans="15:15" ht="14.25" customHeight="1" x14ac:dyDescent="0.35">
      <c r="O167" s="1"/>
    </row>
    <row r="168" spans="15:15" ht="14.25" customHeight="1" x14ac:dyDescent="0.35">
      <c r="O168" s="1"/>
    </row>
    <row r="169" spans="15:15" ht="14.25" customHeight="1" x14ac:dyDescent="0.35">
      <c r="O169" s="1"/>
    </row>
    <row r="170" spans="15:15" ht="14.25" customHeight="1" x14ac:dyDescent="0.35">
      <c r="O170" s="1"/>
    </row>
    <row r="171" spans="15:15" ht="14.25" customHeight="1" x14ac:dyDescent="0.35">
      <c r="O171" s="1"/>
    </row>
    <row r="172" spans="15:15" ht="14.25" customHeight="1" x14ac:dyDescent="0.35">
      <c r="O172" s="1"/>
    </row>
    <row r="173" spans="15:15" ht="14.25" customHeight="1" x14ac:dyDescent="0.35">
      <c r="O173" s="1"/>
    </row>
    <row r="174" spans="15:15" ht="14.25" customHeight="1" x14ac:dyDescent="0.35">
      <c r="O174" s="1"/>
    </row>
    <row r="175" spans="15:15" ht="14.25" customHeight="1" x14ac:dyDescent="0.35">
      <c r="O175" s="1"/>
    </row>
    <row r="176" spans="15:15" ht="14.25" customHeight="1" x14ac:dyDescent="0.35">
      <c r="O176" s="1"/>
    </row>
    <row r="177" spans="15:15" ht="14.25" customHeight="1" x14ac:dyDescent="0.35">
      <c r="O177" s="1"/>
    </row>
    <row r="178" spans="15:15" ht="14.25" customHeight="1" x14ac:dyDescent="0.35">
      <c r="O178" s="1"/>
    </row>
    <row r="179" spans="15:15" ht="14.25" customHeight="1" x14ac:dyDescent="0.35">
      <c r="O179" s="1"/>
    </row>
    <row r="180" spans="15:15" ht="14.25" customHeight="1" x14ac:dyDescent="0.35">
      <c r="O180" s="1"/>
    </row>
    <row r="181" spans="15:15" ht="14.25" customHeight="1" x14ac:dyDescent="0.35">
      <c r="O181" s="1"/>
    </row>
    <row r="182" spans="15:15" ht="14.25" customHeight="1" x14ac:dyDescent="0.35">
      <c r="O182" s="1"/>
    </row>
    <row r="183" spans="15:15" ht="14.25" customHeight="1" x14ac:dyDescent="0.35">
      <c r="O183" s="1"/>
    </row>
    <row r="184" spans="15:15" ht="14.25" customHeight="1" x14ac:dyDescent="0.35">
      <c r="O184" s="1"/>
    </row>
    <row r="185" spans="15:15" ht="14.25" customHeight="1" x14ac:dyDescent="0.35">
      <c r="O185" s="1"/>
    </row>
    <row r="186" spans="15:15" ht="14.25" customHeight="1" x14ac:dyDescent="0.35">
      <c r="O186" s="1"/>
    </row>
    <row r="187" spans="15:15" ht="14.25" customHeight="1" x14ac:dyDescent="0.35">
      <c r="O187" s="1"/>
    </row>
    <row r="188" spans="15:15" ht="14.25" customHeight="1" x14ac:dyDescent="0.35">
      <c r="O188" s="1"/>
    </row>
    <row r="189" spans="15:15" ht="14.25" customHeight="1" x14ac:dyDescent="0.35">
      <c r="O189" s="1"/>
    </row>
    <row r="190" spans="15:15" ht="14.25" customHeight="1" x14ac:dyDescent="0.35">
      <c r="O190" s="1"/>
    </row>
    <row r="191" spans="15:15" ht="14.25" customHeight="1" x14ac:dyDescent="0.35">
      <c r="O191" s="1"/>
    </row>
    <row r="192" spans="15:15" ht="14.25" customHeight="1" x14ac:dyDescent="0.35">
      <c r="O192" s="1"/>
    </row>
    <row r="193" spans="15:15" ht="14.25" customHeight="1" x14ac:dyDescent="0.35">
      <c r="O193" s="1"/>
    </row>
    <row r="194" spans="15:15" ht="14.25" customHeight="1" x14ac:dyDescent="0.35">
      <c r="O194" s="1"/>
    </row>
    <row r="195" spans="15:15" ht="14.25" customHeight="1" x14ac:dyDescent="0.35">
      <c r="O195" s="1"/>
    </row>
    <row r="196" spans="15:15" ht="14.25" customHeight="1" x14ac:dyDescent="0.35">
      <c r="O196" s="1"/>
    </row>
    <row r="197" spans="15:15" ht="14.25" customHeight="1" x14ac:dyDescent="0.35">
      <c r="O197" s="1"/>
    </row>
    <row r="198" spans="15:15" ht="14.25" customHeight="1" x14ac:dyDescent="0.35">
      <c r="O198" s="1"/>
    </row>
    <row r="199" spans="15:15" ht="14.25" customHeight="1" x14ac:dyDescent="0.35">
      <c r="O199" s="1"/>
    </row>
    <row r="200" spans="15:15" ht="14.25" customHeight="1" x14ac:dyDescent="0.35">
      <c r="O200" s="1"/>
    </row>
    <row r="201" spans="15:15" ht="14.25" customHeight="1" x14ac:dyDescent="0.35">
      <c r="O201" s="1"/>
    </row>
    <row r="202" spans="15:15" ht="14.25" customHeight="1" x14ac:dyDescent="0.35">
      <c r="O202" s="1"/>
    </row>
    <row r="203" spans="15:15" ht="14.25" customHeight="1" x14ac:dyDescent="0.35">
      <c r="O203" s="1"/>
    </row>
    <row r="204" spans="15:15" ht="14.25" customHeight="1" x14ac:dyDescent="0.35">
      <c r="O204" s="1"/>
    </row>
    <row r="205" spans="15:15" ht="14.25" customHeight="1" x14ac:dyDescent="0.35">
      <c r="O205" s="1"/>
    </row>
    <row r="206" spans="15:15" ht="14.25" customHeight="1" x14ac:dyDescent="0.35">
      <c r="O206" s="1"/>
    </row>
    <row r="207" spans="15:15" ht="14.25" customHeight="1" x14ac:dyDescent="0.35">
      <c r="O207" s="1"/>
    </row>
    <row r="208" spans="15:15" ht="14.25" customHeight="1" x14ac:dyDescent="0.35">
      <c r="O208" s="1"/>
    </row>
    <row r="209" spans="15:15" ht="14.25" customHeight="1" x14ac:dyDescent="0.35">
      <c r="O209" s="1"/>
    </row>
    <row r="210" spans="15:15" ht="14.25" customHeight="1" x14ac:dyDescent="0.35">
      <c r="O210" s="1"/>
    </row>
    <row r="211" spans="15:15" ht="14.25" customHeight="1" x14ac:dyDescent="0.35">
      <c r="O211" s="1"/>
    </row>
    <row r="212" spans="15:15" ht="14.25" customHeight="1" x14ac:dyDescent="0.35">
      <c r="O212" s="1"/>
    </row>
    <row r="213" spans="15:15" ht="14.25" customHeight="1" x14ac:dyDescent="0.35">
      <c r="O213" s="1"/>
    </row>
    <row r="214" spans="15:15" ht="14.25" customHeight="1" x14ac:dyDescent="0.35">
      <c r="O214" s="1"/>
    </row>
    <row r="215" spans="15:15" ht="14.25" customHeight="1" x14ac:dyDescent="0.35">
      <c r="O215" s="1"/>
    </row>
    <row r="216" spans="15:15" ht="14.25" customHeight="1" x14ac:dyDescent="0.35">
      <c r="O216" s="1"/>
    </row>
    <row r="217" spans="15:15" ht="14.25" customHeight="1" x14ac:dyDescent="0.35">
      <c r="O217" s="1"/>
    </row>
    <row r="218" spans="15:15" ht="14.25" customHeight="1" x14ac:dyDescent="0.35">
      <c r="O218" s="1"/>
    </row>
    <row r="219" spans="15:15" ht="14.25" customHeight="1" x14ac:dyDescent="0.35">
      <c r="O219" s="1"/>
    </row>
    <row r="220" spans="15:15" ht="14.25" customHeight="1" x14ac:dyDescent="0.35">
      <c r="O220" s="1"/>
    </row>
    <row r="221" spans="15:15" ht="14.25" customHeight="1" x14ac:dyDescent="0.35">
      <c r="O221" s="1"/>
    </row>
    <row r="222" spans="15:15" ht="14.25" customHeight="1" x14ac:dyDescent="0.35">
      <c r="O222" s="1"/>
    </row>
    <row r="223" spans="15:15" ht="14.25" customHeight="1" x14ac:dyDescent="0.35">
      <c r="O223" s="1"/>
    </row>
    <row r="224" spans="15:15" ht="14.25" customHeight="1" x14ac:dyDescent="0.35">
      <c r="O224" s="1"/>
    </row>
    <row r="225" spans="15:15" ht="14.25" customHeight="1" x14ac:dyDescent="0.35">
      <c r="O225" s="1"/>
    </row>
    <row r="226" spans="15:15" ht="14.25" customHeight="1" x14ac:dyDescent="0.35">
      <c r="O226" s="1"/>
    </row>
    <row r="227" spans="15:15" ht="14.25" customHeight="1" x14ac:dyDescent="0.35">
      <c r="O227" s="1"/>
    </row>
    <row r="228" spans="15:15" ht="14.25" customHeight="1" x14ac:dyDescent="0.35">
      <c r="O228" s="1"/>
    </row>
    <row r="229" spans="15:15" ht="14.25" customHeight="1" x14ac:dyDescent="0.35">
      <c r="O229" s="1"/>
    </row>
    <row r="230" spans="15:15" ht="14.25" customHeight="1" x14ac:dyDescent="0.35">
      <c r="O230" s="1"/>
    </row>
    <row r="231" spans="15:15" ht="14.25" customHeight="1" x14ac:dyDescent="0.35">
      <c r="O231" s="1"/>
    </row>
    <row r="232" spans="15:15" ht="14.25" customHeight="1" x14ac:dyDescent="0.35">
      <c r="O232" s="1"/>
    </row>
    <row r="233" spans="15:15" ht="14.25" customHeight="1" x14ac:dyDescent="0.35">
      <c r="O233" s="1"/>
    </row>
    <row r="234" spans="15:15" ht="14.25" customHeight="1" x14ac:dyDescent="0.35">
      <c r="O234" s="1"/>
    </row>
    <row r="235" spans="15:15" ht="14.25" customHeight="1" x14ac:dyDescent="0.35">
      <c r="O235" s="1"/>
    </row>
    <row r="236" spans="15:15" ht="14.25" customHeight="1" x14ac:dyDescent="0.35">
      <c r="O236" s="1"/>
    </row>
    <row r="237" spans="15:15" ht="14.25" customHeight="1" x14ac:dyDescent="0.35">
      <c r="O237" s="1"/>
    </row>
    <row r="238" spans="15:15" ht="14.25" customHeight="1" x14ac:dyDescent="0.35">
      <c r="O238" s="1"/>
    </row>
    <row r="239" spans="15:15" ht="14.25" customHeight="1" x14ac:dyDescent="0.35">
      <c r="O239" s="1"/>
    </row>
    <row r="240" spans="15:15" ht="14.25" customHeight="1" x14ac:dyDescent="0.35">
      <c r="O240" s="1"/>
    </row>
    <row r="241" spans="15:15" ht="14.25" customHeight="1" x14ac:dyDescent="0.35">
      <c r="O241" s="1"/>
    </row>
    <row r="242" spans="15:15" ht="14.25" customHeight="1" x14ac:dyDescent="0.35">
      <c r="O242" s="1"/>
    </row>
    <row r="243" spans="15:15" ht="14.25" customHeight="1" x14ac:dyDescent="0.35">
      <c r="O243" s="1"/>
    </row>
    <row r="244" spans="15:15" ht="14.25" customHeight="1" x14ac:dyDescent="0.35">
      <c r="O244" s="1"/>
    </row>
    <row r="245" spans="15:15" ht="14.25" customHeight="1" x14ac:dyDescent="0.35">
      <c r="O245" s="1"/>
    </row>
    <row r="246" spans="15:15" ht="14.25" customHeight="1" x14ac:dyDescent="0.35">
      <c r="O246" s="1"/>
    </row>
    <row r="247" spans="15:15" ht="14.25" customHeight="1" x14ac:dyDescent="0.35">
      <c r="O247" s="1"/>
    </row>
    <row r="248" spans="15:15" ht="14.25" customHeight="1" x14ac:dyDescent="0.35">
      <c r="O248" s="1"/>
    </row>
    <row r="249" spans="15:15" ht="14.25" customHeight="1" x14ac:dyDescent="0.35">
      <c r="O249" s="1"/>
    </row>
    <row r="250" spans="15:15" ht="14.25" customHeight="1" x14ac:dyDescent="0.35">
      <c r="O250" s="1"/>
    </row>
    <row r="251" spans="15:15" ht="14.25" customHeight="1" x14ac:dyDescent="0.35">
      <c r="O251" s="1"/>
    </row>
    <row r="252" spans="15:15" ht="14.25" customHeight="1" x14ac:dyDescent="0.35">
      <c r="O252" s="1"/>
    </row>
    <row r="253" spans="15:15" ht="14.25" customHeight="1" x14ac:dyDescent="0.35">
      <c r="O253" s="1"/>
    </row>
    <row r="254" spans="15:15" ht="14.25" customHeight="1" x14ac:dyDescent="0.35">
      <c r="O254" s="1"/>
    </row>
    <row r="255" spans="15:15" ht="14.25" customHeight="1" x14ac:dyDescent="0.35">
      <c r="O255" s="1"/>
    </row>
    <row r="256" spans="15:15" ht="14.25" customHeight="1" x14ac:dyDescent="0.35">
      <c r="O256" s="1"/>
    </row>
    <row r="257" spans="15:15" ht="14.25" customHeight="1" x14ac:dyDescent="0.35">
      <c r="O257" s="1"/>
    </row>
    <row r="258" spans="15:15" ht="14.25" customHeight="1" x14ac:dyDescent="0.35">
      <c r="O258" s="1"/>
    </row>
    <row r="259" spans="15:15" ht="14.25" customHeight="1" x14ac:dyDescent="0.35">
      <c r="O259" s="1"/>
    </row>
    <row r="260" spans="15:15" ht="14.25" customHeight="1" x14ac:dyDescent="0.35">
      <c r="O260" s="1"/>
    </row>
    <row r="261" spans="15:15" ht="14.25" customHeight="1" x14ac:dyDescent="0.35">
      <c r="O261" s="1"/>
    </row>
    <row r="262" spans="15:15" ht="14.25" customHeight="1" x14ac:dyDescent="0.35">
      <c r="O262" s="1"/>
    </row>
    <row r="263" spans="15:15" ht="14.25" customHeight="1" x14ac:dyDescent="0.35">
      <c r="O263" s="1"/>
    </row>
    <row r="264" spans="15:15" ht="14.25" customHeight="1" x14ac:dyDescent="0.35">
      <c r="O264" s="1"/>
    </row>
    <row r="265" spans="15:15" ht="14.25" customHeight="1" x14ac:dyDescent="0.35">
      <c r="O265" s="1"/>
    </row>
    <row r="266" spans="15:15" ht="14.25" customHeight="1" x14ac:dyDescent="0.35">
      <c r="O266" s="1"/>
    </row>
    <row r="267" spans="15:15" ht="14.25" customHeight="1" x14ac:dyDescent="0.35">
      <c r="O267" s="1"/>
    </row>
    <row r="268" spans="15:15" ht="14.25" customHeight="1" x14ac:dyDescent="0.35">
      <c r="O268" s="1"/>
    </row>
    <row r="269" spans="15:15" ht="14.25" customHeight="1" x14ac:dyDescent="0.35">
      <c r="O269" s="1"/>
    </row>
    <row r="270" spans="15:15" ht="14.25" customHeight="1" x14ac:dyDescent="0.35">
      <c r="O270" s="1"/>
    </row>
    <row r="271" spans="15:15" ht="14.25" customHeight="1" x14ac:dyDescent="0.35">
      <c r="O271" s="1"/>
    </row>
    <row r="272" spans="15:15" ht="14.25" customHeight="1" x14ac:dyDescent="0.35">
      <c r="O272" s="1"/>
    </row>
    <row r="273" spans="15:15" ht="14.25" customHeight="1" x14ac:dyDescent="0.35">
      <c r="O273" s="1"/>
    </row>
    <row r="274" spans="15:15" ht="14.25" customHeight="1" x14ac:dyDescent="0.35">
      <c r="O274" s="1"/>
    </row>
    <row r="275" spans="15:15" ht="14.25" customHeight="1" x14ac:dyDescent="0.35">
      <c r="O275" s="1"/>
    </row>
    <row r="276" spans="15:15" ht="14.25" customHeight="1" x14ac:dyDescent="0.35">
      <c r="O276" s="1"/>
    </row>
    <row r="277" spans="15:15" ht="14.25" customHeight="1" x14ac:dyDescent="0.35">
      <c r="O277" s="1"/>
    </row>
    <row r="278" spans="15:15" ht="14.25" customHeight="1" x14ac:dyDescent="0.35">
      <c r="O278" s="1"/>
    </row>
    <row r="279" spans="15:15" ht="14.25" customHeight="1" x14ac:dyDescent="0.35">
      <c r="O279" s="1"/>
    </row>
    <row r="280" spans="15:15" ht="14.25" customHeight="1" x14ac:dyDescent="0.35">
      <c r="O280" s="1"/>
    </row>
    <row r="281" spans="15:15" ht="14.25" customHeight="1" x14ac:dyDescent="0.35">
      <c r="O281" s="1"/>
    </row>
    <row r="282" spans="15:15" ht="14.25" customHeight="1" x14ac:dyDescent="0.35">
      <c r="O282" s="1"/>
    </row>
    <row r="283" spans="15:15" ht="14.25" customHeight="1" x14ac:dyDescent="0.35">
      <c r="O283" s="1"/>
    </row>
    <row r="284" spans="15:15" ht="14.25" customHeight="1" x14ac:dyDescent="0.35">
      <c r="O284" s="1"/>
    </row>
    <row r="285" spans="15:15" ht="14.25" customHeight="1" x14ac:dyDescent="0.35">
      <c r="O285" s="1"/>
    </row>
    <row r="286" spans="15:15" ht="14.25" customHeight="1" x14ac:dyDescent="0.35">
      <c r="O286" s="1"/>
    </row>
    <row r="287" spans="15:15" ht="14.25" customHeight="1" x14ac:dyDescent="0.35">
      <c r="O287" s="1"/>
    </row>
    <row r="288" spans="15:15" ht="14.25" customHeight="1" x14ac:dyDescent="0.35">
      <c r="O288" s="1"/>
    </row>
    <row r="289" spans="15:15" ht="14.25" customHeight="1" x14ac:dyDescent="0.35">
      <c r="O289" s="1"/>
    </row>
    <row r="290" spans="15:15" ht="14.25" customHeight="1" x14ac:dyDescent="0.35">
      <c r="O290" s="1"/>
    </row>
    <row r="291" spans="15:15" ht="14.25" customHeight="1" x14ac:dyDescent="0.35">
      <c r="O291" s="1"/>
    </row>
    <row r="292" spans="15:15" ht="14.25" customHeight="1" x14ac:dyDescent="0.35">
      <c r="O292" s="1"/>
    </row>
    <row r="293" spans="15:15" ht="14.25" customHeight="1" x14ac:dyDescent="0.35">
      <c r="O293" s="1"/>
    </row>
    <row r="294" spans="15:15" ht="14.25" customHeight="1" x14ac:dyDescent="0.35">
      <c r="O294" s="1"/>
    </row>
    <row r="295" spans="15:15" ht="14.25" customHeight="1" x14ac:dyDescent="0.35">
      <c r="O295" s="1"/>
    </row>
    <row r="296" spans="15:15" ht="14.25" customHeight="1" x14ac:dyDescent="0.35">
      <c r="O296" s="1"/>
    </row>
    <row r="297" spans="15:15" ht="14.25" customHeight="1" x14ac:dyDescent="0.35">
      <c r="O297" s="1"/>
    </row>
    <row r="298" spans="15:15" ht="14.25" customHeight="1" x14ac:dyDescent="0.35">
      <c r="O298" s="1"/>
    </row>
    <row r="299" spans="15:15" ht="14.25" customHeight="1" x14ac:dyDescent="0.35">
      <c r="O299" s="1"/>
    </row>
    <row r="300" spans="15:15" ht="14.25" customHeight="1" x14ac:dyDescent="0.35">
      <c r="O300" s="1"/>
    </row>
    <row r="301" spans="15:15" ht="14.25" customHeight="1" x14ac:dyDescent="0.35">
      <c r="O301" s="1"/>
    </row>
    <row r="302" spans="15:15" ht="14.25" customHeight="1" x14ac:dyDescent="0.35">
      <c r="O302" s="1"/>
    </row>
    <row r="303" spans="15:15" ht="14.25" customHeight="1" x14ac:dyDescent="0.35">
      <c r="O303" s="1"/>
    </row>
    <row r="304" spans="15:15" ht="14.25" customHeight="1" x14ac:dyDescent="0.35">
      <c r="O304" s="1"/>
    </row>
    <row r="305" spans="15:15" ht="14.25" customHeight="1" x14ac:dyDescent="0.35">
      <c r="O305" s="1"/>
    </row>
    <row r="306" spans="15:15" ht="14.25" customHeight="1" x14ac:dyDescent="0.35">
      <c r="O306" s="1"/>
    </row>
    <row r="307" spans="15:15" ht="14.25" customHeight="1" x14ac:dyDescent="0.35">
      <c r="O307" s="1"/>
    </row>
    <row r="308" spans="15:15" ht="14.25" customHeight="1" x14ac:dyDescent="0.35">
      <c r="O308" s="1"/>
    </row>
    <row r="309" spans="15:15" ht="14.25" customHeight="1" x14ac:dyDescent="0.35">
      <c r="O309" s="1"/>
    </row>
    <row r="310" spans="15:15" ht="14.25" customHeight="1" x14ac:dyDescent="0.35">
      <c r="O310" s="1"/>
    </row>
    <row r="311" spans="15:15" ht="14.25" customHeight="1" x14ac:dyDescent="0.35">
      <c r="O311" s="1"/>
    </row>
    <row r="312" spans="15:15" ht="14.25" customHeight="1" x14ac:dyDescent="0.35">
      <c r="O312" s="1"/>
    </row>
    <row r="313" spans="15:15" ht="14.25" customHeight="1" x14ac:dyDescent="0.35">
      <c r="O313" s="1"/>
    </row>
    <row r="314" spans="15:15" ht="14.25" customHeight="1" x14ac:dyDescent="0.35">
      <c r="O314" s="1"/>
    </row>
    <row r="315" spans="15:15" ht="14.25" customHeight="1" x14ac:dyDescent="0.35">
      <c r="O315" s="1"/>
    </row>
    <row r="316" spans="15:15" ht="14.25" customHeight="1" x14ac:dyDescent="0.35">
      <c r="O316" s="1"/>
    </row>
    <row r="317" spans="15:15" ht="14.25" customHeight="1" x14ac:dyDescent="0.35">
      <c r="O317" s="1"/>
    </row>
    <row r="318" spans="15:15" ht="14.25" customHeight="1" x14ac:dyDescent="0.35">
      <c r="O318" s="1"/>
    </row>
    <row r="319" spans="15:15" ht="14.25" customHeight="1" x14ac:dyDescent="0.35">
      <c r="O319" s="1"/>
    </row>
    <row r="320" spans="15:15" ht="14.25" customHeight="1" x14ac:dyDescent="0.35">
      <c r="O320" s="1"/>
    </row>
    <row r="321" spans="15:15" ht="14.25" customHeight="1" x14ac:dyDescent="0.35">
      <c r="O321" s="1"/>
    </row>
    <row r="322" spans="15:15" ht="14.25" customHeight="1" x14ac:dyDescent="0.35">
      <c r="O322" s="1"/>
    </row>
    <row r="323" spans="15:15" ht="14.25" customHeight="1" x14ac:dyDescent="0.35">
      <c r="O323" s="1"/>
    </row>
    <row r="324" spans="15:15" ht="14.25" customHeight="1" x14ac:dyDescent="0.35">
      <c r="O324" s="1"/>
    </row>
    <row r="325" spans="15:15" ht="14.25" customHeight="1" x14ac:dyDescent="0.35">
      <c r="O325" s="1"/>
    </row>
    <row r="326" spans="15:15" ht="14.25" customHeight="1" x14ac:dyDescent="0.35">
      <c r="O326" s="1"/>
    </row>
    <row r="327" spans="15:15" ht="14.25" customHeight="1" x14ac:dyDescent="0.35">
      <c r="O327" s="1"/>
    </row>
    <row r="328" spans="15:15" ht="14.25" customHeight="1" x14ac:dyDescent="0.35">
      <c r="O328" s="1"/>
    </row>
    <row r="329" spans="15:15" ht="14.25" customHeight="1" x14ac:dyDescent="0.35">
      <c r="O329" s="1"/>
    </row>
    <row r="330" spans="15:15" ht="14.25" customHeight="1" x14ac:dyDescent="0.35">
      <c r="O330" s="1"/>
    </row>
    <row r="331" spans="15:15" ht="14.25" customHeight="1" x14ac:dyDescent="0.35">
      <c r="O331" s="1"/>
    </row>
    <row r="332" spans="15:15" ht="14.25" customHeight="1" x14ac:dyDescent="0.35">
      <c r="O332" s="1"/>
    </row>
    <row r="333" spans="15:15" ht="14.25" customHeight="1" x14ac:dyDescent="0.35">
      <c r="O333" s="1"/>
    </row>
    <row r="334" spans="15:15" ht="14.25" customHeight="1" x14ac:dyDescent="0.35">
      <c r="O334" s="1"/>
    </row>
    <row r="335" spans="15:15" ht="14.25" customHeight="1" x14ac:dyDescent="0.35">
      <c r="O335" s="1"/>
    </row>
    <row r="336" spans="15:15" ht="14.25" customHeight="1" x14ac:dyDescent="0.35">
      <c r="O336" s="1"/>
    </row>
    <row r="337" spans="15:15" ht="14.25" customHeight="1" x14ac:dyDescent="0.35">
      <c r="O337" s="1"/>
    </row>
    <row r="338" spans="15:15" ht="14.25" customHeight="1" x14ac:dyDescent="0.35">
      <c r="O338" s="1"/>
    </row>
    <row r="339" spans="15:15" ht="14.25" customHeight="1" x14ac:dyDescent="0.35">
      <c r="O339" s="1"/>
    </row>
    <row r="340" spans="15:15" ht="14.25" customHeight="1" x14ac:dyDescent="0.35">
      <c r="O340" s="1"/>
    </row>
    <row r="341" spans="15:15" ht="14.25" customHeight="1" x14ac:dyDescent="0.35">
      <c r="O341" s="1"/>
    </row>
    <row r="342" spans="15:15" ht="14.25" customHeight="1" x14ac:dyDescent="0.35">
      <c r="O342" s="1"/>
    </row>
    <row r="343" spans="15:15" ht="14.25" customHeight="1" x14ac:dyDescent="0.35">
      <c r="O343" s="1"/>
    </row>
    <row r="344" spans="15:15" ht="14.25" customHeight="1" x14ac:dyDescent="0.35">
      <c r="O344" s="1"/>
    </row>
    <row r="345" spans="15:15" ht="14.25" customHeight="1" x14ac:dyDescent="0.35">
      <c r="O345" s="1"/>
    </row>
    <row r="346" spans="15:15" ht="14.25" customHeight="1" x14ac:dyDescent="0.35">
      <c r="O346" s="1"/>
    </row>
    <row r="347" spans="15:15" ht="14.25" customHeight="1" x14ac:dyDescent="0.35">
      <c r="O347" s="1"/>
    </row>
    <row r="348" spans="15:15" ht="14.25" customHeight="1" x14ac:dyDescent="0.35">
      <c r="O348" s="1"/>
    </row>
    <row r="349" spans="15:15" ht="14.25" customHeight="1" x14ac:dyDescent="0.35">
      <c r="O349" s="1"/>
    </row>
    <row r="350" spans="15:15" ht="14.25" customHeight="1" x14ac:dyDescent="0.35">
      <c r="O350" s="1"/>
    </row>
    <row r="351" spans="15:15" ht="14.25" customHeight="1" x14ac:dyDescent="0.35">
      <c r="O351" s="1"/>
    </row>
    <row r="352" spans="15:15" ht="14.25" customHeight="1" x14ac:dyDescent="0.35">
      <c r="O352" s="1"/>
    </row>
    <row r="353" spans="15:15" ht="14.25" customHeight="1" x14ac:dyDescent="0.35">
      <c r="O353" s="1"/>
    </row>
    <row r="354" spans="15:15" ht="14.25" customHeight="1" x14ac:dyDescent="0.35">
      <c r="O354" s="1"/>
    </row>
    <row r="355" spans="15:15" ht="14.25" customHeight="1" x14ac:dyDescent="0.35">
      <c r="O355" s="1"/>
    </row>
    <row r="356" spans="15:15" ht="14.25" customHeight="1" x14ac:dyDescent="0.35">
      <c r="O356" s="1"/>
    </row>
    <row r="357" spans="15:15" ht="14.25" customHeight="1" x14ac:dyDescent="0.35">
      <c r="O357" s="1"/>
    </row>
    <row r="358" spans="15:15" ht="14.25" customHeight="1" x14ac:dyDescent="0.35">
      <c r="O358" s="1"/>
    </row>
    <row r="359" spans="15:15" ht="14.25" customHeight="1" x14ac:dyDescent="0.35">
      <c r="O359" s="1"/>
    </row>
    <row r="360" spans="15:15" ht="14.25" customHeight="1" x14ac:dyDescent="0.35">
      <c r="O360" s="1"/>
    </row>
    <row r="361" spans="15:15" ht="14.25" customHeight="1" x14ac:dyDescent="0.35">
      <c r="O361" s="1"/>
    </row>
    <row r="362" spans="15:15" ht="14.25" customHeight="1" x14ac:dyDescent="0.35">
      <c r="O362" s="1"/>
    </row>
    <row r="363" spans="15:15" ht="14.25" customHeight="1" x14ac:dyDescent="0.35">
      <c r="O363" s="1"/>
    </row>
    <row r="364" spans="15:15" ht="14.25" customHeight="1" x14ac:dyDescent="0.35">
      <c r="O364" s="1"/>
    </row>
    <row r="365" spans="15:15" ht="14.25" customHeight="1" x14ac:dyDescent="0.35">
      <c r="O365" s="1"/>
    </row>
    <row r="366" spans="15:15" ht="14.25" customHeight="1" x14ac:dyDescent="0.35">
      <c r="O366" s="1"/>
    </row>
    <row r="367" spans="15:15" ht="14.25" customHeight="1" x14ac:dyDescent="0.35">
      <c r="O367" s="1"/>
    </row>
    <row r="368" spans="15:15" ht="14.25" customHeight="1" x14ac:dyDescent="0.35">
      <c r="O368" s="1"/>
    </row>
    <row r="369" spans="15:15" ht="14.25" customHeight="1" x14ac:dyDescent="0.35">
      <c r="O369" s="1"/>
    </row>
    <row r="370" spans="15:15" ht="14.25" customHeight="1" x14ac:dyDescent="0.35">
      <c r="O370" s="1"/>
    </row>
    <row r="371" spans="15:15" ht="14.25" customHeight="1" x14ac:dyDescent="0.35">
      <c r="O371" s="1"/>
    </row>
    <row r="372" spans="15:15" ht="14.25" customHeight="1" x14ac:dyDescent="0.35">
      <c r="O372" s="1"/>
    </row>
    <row r="373" spans="15:15" ht="14.25" customHeight="1" x14ac:dyDescent="0.35">
      <c r="O373" s="1"/>
    </row>
    <row r="374" spans="15:15" ht="14.25" customHeight="1" x14ac:dyDescent="0.35">
      <c r="O374" s="1"/>
    </row>
    <row r="375" spans="15:15" ht="14.25" customHeight="1" x14ac:dyDescent="0.35">
      <c r="O375" s="1"/>
    </row>
    <row r="376" spans="15:15" ht="14.25" customHeight="1" x14ac:dyDescent="0.35">
      <c r="O376" s="1"/>
    </row>
    <row r="377" spans="15:15" ht="14.25" customHeight="1" x14ac:dyDescent="0.35">
      <c r="O377" s="1"/>
    </row>
    <row r="378" spans="15:15" ht="14.25" customHeight="1" x14ac:dyDescent="0.35">
      <c r="O378" s="1"/>
    </row>
    <row r="379" spans="15:15" ht="14.25" customHeight="1" x14ac:dyDescent="0.35">
      <c r="O379" s="1"/>
    </row>
    <row r="380" spans="15:15" ht="14.25" customHeight="1" x14ac:dyDescent="0.35">
      <c r="O380" s="1"/>
    </row>
    <row r="381" spans="15:15" ht="14.25" customHeight="1" x14ac:dyDescent="0.35">
      <c r="O381" s="1"/>
    </row>
    <row r="382" spans="15:15" ht="14.25" customHeight="1" x14ac:dyDescent="0.35">
      <c r="O382" s="1"/>
    </row>
    <row r="383" spans="15:15" ht="14.25" customHeight="1" x14ac:dyDescent="0.35">
      <c r="O383" s="1"/>
    </row>
    <row r="384" spans="15:15" ht="14.25" customHeight="1" x14ac:dyDescent="0.35">
      <c r="O384" s="1"/>
    </row>
    <row r="385" spans="15:15" ht="14.25" customHeight="1" x14ac:dyDescent="0.35">
      <c r="O385" s="1"/>
    </row>
    <row r="386" spans="15:15" ht="14.25" customHeight="1" x14ac:dyDescent="0.35">
      <c r="O386" s="1"/>
    </row>
    <row r="387" spans="15:15" ht="14.25" customHeight="1" x14ac:dyDescent="0.35">
      <c r="O387" s="1"/>
    </row>
    <row r="388" spans="15:15" ht="14.25" customHeight="1" x14ac:dyDescent="0.35">
      <c r="O388" s="1"/>
    </row>
    <row r="389" spans="15:15" ht="14.25" customHeight="1" x14ac:dyDescent="0.35">
      <c r="O389" s="1"/>
    </row>
    <row r="390" spans="15:15" ht="14.25" customHeight="1" x14ac:dyDescent="0.35">
      <c r="O390" s="1"/>
    </row>
    <row r="391" spans="15:15" ht="14.25" customHeight="1" x14ac:dyDescent="0.35">
      <c r="O391" s="1"/>
    </row>
    <row r="392" spans="15:15" ht="14.25" customHeight="1" x14ac:dyDescent="0.35">
      <c r="O392" s="1"/>
    </row>
    <row r="393" spans="15:15" ht="14.25" customHeight="1" x14ac:dyDescent="0.35">
      <c r="O393" s="1"/>
    </row>
    <row r="394" spans="15:15" ht="14.25" customHeight="1" x14ac:dyDescent="0.35">
      <c r="O394" s="1"/>
    </row>
    <row r="395" spans="15:15" ht="14.25" customHeight="1" x14ac:dyDescent="0.35">
      <c r="O395" s="1"/>
    </row>
    <row r="396" spans="15:15" ht="14.25" customHeight="1" x14ac:dyDescent="0.35">
      <c r="O396" s="1"/>
    </row>
    <row r="397" spans="15:15" ht="14.25" customHeight="1" x14ac:dyDescent="0.35">
      <c r="O397" s="1"/>
    </row>
    <row r="398" spans="15:15" ht="14.25" customHeight="1" x14ac:dyDescent="0.35">
      <c r="O398" s="1"/>
    </row>
    <row r="399" spans="15:15" ht="14.25" customHeight="1" x14ac:dyDescent="0.35">
      <c r="O399" s="1"/>
    </row>
    <row r="400" spans="15:15" ht="14.25" customHeight="1" x14ac:dyDescent="0.35">
      <c r="O400" s="1"/>
    </row>
    <row r="401" spans="15:15" ht="14.25" customHeight="1" x14ac:dyDescent="0.35">
      <c r="O401" s="1"/>
    </row>
    <row r="402" spans="15:15" ht="14.25" customHeight="1" x14ac:dyDescent="0.35">
      <c r="O402" s="1"/>
    </row>
    <row r="403" spans="15:15" ht="14.25" customHeight="1" x14ac:dyDescent="0.35">
      <c r="O403" s="1"/>
    </row>
    <row r="404" spans="15:15" ht="14.25" customHeight="1" x14ac:dyDescent="0.35">
      <c r="O404" s="1"/>
    </row>
    <row r="405" spans="15:15" ht="14.25" customHeight="1" x14ac:dyDescent="0.35">
      <c r="O405" s="1"/>
    </row>
    <row r="406" spans="15:15" ht="14.25" customHeight="1" x14ac:dyDescent="0.35">
      <c r="O406" s="1"/>
    </row>
    <row r="407" spans="15:15" ht="14.25" customHeight="1" x14ac:dyDescent="0.35">
      <c r="O407" s="1"/>
    </row>
    <row r="408" spans="15:15" ht="14.25" customHeight="1" x14ac:dyDescent="0.35">
      <c r="O408" s="1"/>
    </row>
    <row r="409" spans="15:15" ht="14.25" customHeight="1" x14ac:dyDescent="0.35">
      <c r="O409" s="1"/>
    </row>
    <row r="410" spans="15:15" ht="14.25" customHeight="1" x14ac:dyDescent="0.35">
      <c r="O410" s="1"/>
    </row>
    <row r="411" spans="15:15" ht="14.25" customHeight="1" x14ac:dyDescent="0.35">
      <c r="O411" s="1"/>
    </row>
    <row r="412" spans="15:15" ht="14.25" customHeight="1" x14ac:dyDescent="0.35">
      <c r="O412" s="1"/>
    </row>
    <row r="413" spans="15:15" ht="14.25" customHeight="1" x14ac:dyDescent="0.35">
      <c r="O413" s="1"/>
    </row>
    <row r="414" spans="15:15" ht="14.25" customHeight="1" x14ac:dyDescent="0.35">
      <c r="O414" s="1"/>
    </row>
    <row r="415" spans="15:15" ht="14.25" customHeight="1" x14ac:dyDescent="0.35">
      <c r="O415" s="1"/>
    </row>
    <row r="416" spans="15:15" ht="14.25" customHeight="1" x14ac:dyDescent="0.35">
      <c r="O416" s="1"/>
    </row>
    <row r="417" spans="15:15" ht="14.25" customHeight="1" x14ac:dyDescent="0.35">
      <c r="O417" s="1"/>
    </row>
    <row r="418" spans="15:15" ht="14.25" customHeight="1" x14ac:dyDescent="0.35">
      <c r="O418" s="1"/>
    </row>
    <row r="419" spans="15:15" ht="14.25" customHeight="1" x14ac:dyDescent="0.35">
      <c r="O419" s="1"/>
    </row>
    <row r="420" spans="15:15" ht="14.25" customHeight="1" x14ac:dyDescent="0.35">
      <c r="O420" s="1"/>
    </row>
    <row r="421" spans="15:15" ht="14.25" customHeight="1" x14ac:dyDescent="0.35">
      <c r="O421" s="1"/>
    </row>
    <row r="422" spans="15:15" ht="14.25" customHeight="1" x14ac:dyDescent="0.35">
      <c r="O422" s="1"/>
    </row>
    <row r="423" spans="15:15" ht="14.25" customHeight="1" x14ac:dyDescent="0.35">
      <c r="O423" s="1"/>
    </row>
    <row r="424" spans="15:15" ht="14.25" customHeight="1" x14ac:dyDescent="0.35">
      <c r="O424" s="1"/>
    </row>
    <row r="425" spans="15:15" ht="14.25" customHeight="1" x14ac:dyDescent="0.35">
      <c r="O425" s="1"/>
    </row>
    <row r="426" spans="15:15" ht="14.25" customHeight="1" x14ac:dyDescent="0.35">
      <c r="O426" s="1"/>
    </row>
    <row r="427" spans="15:15" ht="14.25" customHeight="1" x14ac:dyDescent="0.35">
      <c r="O427" s="1"/>
    </row>
    <row r="428" spans="15:15" ht="14.25" customHeight="1" x14ac:dyDescent="0.35">
      <c r="O428" s="1"/>
    </row>
    <row r="429" spans="15:15" ht="14.25" customHeight="1" x14ac:dyDescent="0.35">
      <c r="O429" s="1"/>
    </row>
    <row r="430" spans="15:15" ht="14.25" customHeight="1" x14ac:dyDescent="0.35">
      <c r="O430" s="1"/>
    </row>
    <row r="431" spans="15:15" ht="14.25" customHeight="1" x14ac:dyDescent="0.35">
      <c r="O431" s="1"/>
    </row>
    <row r="432" spans="15:15" ht="14.25" customHeight="1" x14ac:dyDescent="0.35">
      <c r="O432" s="1"/>
    </row>
    <row r="433" spans="15:15" ht="14.25" customHeight="1" x14ac:dyDescent="0.35">
      <c r="O433" s="1"/>
    </row>
    <row r="434" spans="15:15" ht="14.25" customHeight="1" x14ac:dyDescent="0.35">
      <c r="O434" s="1"/>
    </row>
    <row r="435" spans="15:15" ht="14.25" customHeight="1" x14ac:dyDescent="0.35">
      <c r="O435" s="1"/>
    </row>
    <row r="436" spans="15:15" ht="14.25" customHeight="1" x14ac:dyDescent="0.35">
      <c r="O436" s="1"/>
    </row>
    <row r="437" spans="15:15" ht="14.25" customHeight="1" x14ac:dyDescent="0.35">
      <c r="O437" s="1"/>
    </row>
    <row r="438" spans="15:15" ht="14.25" customHeight="1" x14ac:dyDescent="0.35">
      <c r="O438" s="1"/>
    </row>
    <row r="439" spans="15:15" ht="14.25" customHeight="1" x14ac:dyDescent="0.35">
      <c r="O439" s="1"/>
    </row>
    <row r="440" spans="15:15" ht="14.25" customHeight="1" x14ac:dyDescent="0.35">
      <c r="O440" s="1"/>
    </row>
    <row r="441" spans="15:15" ht="14.25" customHeight="1" x14ac:dyDescent="0.35">
      <c r="O441" s="1"/>
    </row>
    <row r="442" spans="15:15" ht="14.25" customHeight="1" x14ac:dyDescent="0.35">
      <c r="O442" s="1"/>
    </row>
    <row r="443" spans="15:15" ht="14.25" customHeight="1" x14ac:dyDescent="0.35">
      <c r="O443" s="1"/>
    </row>
    <row r="444" spans="15:15" ht="14.25" customHeight="1" x14ac:dyDescent="0.35">
      <c r="O444" s="1"/>
    </row>
    <row r="445" spans="15:15" ht="14.25" customHeight="1" x14ac:dyDescent="0.35">
      <c r="O445" s="1"/>
    </row>
    <row r="446" spans="15:15" ht="14.25" customHeight="1" x14ac:dyDescent="0.35">
      <c r="O446" s="1"/>
    </row>
    <row r="447" spans="15:15" ht="14.25" customHeight="1" x14ac:dyDescent="0.35">
      <c r="O447" s="1"/>
    </row>
    <row r="448" spans="15:15" ht="14.25" customHeight="1" x14ac:dyDescent="0.35">
      <c r="O448" s="1"/>
    </row>
    <row r="449" spans="15:15" ht="14.25" customHeight="1" x14ac:dyDescent="0.35">
      <c r="O449" s="1"/>
    </row>
    <row r="450" spans="15:15" ht="14.25" customHeight="1" x14ac:dyDescent="0.35">
      <c r="O450" s="1"/>
    </row>
    <row r="451" spans="15:15" ht="14.25" customHeight="1" x14ac:dyDescent="0.35">
      <c r="O451" s="1"/>
    </row>
    <row r="452" spans="15:15" ht="14.25" customHeight="1" x14ac:dyDescent="0.35">
      <c r="O452" s="1"/>
    </row>
    <row r="453" spans="15:15" ht="14.25" customHeight="1" x14ac:dyDescent="0.35">
      <c r="O453" s="1"/>
    </row>
    <row r="454" spans="15:15" ht="14.25" customHeight="1" x14ac:dyDescent="0.35">
      <c r="O454" s="1"/>
    </row>
    <row r="455" spans="15:15" ht="14.25" customHeight="1" x14ac:dyDescent="0.35">
      <c r="O455" s="1"/>
    </row>
    <row r="456" spans="15:15" ht="14.25" customHeight="1" x14ac:dyDescent="0.35">
      <c r="O456" s="1"/>
    </row>
    <row r="457" spans="15:15" ht="14.25" customHeight="1" x14ac:dyDescent="0.35">
      <c r="O457" s="1"/>
    </row>
    <row r="458" spans="15:15" ht="14.25" customHeight="1" x14ac:dyDescent="0.35">
      <c r="O458" s="1"/>
    </row>
    <row r="459" spans="15:15" ht="14.25" customHeight="1" x14ac:dyDescent="0.35">
      <c r="O459" s="1"/>
    </row>
    <row r="460" spans="15:15" ht="14.25" customHeight="1" x14ac:dyDescent="0.35">
      <c r="O460" s="1"/>
    </row>
    <row r="461" spans="15:15" ht="14.25" customHeight="1" x14ac:dyDescent="0.35">
      <c r="O461" s="1"/>
    </row>
    <row r="462" spans="15:15" ht="14.25" customHeight="1" x14ac:dyDescent="0.35">
      <c r="O462" s="1"/>
    </row>
    <row r="463" spans="15:15" ht="14.25" customHeight="1" x14ac:dyDescent="0.35">
      <c r="O463" s="1"/>
    </row>
    <row r="464" spans="15:15" ht="14.25" customHeight="1" x14ac:dyDescent="0.35">
      <c r="O464" s="1"/>
    </row>
    <row r="465" spans="15:15" ht="14.25" customHeight="1" x14ac:dyDescent="0.35">
      <c r="O465" s="1"/>
    </row>
    <row r="466" spans="15:15" ht="14.25" customHeight="1" x14ac:dyDescent="0.35">
      <c r="O466" s="1"/>
    </row>
    <row r="467" spans="15:15" ht="14.25" customHeight="1" x14ac:dyDescent="0.35">
      <c r="O467" s="1"/>
    </row>
    <row r="468" spans="15:15" ht="14.25" customHeight="1" x14ac:dyDescent="0.35">
      <c r="O468" s="1"/>
    </row>
    <row r="469" spans="15:15" ht="14.25" customHeight="1" x14ac:dyDescent="0.35">
      <c r="O469" s="1"/>
    </row>
    <row r="470" spans="15:15" ht="14.25" customHeight="1" x14ac:dyDescent="0.35">
      <c r="O470" s="1"/>
    </row>
    <row r="471" spans="15:15" ht="14.25" customHeight="1" x14ac:dyDescent="0.35">
      <c r="O471" s="1"/>
    </row>
    <row r="472" spans="15:15" ht="14.25" customHeight="1" x14ac:dyDescent="0.35">
      <c r="O472" s="1"/>
    </row>
    <row r="473" spans="15:15" ht="14.25" customHeight="1" x14ac:dyDescent="0.35">
      <c r="O473" s="1"/>
    </row>
    <row r="474" spans="15:15" ht="14.25" customHeight="1" x14ac:dyDescent="0.35">
      <c r="O474" s="1"/>
    </row>
    <row r="475" spans="15:15" ht="14.25" customHeight="1" x14ac:dyDescent="0.35">
      <c r="O475" s="1"/>
    </row>
    <row r="476" spans="15:15" ht="14.25" customHeight="1" x14ac:dyDescent="0.35">
      <c r="O476" s="1"/>
    </row>
    <row r="477" spans="15:15" ht="14.25" customHeight="1" x14ac:dyDescent="0.35">
      <c r="O477" s="1"/>
    </row>
    <row r="478" spans="15:15" ht="14.25" customHeight="1" x14ac:dyDescent="0.35">
      <c r="O478" s="1"/>
    </row>
    <row r="479" spans="15:15" ht="14.25" customHeight="1" x14ac:dyDescent="0.35">
      <c r="O479" s="1"/>
    </row>
    <row r="480" spans="15:15" ht="14.25" customHeight="1" x14ac:dyDescent="0.35">
      <c r="O480" s="1"/>
    </row>
    <row r="481" spans="15:15" ht="14.25" customHeight="1" x14ac:dyDescent="0.35">
      <c r="O481" s="1"/>
    </row>
    <row r="482" spans="15:15" ht="14.25" customHeight="1" x14ac:dyDescent="0.35">
      <c r="O482" s="1"/>
    </row>
    <row r="483" spans="15:15" ht="14.25" customHeight="1" x14ac:dyDescent="0.35">
      <c r="O483" s="1"/>
    </row>
    <row r="484" spans="15:15" ht="14.25" customHeight="1" x14ac:dyDescent="0.35">
      <c r="O484" s="1"/>
    </row>
    <row r="485" spans="15:15" ht="14.25" customHeight="1" x14ac:dyDescent="0.35">
      <c r="O485" s="1"/>
    </row>
    <row r="486" spans="15:15" ht="14.25" customHeight="1" x14ac:dyDescent="0.35">
      <c r="O486" s="1"/>
    </row>
    <row r="487" spans="15:15" ht="14.25" customHeight="1" x14ac:dyDescent="0.35">
      <c r="O487" s="1"/>
    </row>
    <row r="488" spans="15:15" ht="14.25" customHeight="1" x14ac:dyDescent="0.35">
      <c r="O488" s="1"/>
    </row>
    <row r="489" spans="15:15" ht="14.25" customHeight="1" x14ac:dyDescent="0.35">
      <c r="O489" s="1"/>
    </row>
    <row r="490" spans="15:15" ht="14.25" customHeight="1" x14ac:dyDescent="0.35">
      <c r="O490" s="1"/>
    </row>
    <row r="491" spans="15:15" ht="14.25" customHeight="1" x14ac:dyDescent="0.35">
      <c r="O491" s="1"/>
    </row>
    <row r="492" spans="15:15" ht="14.25" customHeight="1" x14ac:dyDescent="0.35">
      <c r="O492" s="1"/>
    </row>
    <row r="493" spans="15:15" ht="14.25" customHeight="1" x14ac:dyDescent="0.35">
      <c r="O493" s="1"/>
    </row>
    <row r="494" spans="15:15" ht="14.25" customHeight="1" x14ac:dyDescent="0.35">
      <c r="O494" s="1"/>
    </row>
    <row r="495" spans="15:15" ht="14.25" customHeight="1" x14ac:dyDescent="0.35">
      <c r="O495" s="1"/>
    </row>
    <row r="496" spans="15:15" ht="14.25" customHeight="1" x14ac:dyDescent="0.35">
      <c r="O496" s="1"/>
    </row>
    <row r="497" spans="15:15" ht="14.25" customHeight="1" x14ac:dyDescent="0.35">
      <c r="O497" s="1"/>
    </row>
    <row r="498" spans="15:15" ht="14.25" customHeight="1" x14ac:dyDescent="0.35">
      <c r="O498" s="1"/>
    </row>
    <row r="499" spans="15:15" ht="14.25" customHeight="1" x14ac:dyDescent="0.35">
      <c r="O499" s="1"/>
    </row>
    <row r="500" spans="15:15" ht="14.25" customHeight="1" x14ac:dyDescent="0.35">
      <c r="O500" s="1"/>
    </row>
    <row r="501" spans="15:15" ht="14.25" customHeight="1" x14ac:dyDescent="0.35">
      <c r="O501" s="1"/>
    </row>
    <row r="502" spans="15:15" ht="14.25" customHeight="1" x14ac:dyDescent="0.35">
      <c r="O502" s="1"/>
    </row>
    <row r="503" spans="15:15" ht="14.25" customHeight="1" x14ac:dyDescent="0.35">
      <c r="O503" s="1"/>
    </row>
    <row r="504" spans="15:15" ht="14.25" customHeight="1" x14ac:dyDescent="0.35">
      <c r="O504" s="1"/>
    </row>
    <row r="505" spans="15:15" ht="14.25" customHeight="1" x14ac:dyDescent="0.35">
      <c r="O505" s="1"/>
    </row>
    <row r="506" spans="15:15" ht="14.25" customHeight="1" x14ac:dyDescent="0.35">
      <c r="O506" s="1"/>
    </row>
    <row r="507" spans="15:15" ht="14.25" customHeight="1" x14ac:dyDescent="0.35">
      <c r="O507" s="1"/>
    </row>
    <row r="508" spans="15:15" ht="14.25" customHeight="1" x14ac:dyDescent="0.35">
      <c r="O508" s="1"/>
    </row>
    <row r="509" spans="15:15" ht="14.25" customHeight="1" x14ac:dyDescent="0.35">
      <c r="O509" s="1"/>
    </row>
    <row r="510" spans="15:15" ht="14.25" customHeight="1" x14ac:dyDescent="0.35">
      <c r="O510" s="1"/>
    </row>
    <row r="511" spans="15:15" ht="14.25" customHeight="1" x14ac:dyDescent="0.35">
      <c r="O511" s="1"/>
    </row>
    <row r="512" spans="15:15" ht="14.25" customHeight="1" x14ac:dyDescent="0.35">
      <c r="O512" s="1"/>
    </row>
    <row r="513" spans="15:15" ht="14.25" customHeight="1" x14ac:dyDescent="0.35">
      <c r="O513" s="1"/>
    </row>
    <row r="514" spans="15:15" ht="14.25" customHeight="1" x14ac:dyDescent="0.35">
      <c r="O514" s="1"/>
    </row>
    <row r="515" spans="15:15" ht="14.25" customHeight="1" x14ac:dyDescent="0.35">
      <c r="O515" s="1"/>
    </row>
    <row r="516" spans="15:15" ht="14.25" customHeight="1" x14ac:dyDescent="0.35">
      <c r="O516" s="1"/>
    </row>
    <row r="517" spans="15:15" ht="14.25" customHeight="1" x14ac:dyDescent="0.35">
      <c r="O517" s="1"/>
    </row>
    <row r="518" spans="15:15" ht="14.25" customHeight="1" x14ac:dyDescent="0.35">
      <c r="O518" s="1"/>
    </row>
    <row r="519" spans="15:15" ht="14.25" customHeight="1" x14ac:dyDescent="0.35">
      <c r="O519" s="1"/>
    </row>
    <row r="520" spans="15:15" ht="14.25" customHeight="1" x14ac:dyDescent="0.35">
      <c r="O520" s="1"/>
    </row>
    <row r="521" spans="15:15" ht="14.25" customHeight="1" x14ac:dyDescent="0.35">
      <c r="O521" s="1"/>
    </row>
    <row r="522" spans="15:15" ht="14.25" customHeight="1" x14ac:dyDescent="0.35">
      <c r="O522" s="1"/>
    </row>
    <row r="523" spans="15:15" ht="14.25" customHeight="1" x14ac:dyDescent="0.35">
      <c r="O523" s="1"/>
    </row>
    <row r="524" spans="15:15" ht="14.25" customHeight="1" x14ac:dyDescent="0.35">
      <c r="O524" s="1"/>
    </row>
    <row r="525" spans="15:15" ht="14.25" customHeight="1" x14ac:dyDescent="0.35">
      <c r="O525" s="1"/>
    </row>
    <row r="526" spans="15:15" ht="14.25" customHeight="1" x14ac:dyDescent="0.35">
      <c r="O526" s="1"/>
    </row>
    <row r="527" spans="15:15" ht="14.25" customHeight="1" x14ac:dyDescent="0.35">
      <c r="O527" s="1"/>
    </row>
    <row r="528" spans="15:15" ht="14.25" customHeight="1" x14ac:dyDescent="0.35">
      <c r="O528" s="1"/>
    </row>
    <row r="529" spans="15:15" ht="14.25" customHeight="1" x14ac:dyDescent="0.35">
      <c r="O529" s="1"/>
    </row>
    <row r="530" spans="15:15" ht="14.25" customHeight="1" x14ac:dyDescent="0.35">
      <c r="O530" s="1"/>
    </row>
    <row r="531" spans="15:15" ht="14.25" customHeight="1" x14ac:dyDescent="0.35">
      <c r="O531" s="1"/>
    </row>
    <row r="532" spans="15:15" ht="14.25" customHeight="1" x14ac:dyDescent="0.35">
      <c r="O532" s="1"/>
    </row>
    <row r="533" spans="15:15" ht="14.25" customHeight="1" x14ac:dyDescent="0.35">
      <c r="O533" s="1"/>
    </row>
    <row r="534" spans="15:15" ht="14.25" customHeight="1" x14ac:dyDescent="0.35">
      <c r="O534" s="1"/>
    </row>
    <row r="535" spans="15:15" ht="14.25" customHeight="1" x14ac:dyDescent="0.35">
      <c r="O535" s="1"/>
    </row>
    <row r="536" spans="15:15" ht="14.25" customHeight="1" x14ac:dyDescent="0.35">
      <c r="O536" s="1"/>
    </row>
    <row r="537" spans="15:15" ht="14.25" customHeight="1" x14ac:dyDescent="0.35">
      <c r="O537" s="1"/>
    </row>
    <row r="538" spans="15:15" ht="14.25" customHeight="1" x14ac:dyDescent="0.35">
      <c r="O538" s="1"/>
    </row>
    <row r="539" spans="15:15" ht="14.25" customHeight="1" x14ac:dyDescent="0.35">
      <c r="O539" s="1"/>
    </row>
    <row r="540" spans="15:15" ht="14.25" customHeight="1" x14ac:dyDescent="0.35">
      <c r="O540" s="1"/>
    </row>
    <row r="541" spans="15:15" ht="14.25" customHeight="1" x14ac:dyDescent="0.35">
      <c r="O541" s="1"/>
    </row>
    <row r="542" spans="15:15" ht="14.25" customHeight="1" x14ac:dyDescent="0.35">
      <c r="O542" s="1"/>
    </row>
    <row r="543" spans="15:15" ht="14.25" customHeight="1" x14ac:dyDescent="0.35">
      <c r="O543" s="1"/>
    </row>
    <row r="544" spans="15:15" ht="14.25" customHeight="1" x14ac:dyDescent="0.35">
      <c r="O544" s="1"/>
    </row>
    <row r="545" spans="15:15" ht="14.25" customHeight="1" x14ac:dyDescent="0.35">
      <c r="O545" s="1"/>
    </row>
    <row r="546" spans="15:15" ht="14.25" customHeight="1" x14ac:dyDescent="0.35">
      <c r="O546" s="1"/>
    </row>
    <row r="547" spans="15:15" ht="14.25" customHeight="1" x14ac:dyDescent="0.35">
      <c r="O547" s="1"/>
    </row>
    <row r="548" spans="15:15" ht="14.25" customHeight="1" x14ac:dyDescent="0.35">
      <c r="O548" s="1"/>
    </row>
    <row r="549" spans="15:15" ht="14.25" customHeight="1" x14ac:dyDescent="0.35">
      <c r="O549" s="1"/>
    </row>
    <row r="550" spans="15:15" ht="14.25" customHeight="1" x14ac:dyDescent="0.35">
      <c r="O550" s="1"/>
    </row>
    <row r="551" spans="15:15" ht="14.25" customHeight="1" x14ac:dyDescent="0.35">
      <c r="O551" s="1"/>
    </row>
    <row r="552" spans="15:15" ht="14.25" customHeight="1" x14ac:dyDescent="0.35">
      <c r="O552" s="1"/>
    </row>
    <row r="553" spans="15:15" ht="14.25" customHeight="1" x14ac:dyDescent="0.35">
      <c r="O553" s="1"/>
    </row>
    <row r="554" spans="15:15" ht="14.25" customHeight="1" x14ac:dyDescent="0.35">
      <c r="O554" s="1"/>
    </row>
    <row r="555" spans="15:15" ht="14.25" customHeight="1" x14ac:dyDescent="0.35">
      <c r="O555" s="1"/>
    </row>
    <row r="556" spans="15:15" ht="14.25" customHeight="1" x14ac:dyDescent="0.35">
      <c r="O556" s="1"/>
    </row>
    <row r="557" spans="15:15" ht="14.25" customHeight="1" x14ac:dyDescent="0.35">
      <c r="O557" s="1"/>
    </row>
    <row r="558" spans="15:15" ht="14.25" customHeight="1" x14ac:dyDescent="0.35">
      <c r="O558" s="1"/>
    </row>
    <row r="559" spans="15:15" ht="14.25" customHeight="1" x14ac:dyDescent="0.35">
      <c r="O559" s="1"/>
    </row>
    <row r="560" spans="15:15" ht="14.25" customHeight="1" x14ac:dyDescent="0.35">
      <c r="O560" s="1"/>
    </row>
    <row r="561" spans="15:15" ht="14.25" customHeight="1" x14ac:dyDescent="0.35">
      <c r="O561" s="1"/>
    </row>
    <row r="562" spans="15:15" ht="14.25" customHeight="1" x14ac:dyDescent="0.35">
      <c r="O562" s="1"/>
    </row>
    <row r="563" spans="15:15" ht="14.25" customHeight="1" x14ac:dyDescent="0.35">
      <c r="O563" s="1"/>
    </row>
    <row r="564" spans="15:15" ht="14.25" customHeight="1" x14ac:dyDescent="0.35">
      <c r="O564" s="1"/>
    </row>
    <row r="565" spans="15:15" ht="14.25" customHeight="1" x14ac:dyDescent="0.35">
      <c r="O565" s="1"/>
    </row>
    <row r="566" spans="15:15" ht="14.25" customHeight="1" x14ac:dyDescent="0.35">
      <c r="O566" s="1"/>
    </row>
    <row r="567" spans="15:15" ht="14.25" customHeight="1" x14ac:dyDescent="0.35">
      <c r="O567" s="1"/>
    </row>
    <row r="568" spans="15:15" ht="14.25" customHeight="1" x14ac:dyDescent="0.35">
      <c r="O568" s="1"/>
    </row>
    <row r="569" spans="15:15" ht="14.25" customHeight="1" x14ac:dyDescent="0.35">
      <c r="O569" s="1"/>
    </row>
    <row r="570" spans="15:15" ht="14.25" customHeight="1" x14ac:dyDescent="0.35">
      <c r="O570" s="1"/>
    </row>
    <row r="571" spans="15:15" ht="14.25" customHeight="1" x14ac:dyDescent="0.35">
      <c r="O571" s="1"/>
    </row>
    <row r="572" spans="15:15" ht="14.25" customHeight="1" x14ac:dyDescent="0.35">
      <c r="O572" s="1"/>
    </row>
    <row r="573" spans="15:15" ht="14.25" customHeight="1" x14ac:dyDescent="0.35">
      <c r="O573" s="1"/>
    </row>
    <row r="574" spans="15:15" ht="14.25" customHeight="1" x14ac:dyDescent="0.35">
      <c r="O574" s="1"/>
    </row>
    <row r="575" spans="15:15" ht="14.25" customHeight="1" x14ac:dyDescent="0.35">
      <c r="O575" s="1"/>
    </row>
    <row r="576" spans="15:15" ht="14.25" customHeight="1" x14ac:dyDescent="0.35">
      <c r="O576" s="1"/>
    </row>
    <row r="577" spans="15:15" ht="14.25" customHeight="1" x14ac:dyDescent="0.35">
      <c r="O577" s="1"/>
    </row>
    <row r="578" spans="15:15" ht="14.25" customHeight="1" x14ac:dyDescent="0.35">
      <c r="O578" s="1"/>
    </row>
    <row r="579" spans="15:15" ht="14.25" customHeight="1" x14ac:dyDescent="0.35">
      <c r="O579" s="1"/>
    </row>
    <row r="580" spans="15:15" ht="14.25" customHeight="1" x14ac:dyDescent="0.35">
      <c r="O580" s="1"/>
    </row>
    <row r="581" spans="15:15" ht="14.25" customHeight="1" x14ac:dyDescent="0.35">
      <c r="O581" s="1"/>
    </row>
    <row r="582" spans="15:15" ht="14.25" customHeight="1" x14ac:dyDescent="0.35">
      <c r="O582" s="1"/>
    </row>
    <row r="583" spans="15:15" ht="14.25" customHeight="1" x14ac:dyDescent="0.35">
      <c r="O583" s="1"/>
    </row>
    <row r="584" spans="15:15" ht="14.25" customHeight="1" x14ac:dyDescent="0.35">
      <c r="O584" s="1"/>
    </row>
    <row r="585" spans="15:15" ht="14.25" customHeight="1" x14ac:dyDescent="0.35">
      <c r="O585" s="1"/>
    </row>
    <row r="586" spans="15:15" ht="14.25" customHeight="1" x14ac:dyDescent="0.35">
      <c r="O586" s="1"/>
    </row>
    <row r="587" spans="15:15" ht="14.25" customHeight="1" x14ac:dyDescent="0.35">
      <c r="O587" s="1"/>
    </row>
    <row r="588" spans="15:15" ht="14.25" customHeight="1" x14ac:dyDescent="0.35">
      <c r="O588" s="1"/>
    </row>
    <row r="589" spans="15:15" ht="14.25" customHeight="1" x14ac:dyDescent="0.35">
      <c r="O589" s="1"/>
    </row>
    <row r="590" spans="15:15" ht="14.25" customHeight="1" x14ac:dyDescent="0.35">
      <c r="O590" s="1"/>
    </row>
    <row r="591" spans="15:15" ht="14.25" customHeight="1" x14ac:dyDescent="0.35">
      <c r="O591" s="1"/>
    </row>
    <row r="592" spans="15:15" ht="14.25" customHeight="1" x14ac:dyDescent="0.35">
      <c r="O592" s="1"/>
    </row>
    <row r="593" spans="15:15" ht="14.25" customHeight="1" x14ac:dyDescent="0.35">
      <c r="O593" s="1"/>
    </row>
    <row r="594" spans="15:15" ht="14.25" customHeight="1" x14ac:dyDescent="0.35">
      <c r="O594" s="1"/>
    </row>
    <row r="595" spans="15:15" ht="14.25" customHeight="1" x14ac:dyDescent="0.35">
      <c r="O595" s="1"/>
    </row>
    <row r="596" spans="15:15" ht="14.25" customHeight="1" x14ac:dyDescent="0.35">
      <c r="O596" s="1"/>
    </row>
    <row r="597" spans="15:15" ht="14.25" customHeight="1" x14ac:dyDescent="0.35">
      <c r="O597" s="1"/>
    </row>
    <row r="598" spans="15:15" ht="14.25" customHeight="1" x14ac:dyDescent="0.35">
      <c r="O598" s="1"/>
    </row>
    <row r="599" spans="15:15" ht="14.25" customHeight="1" x14ac:dyDescent="0.35">
      <c r="O599" s="1"/>
    </row>
    <row r="600" spans="15:15" ht="14.25" customHeight="1" x14ac:dyDescent="0.35">
      <c r="O600" s="1"/>
    </row>
    <row r="601" spans="15:15" ht="14.25" customHeight="1" x14ac:dyDescent="0.35">
      <c r="O601" s="1"/>
    </row>
    <row r="602" spans="15:15" ht="14.25" customHeight="1" x14ac:dyDescent="0.35">
      <c r="O602" s="1"/>
    </row>
    <row r="603" spans="15:15" ht="14.25" customHeight="1" x14ac:dyDescent="0.35">
      <c r="O603" s="1"/>
    </row>
    <row r="604" spans="15:15" ht="14.25" customHeight="1" x14ac:dyDescent="0.35">
      <c r="O604" s="1"/>
    </row>
    <row r="605" spans="15:15" ht="14.25" customHeight="1" x14ac:dyDescent="0.35">
      <c r="O605" s="1"/>
    </row>
    <row r="606" spans="15:15" ht="14.25" customHeight="1" x14ac:dyDescent="0.35">
      <c r="O606" s="1"/>
    </row>
    <row r="607" spans="15:15" ht="14.25" customHeight="1" x14ac:dyDescent="0.35">
      <c r="O607" s="1"/>
    </row>
    <row r="608" spans="15:15" ht="14.25" customHeight="1" x14ac:dyDescent="0.35">
      <c r="O608" s="1"/>
    </row>
    <row r="609" spans="15:15" ht="14.25" customHeight="1" x14ac:dyDescent="0.35">
      <c r="O609" s="1"/>
    </row>
    <row r="610" spans="15:15" ht="14.25" customHeight="1" x14ac:dyDescent="0.35">
      <c r="O610" s="1"/>
    </row>
    <row r="611" spans="15:15" ht="14.25" customHeight="1" x14ac:dyDescent="0.35">
      <c r="O611" s="1"/>
    </row>
    <row r="612" spans="15:15" ht="14.25" customHeight="1" x14ac:dyDescent="0.35">
      <c r="O612" s="1"/>
    </row>
    <row r="613" spans="15:15" ht="14.25" customHeight="1" x14ac:dyDescent="0.35">
      <c r="O613" s="1"/>
    </row>
    <row r="614" spans="15:15" ht="14.25" customHeight="1" x14ac:dyDescent="0.35">
      <c r="O614" s="1"/>
    </row>
    <row r="615" spans="15:15" ht="14.25" customHeight="1" x14ac:dyDescent="0.35">
      <c r="O615" s="1"/>
    </row>
    <row r="616" spans="15:15" ht="14.25" customHeight="1" x14ac:dyDescent="0.35">
      <c r="O616" s="1"/>
    </row>
    <row r="617" spans="15:15" ht="14.25" customHeight="1" x14ac:dyDescent="0.35">
      <c r="O617" s="1"/>
    </row>
    <row r="618" spans="15:15" ht="14.25" customHeight="1" x14ac:dyDescent="0.35">
      <c r="O618" s="1"/>
    </row>
    <row r="619" spans="15:15" ht="14.25" customHeight="1" x14ac:dyDescent="0.35">
      <c r="O619" s="1"/>
    </row>
    <row r="620" spans="15:15" ht="14.25" customHeight="1" x14ac:dyDescent="0.35">
      <c r="O620" s="1"/>
    </row>
    <row r="621" spans="15:15" ht="14.25" customHeight="1" x14ac:dyDescent="0.35">
      <c r="O621" s="1"/>
    </row>
    <row r="622" spans="15:15" ht="14.25" customHeight="1" x14ac:dyDescent="0.35">
      <c r="O622" s="1"/>
    </row>
    <row r="623" spans="15:15" ht="14.25" customHeight="1" x14ac:dyDescent="0.35">
      <c r="O623" s="1"/>
    </row>
    <row r="624" spans="15:15" ht="14.25" customHeight="1" x14ac:dyDescent="0.35">
      <c r="O624" s="1"/>
    </row>
    <row r="625" spans="15:15" ht="14.25" customHeight="1" x14ac:dyDescent="0.35">
      <c r="O625" s="1"/>
    </row>
    <row r="626" spans="15:15" ht="14.25" customHeight="1" x14ac:dyDescent="0.35">
      <c r="O626" s="1"/>
    </row>
    <row r="627" spans="15:15" ht="14.25" customHeight="1" x14ac:dyDescent="0.35">
      <c r="O627" s="1"/>
    </row>
    <row r="628" spans="15:15" ht="14.25" customHeight="1" x14ac:dyDescent="0.35">
      <c r="O628" s="1"/>
    </row>
    <row r="629" spans="15:15" ht="14.25" customHeight="1" x14ac:dyDescent="0.35">
      <c r="O629" s="1"/>
    </row>
    <row r="630" spans="15:15" ht="14.25" customHeight="1" x14ac:dyDescent="0.35">
      <c r="O630" s="1"/>
    </row>
    <row r="631" spans="15:15" ht="14.25" customHeight="1" x14ac:dyDescent="0.35">
      <c r="O631" s="1"/>
    </row>
    <row r="632" spans="15:15" ht="14.25" customHeight="1" x14ac:dyDescent="0.35">
      <c r="O632" s="1"/>
    </row>
    <row r="633" spans="15:15" ht="14.25" customHeight="1" x14ac:dyDescent="0.35">
      <c r="O633" s="1"/>
    </row>
    <row r="634" spans="15:15" ht="14.25" customHeight="1" x14ac:dyDescent="0.35">
      <c r="O634" s="1"/>
    </row>
    <row r="635" spans="15:15" ht="14.25" customHeight="1" x14ac:dyDescent="0.35">
      <c r="O635" s="1"/>
    </row>
    <row r="636" spans="15:15" ht="14.25" customHeight="1" x14ac:dyDescent="0.35">
      <c r="O636" s="1"/>
    </row>
    <row r="637" spans="15:15" ht="14.25" customHeight="1" x14ac:dyDescent="0.35">
      <c r="O637" s="1"/>
    </row>
    <row r="638" spans="15:15" ht="14.25" customHeight="1" x14ac:dyDescent="0.35">
      <c r="O638" s="1"/>
    </row>
    <row r="639" spans="15:15" ht="14.25" customHeight="1" x14ac:dyDescent="0.35">
      <c r="O639" s="1"/>
    </row>
    <row r="640" spans="15:15" ht="14.25" customHeight="1" x14ac:dyDescent="0.35">
      <c r="O640" s="1"/>
    </row>
    <row r="641" spans="15:15" ht="14.25" customHeight="1" x14ac:dyDescent="0.35">
      <c r="O641" s="1"/>
    </row>
    <row r="642" spans="15:15" ht="14.25" customHeight="1" x14ac:dyDescent="0.35">
      <c r="O642" s="1"/>
    </row>
    <row r="643" spans="15:15" ht="14.25" customHeight="1" x14ac:dyDescent="0.35">
      <c r="O643" s="1"/>
    </row>
    <row r="644" spans="15:15" ht="14.25" customHeight="1" x14ac:dyDescent="0.35">
      <c r="O644" s="1"/>
    </row>
    <row r="645" spans="15:15" ht="14.25" customHeight="1" x14ac:dyDescent="0.35">
      <c r="O645" s="1"/>
    </row>
    <row r="646" spans="15:15" ht="14.25" customHeight="1" x14ac:dyDescent="0.35">
      <c r="O646" s="1"/>
    </row>
    <row r="647" spans="15:15" ht="14.25" customHeight="1" x14ac:dyDescent="0.35">
      <c r="O647" s="1"/>
    </row>
    <row r="648" spans="15:15" ht="14.25" customHeight="1" x14ac:dyDescent="0.35">
      <c r="O648" s="1"/>
    </row>
    <row r="649" spans="15:15" ht="14.25" customHeight="1" x14ac:dyDescent="0.35">
      <c r="O649" s="1"/>
    </row>
    <row r="650" spans="15:15" ht="14.25" customHeight="1" x14ac:dyDescent="0.35">
      <c r="O650" s="1"/>
    </row>
    <row r="651" spans="15:15" ht="14.25" customHeight="1" x14ac:dyDescent="0.35">
      <c r="O651" s="1"/>
    </row>
    <row r="652" spans="15:15" ht="14.25" customHeight="1" x14ac:dyDescent="0.35">
      <c r="O652" s="1"/>
    </row>
    <row r="653" spans="15:15" ht="14.25" customHeight="1" x14ac:dyDescent="0.35">
      <c r="O653" s="1"/>
    </row>
    <row r="654" spans="15:15" ht="14.25" customHeight="1" x14ac:dyDescent="0.35">
      <c r="O654" s="1"/>
    </row>
    <row r="655" spans="15:15" ht="14.25" customHeight="1" x14ac:dyDescent="0.35">
      <c r="O655" s="1"/>
    </row>
    <row r="656" spans="15:15" ht="14.25" customHeight="1" x14ac:dyDescent="0.35">
      <c r="O656" s="1"/>
    </row>
    <row r="657" spans="15:15" ht="14.25" customHeight="1" x14ac:dyDescent="0.35">
      <c r="O657" s="1"/>
    </row>
    <row r="658" spans="15:15" ht="14.25" customHeight="1" x14ac:dyDescent="0.35">
      <c r="O658" s="1"/>
    </row>
    <row r="659" spans="15:15" ht="14.25" customHeight="1" x14ac:dyDescent="0.35">
      <c r="O659" s="1"/>
    </row>
    <row r="660" spans="15:15" ht="14.25" customHeight="1" x14ac:dyDescent="0.35">
      <c r="O660" s="1"/>
    </row>
    <row r="661" spans="15:15" ht="14.25" customHeight="1" x14ac:dyDescent="0.35">
      <c r="O661" s="1"/>
    </row>
    <row r="662" spans="15:15" ht="14.25" customHeight="1" x14ac:dyDescent="0.35">
      <c r="O662" s="1"/>
    </row>
    <row r="663" spans="15:15" ht="14.25" customHeight="1" x14ac:dyDescent="0.35">
      <c r="O663" s="1"/>
    </row>
    <row r="664" spans="15:15" ht="14.25" customHeight="1" x14ac:dyDescent="0.35">
      <c r="O664" s="1"/>
    </row>
    <row r="665" spans="15:15" ht="14.25" customHeight="1" x14ac:dyDescent="0.35">
      <c r="O665" s="1"/>
    </row>
    <row r="666" spans="15:15" ht="14.25" customHeight="1" x14ac:dyDescent="0.35">
      <c r="O666" s="1"/>
    </row>
    <row r="667" spans="15:15" ht="14.25" customHeight="1" x14ac:dyDescent="0.35">
      <c r="O667" s="1"/>
    </row>
    <row r="668" spans="15:15" ht="14.25" customHeight="1" x14ac:dyDescent="0.35">
      <c r="O668" s="1"/>
    </row>
    <row r="669" spans="15:15" ht="14.25" customHeight="1" x14ac:dyDescent="0.35">
      <c r="O669" s="1"/>
    </row>
    <row r="670" spans="15:15" ht="14.25" customHeight="1" x14ac:dyDescent="0.35">
      <c r="O670" s="1"/>
    </row>
    <row r="671" spans="15:15" ht="14.25" customHeight="1" x14ac:dyDescent="0.35">
      <c r="O671" s="1"/>
    </row>
    <row r="672" spans="15:15" ht="14.25" customHeight="1" x14ac:dyDescent="0.35">
      <c r="O672" s="1"/>
    </row>
    <row r="673" spans="15:15" ht="14.25" customHeight="1" x14ac:dyDescent="0.35">
      <c r="O673" s="1"/>
    </row>
    <row r="674" spans="15:15" ht="14.25" customHeight="1" x14ac:dyDescent="0.35">
      <c r="O674" s="1"/>
    </row>
    <row r="675" spans="15:15" ht="14.25" customHeight="1" x14ac:dyDescent="0.35">
      <c r="O675" s="1"/>
    </row>
    <row r="676" spans="15:15" ht="14.25" customHeight="1" x14ac:dyDescent="0.35">
      <c r="O676" s="1"/>
    </row>
    <row r="677" spans="15:15" ht="14.25" customHeight="1" x14ac:dyDescent="0.35">
      <c r="O677" s="1"/>
    </row>
    <row r="678" spans="15:15" ht="14.25" customHeight="1" x14ac:dyDescent="0.35">
      <c r="O678" s="1"/>
    </row>
    <row r="679" spans="15:15" ht="14.25" customHeight="1" x14ac:dyDescent="0.35">
      <c r="O679" s="1"/>
    </row>
    <row r="680" spans="15:15" ht="14.25" customHeight="1" x14ac:dyDescent="0.35">
      <c r="O680" s="1"/>
    </row>
    <row r="681" spans="15:15" ht="14.25" customHeight="1" x14ac:dyDescent="0.35">
      <c r="O681" s="1"/>
    </row>
    <row r="682" spans="15:15" ht="14.25" customHeight="1" x14ac:dyDescent="0.35">
      <c r="O682" s="1"/>
    </row>
    <row r="683" spans="15:15" ht="14.25" customHeight="1" x14ac:dyDescent="0.35">
      <c r="O683" s="1"/>
    </row>
    <row r="684" spans="15:15" ht="14.25" customHeight="1" x14ac:dyDescent="0.35">
      <c r="O684" s="1"/>
    </row>
    <row r="685" spans="15:15" ht="14.25" customHeight="1" x14ac:dyDescent="0.35">
      <c r="O685" s="1"/>
    </row>
    <row r="686" spans="15:15" ht="14.25" customHeight="1" x14ac:dyDescent="0.35">
      <c r="O686" s="1"/>
    </row>
    <row r="687" spans="15:15" ht="14.25" customHeight="1" x14ac:dyDescent="0.35">
      <c r="O687" s="1"/>
    </row>
    <row r="688" spans="15:15" ht="14.25" customHeight="1" x14ac:dyDescent="0.35">
      <c r="O688" s="1"/>
    </row>
    <row r="689" spans="15:15" ht="14.25" customHeight="1" x14ac:dyDescent="0.35">
      <c r="O689" s="1"/>
    </row>
    <row r="690" spans="15:15" ht="14.25" customHeight="1" x14ac:dyDescent="0.35">
      <c r="O690" s="1"/>
    </row>
    <row r="691" spans="15:15" ht="14.25" customHeight="1" x14ac:dyDescent="0.35">
      <c r="O691" s="1"/>
    </row>
    <row r="692" spans="15:15" ht="14.25" customHeight="1" x14ac:dyDescent="0.35">
      <c r="O692" s="1"/>
    </row>
    <row r="693" spans="15:15" ht="14.25" customHeight="1" x14ac:dyDescent="0.35">
      <c r="O693" s="1"/>
    </row>
    <row r="694" spans="15:15" ht="14.25" customHeight="1" x14ac:dyDescent="0.35">
      <c r="O694" s="1"/>
    </row>
    <row r="695" spans="15:15" ht="14.25" customHeight="1" x14ac:dyDescent="0.35">
      <c r="O695" s="1"/>
    </row>
    <row r="696" spans="15:15" ht="14.25" customHeight="1" x14ac:dyDescent="0.35">
      <c r="O696" s="1"/>
    </row>
    <row r="697" spans="15:15" ht="14.25" customHeight="1" x14ac:dyDescent="0.35">
      <c r="O697" s="1"/>
    </row>
    <row r="698" spans="15:15" ht="14.25" customHeight="1" x14ac:dyDescent="0.35">
      <c r="O698" s="1"/>
    </row>
    <row r="699" spans="15:15" ht="14.25" customHeight="1" x14ac:dyDescent="0.35">
      <c r="O699" s="1"/>
    </row>
    <row r="700" spans="15:15" ht="14.25" customHeight="1" x14ac:dyDescent="0.35">
      <c r="O700" s="1"/>
    </row>
    <row r="701" spans="15:15" ht="14.25" customHeight="1" x14ac:dyDescent="0.35">
      <c r="O701" s="1"/>
    </row>
    <row r="702" spans="15:15" ht="14.25" customHeight="1" x14ac:dyDescent="0.35">
      <c r="O702" s="1"/>
    </row>
    <row r="703" spans="15:15" ht="14.25" customHeight="1" x14ac:dyDescent="0.35">
      <c r="O703" s="1"/>
    </row>
    <row r="704" spans="15:15" ht="14.25" customHeight="1" x14ac:dyDescent="0.35">
      <c r="O704" s="1"/>
    </row>
    <row r="705" spans="15:15" ht="14.25" customHeight="1" x14ac:dyDescent="0.35">
      <c r="O705" s="1"/>
    </row>
    <row r="706" spans="15:15" ht="14.25" customHeight="1" x14ac:dyDescent="0.35">
      <c r="O706" s="1"/>
    </row>
    <row r="707" spans="15:15" ht="14.25" customHeight="1" x14ac:dyDescent="0.35">
      <c r="O707" s="1"/>
    </row>
    <row r="708" spans="15:15" ht="14.25" customHeight="1" x14ac:dyDescent="0.35">
      <c r="O708" s="1"/>
    </row>
    <row r="709" spans="15:15" ht="14.25" customHeight="1" x14ac:dyDescent="0.35">
      <c r="O709" s="1"/>
    </row>
    <row r="710" spans="15:15" ht="14.25" customHeight="1" x14ac:dyDescent="0.35">
      <c r="O710" s="1"/>
    </row>
    <row r="711" spans="15:15" ht="14.25" customHeight="1" x14ac:dyDescent="0.35">
      <c r="O711" s="1"/>
    </row>
    <row r="712" spans="15:15" ht="14.25" customHeight="1" x14ac:dyDescent="0.35">
      <c r="O712" s="1"/>
    </row>
    <row r="713" spans="15:15" ht="14.25" customHeight="1" x14ac:dyDescent="0.35">
      <c r="O713" s="1"/>
    </row>
    <row r="714" spans="15:15" ht="14.25" customHeight="1" x14ac:dyDescent="0.35">
      <c r="O714" s="1"/>
    </row>
    <row r="715" spans="15:15" ht="14.25" customHeight="1" x14ac:dyDescent="0.35">
      <c r="O715" s="1"/>
    </row>
    <row r="716" spans="15:15" ht="14.25" customHeight="1" x14ac:dyDescent="0.35">
      <c r="O716" s="1"/>
    </row>
    <row r="717" spans="15:15" ht="14.25" customHeight="1" x14ac:dyDescent="0.35">
      <c r="O717" s="1"/>
    </row>
    <row r="718" spans="15:15" ht="14.25" customHeight="1" x14ac:dyDescent="0.35">
      <c r="O718" s="1"/>
    </row>
    <row r="719" spans="15:15" ht="14.25" customHeight="1" x14ac:dyDescent="0.35">
      <c r="O719" s="1"/>
    </row>
    <row r="720" spans="15:15" ht="14.25" customHeight="1" x14ac:dyDescent="0.35">
      <c r="O720" s="1"/>
    </row>
    <row r="721" spans="15:15" ht="14.25" customHeight="1" x14ac:dyDescent="0.35">
      <c r="O721" s="1"/>
    </row>
    <row r="722" spans="15:15" ht="14.25" customHeight="1" x14ac:dyDescent="0.35">
      <c r="O722" s="1"/>
    </row>
    <row r="723" spans="15:15" ht="14.25" customHeight="1" x14ac:dyDescent="0.35">
      <c r="O723" s="1"/>
    </row>
    <row r="724" spans="15:15" ht="14.25" customHeight="1" x14ac:dyDescent="0.35">
      <c r="O724" s="1"/>
    </row>
    <row r="725" spans="15:15" ht="14.25" customHeight="1" x14ac:dyDescent="0.35">
      <c r="O725" s="1"/>
    </row>
    <row r="726" spans="15:15" ht="14.25" customHeight="1" x14ac:dyDescent="0.35">
      <c r="O726" s="1"/>
    </row>
    <row r="727" spans="15:15" ht="14.25" customHeight="1" x14ac:dyDescent="0.35">
      <c r="O727" s="1"/>
    </row>
    <row r="728" spans="15:15" ht="14.25" customHeight="1" x14ac:dyDescent="0.35">
      <c r="O728" s="1"/>
    </row>
    <row r="729" spans="15:15" ht="14.25" customHeight="1" x14ac:dyDescent="0.35">
      <c r="O729" s="1"/>
    </row>
    <row r="730" spans="15:15" ht="14.25" customHeight="1" x14ac:dyDescent="0.35">
      <c r="O730" s="1"/>
    </row>
    <row r="731" spans="15:15" ht="14.25" customHeight="1" x14ac:dyDescent="0.35">
      <c r="O731" s="1"/>
    </row>
    <row r="732" spans="15:15" ht="14.25" customHeight="1" x14ac:dyDescent="0.35">
      <c r="O732" s="1"/>
    </row>
    <row r="733" spans="15:15" ht="14.25" customHeight="1" x14ac:dyDescent="0.35">
      <c r="O733" s="1"/>
    </row>
    <row r="734" spans="15:15" ht="14.25" customHeight="1" x14ac:dyDescent="0.35">
      <c r="O734" s="1"/>
    </row>
    <row r="735" spans="15:15" ht="14.25" customHeight="1" x14ac:dyDescent="0.35">
      <c r="O735" s="1"/>
    </row>
    <row r="736" spans="15:15" ht="14.25" customHeight="1" x14ac:dyDescent="0.35">
      <c r="O736" s="1"/>
    </row>
    <row r="737" spans="15:15" ht="14.25" customHeight="1" x14ac:dyDescent="0.35">
      <c r="O737" s="1"/>
    </row>
    <row r="738" spans="15:15" ht="14.25" customHeight="1" x14ac:dyDescent="0.35">
      <c r="O738" s="1"/>
    </row>
    <row r="739" spans="15:15" ht="14.25" customHeight="1" x14ac:dyDescent="0.35">
      <c r="O739" s="1"/>
    </row>
    <row r="740" spans="15:15" ht="14.25" customHeight="1" x14ac:dyDescent="0.35">
      <c r="O740" s="1"/>
    </row>
    <row r="741" spans="15:15" ht="14.25" customHeight="1" x14ac:dyDescent="0.35">
      <c r="O741" s="1"/>
    </row>
    <row r="742" spans="15:15" ht="14.25" customHeight="1" x14ac:dyDescent="0.35">
      <c r="O742" s="1"/>
    </row>
    <row r="743" spans="15:15" ht="14.25" customHeight="1" x14ac:dyDescent="0.35">
      <c r="O743" s="1"/>
    </row>
    <row r="744" spans="15:15" ht="14.25" customHeight="1" x14ac:dyDescent="0.35">
      <c r="O744" s="1"/>
    </row>
    <row r="745" spans="15:15" ht="14.25" customHeight="1" x14ac:dyDescent="0.35">
      <c r="O745" s="1"/>
    </row>
    <row r="746" spans="15:15" ht="14.25" customHeight="1" x14ac:dyDescent="0.35">
      <c r="O746" s="1"/>
    </row>
    <row r="747" spans="15:15" ht="14.25" customHeight="1" x14ac:dyDescent="0.35">
      <c r="O747" s="1"/>
    </row>
    <row r="748" spans="15:15" ht="14.25" customHeight="1" x14ac:dyDescent="0.35">
      <c r="O748" s="1"/>
    </row>
    <row r="749" spans="15:15" ht="14.25" customHeight="1" x14ac:dyDescent="0.35">
      <c r="O749" s="1"/>
    </row>
    <row r="750" spans="15:15" ht="14.25" customHeight="1" x14ac:dyDescent="0.35">
      <c r="O750" s="1"/>
    </row>
    <row r="751" spans="15:15" ht="14.25" customHeight="1" x14ac:dyDescent="0.35">
      <c r="O751" s="1"/>
    </row>
    <row r="752" spans="15:15" ht="14.25" customHeight="1" x14ac:dyDescent="0.35">
      <c r="O752" s="1"/>
    </row>
    <row r="753" spans="15:15" ht="14.25" customHeight="1" x14ac:dyDescent="0.35">
      <c r="O753" s="1"/>
    </row>
    <row r="754" spans="15:15" ht="14.25" customHeight="1" x14ac:dyDescent="0.35">
      <c r="O754" s="1"/>
    </row>
    <row r="755" spans="15:15" ht="14.25" customHeight="1" x14ac:dyDescent="0.35">
      <c r="O755" s="1"/>
    </row>
    <row r="756" spans="15:15" ht="14.25" customHeight="1" x14ac:dyDescent="0.35">
      <c r="O756" s="1"/>
    </row>
    <row r="757" spans="15:15" ht="14.25" customHeight="1" x14ac:dyDescent="0.35">
      <c r="O757" s="1"/>
    </row>
    <row r="758" spans="15:15" ht="14.25" customHeight="1" x14ac:dyDescent="0.35">
      <c r="O758" s="1"/>
    </row>
    <row r="759" spans="15:15" ht="14.25" customHeight="1" x14ac:dyDescent="0.35">
      <c r="O759" s="1"/>
    </row>
    <row r="760" spans="15:15" ht="14.25" customHeight="1" x14ac:dyDescent="0.35">
      <c r="O760" s="1"/>
    </row>
    <row r="761" spans="15:15" ht="14.25" customHeight="1" x14ac:dyDescent="0.35">
      <c r="O761" s="1"/>
    </row>
    <row r="762" spans="15:15" ht="14.25" customHeight="1" x14ac:dyDescent="0.35">
      <c r="O762" s="1"/>
    </row>
    <row r="763" spans="15:15" ht="14.25" customHeight="1" x14ac:dyDescent="0.35">
      <c r="O763" s="1"/>
    </row>
    <row r="764" spans="15:15" ht="14.25" customHeight="1" x14ac:dyDescent="0.35">
      <c r="O764" s="1"/>
    </row>
    <row r="765" spans="15:15" ht="14.25" customHeight="1" x14ac:dyDescent="0.35">
      <c r="O765" s="1"/>
    </row>
    <row r="766" spans="15:15" ht="14.25" customHeight="1" x14ac:dyDescent="0.35">
      <c r="O766" s="1"/>
    </row>
    <row r="767" spans="15:15" ht="14.25" customHeight="1" x14ac:dyDescent="0.35">
      <c r="O767" s="1"/>
    </row>
    <row r="768" spans="15:15" ht="14.25" customHeight="1" x14ac:dyDescent="0.35">
      <c r="O768" s="1"/>
    </row>
    <row r="769" spans="15:15" ht="14.25" customHeight="1" x14ac:dyDescent="0.35">
      <c r="O769" s="1"/>
    </row>
    <row r="770" spans="15:15" ht="14.25" customHeight="1" x14ac:dyDescent="0.35">
      <c r="O770" s="1"/>
    </row>
    <row r="771" spans="15:15" ht="14.25" customHeight="1" x14ac:dyDescent="0.35">
      <c r="O771" s="1"/>
    </row>
    <row r="772" spans="15:15" ht="14.25" customHeight="1" x14ac:dyDescent="0.35">
      <c r="O772" s="1"/>
    </row>
    <row r="773" spans="15:15" ht="14.25" customHeight="1" x14ac:dyDescent="0.35">
      <c r="O773" s="1"/>
    </row>
    <row r="774" spans="15:15" ht="14.25" customHeight="1" x14ac:dyDescent="0.35">
      <c r="O774" s="1"/>
    </row>
    <row r="775" spans="15:15" ht="14.25" customHeight="1" x14ac:dyDescent="0.35">
      <c r="O775" s="1"/>
    </row>
    <row r="776" spans="15:15" ht="14.25" customHeight="1" x14ac:dyDescent="0.35">
      <c r="O776" s="1"/>
    </row>
    <row r="777" spans="15:15" ht="14.25" customHeight="1" x14ac:dyDescent="0.35">
      <c r="O777" s="1"/>
    </row>
    <row r="778" spans="15:15" ht="14.25" customHeight="1" x14ac:dyDescent="0.35">
      <c r="O778" s="1"/>
    </row>
    <row r="779" spans="15:15" ht="14.25" customHeight="1" x14ac:dyDescent="0.35">
      <c r="O779" s="1"/>
    </row>
    <row r="780" spans="15:15" ht="14.25" customHeight="1" x14ac:dyDescent="0.35">
      <c r="O780" s="1"/>
    </row>
    <row r="781" spans="15:15" ht="14.25" customHeight="1" x14ac:dyDescent="0.35">
      <c r="O781" s="1"/>
    </row>
    <row r="782" spans="15:15" ht="14.25" customHeight="1" x14ac:dyDescent="0.35">
      <c r="O782" s="1"/>
    </row>
    <row r="783" spans="15:15" ht="14.25" customHeight="1" x14ac:dyDescent="0.35">
      <c r="O783" s="1"/>
    </row>
    <row r="784" spans="15:15" ht="14.25" customHeight="1" x14ac:dyDescent="0.35">
      <c r="O784" s="1"/>
    </row>
    <row r="785" spans="15:15" ht="14.25" customHeight="1" x14ac:dyDescent="0.35">
      <c r="O785" s="1"/>
    </row>
    <row r="786" spans="15:15" ht="14.25" customHeight="1" x14ac:dyDescent="0.35">
      <c r="O786" s="1"/>
    </row>
    <row r="787" spans="15:15" ht="14.25" customHeight="1" x14ac:dyDescent="0.35">
      <c r="O787" s="1"/>
    </row>
    <row r="788" spans="15:15" ht="14.25" customHeight="1" x14ac:dyDescent="0.35">
      <c r="O788" s="1"/>
    </row>
    <row r="789" spans="15:15" ht="14.25" customHeight="1" x14ac:dyDescent="0.35">
      <c r="O789" s="1"/>
    </row>
    <row r="790" spans="15:15" ht="14.25" customHeight="1" x14ac:dyDescent="0.35">
      <c r="O790" s="1"/>
    </row>
    <row r="791" spans="15:15" ht="14.25" customHeight="1" x14ac:dyDescent="0.35">
      <c r="O791" s="1"/>
    </row>
    <row r="792" spans="15:15" ht="14.25" customHeight="1" x14ac:dyDescent="0.35">
      <c r="O792" s="1"/>
    </row>
    <row r="793" spans="15:15" ht="14.25" customHeight="1" x14ac:dyDescent="0.35">
      <c r="O793" s="1"/>
    </row>
    <row r="794" spans="15:15" ht="14.25" customHeight="1" x14ac:dyDescent="0.35">
      <c r="O794" s="1"/>
    </row>
    <row r="795" spans="15:15" ht="14.25" customHeight="1" x14ac:dyDescent="0.35">
      <c r="O795" s="1"/>
    </row>
    <row r="796" spans="15:15" ht="14.25" customHeight="1" x14ac:dyDescent="0.35">
      <c r="O796" s="1"/>
    </row>
    <row r="797" spans="15:15" ht="14.25" customHeight="1" x14ac:dyDescent="0.35">
      <c r="O797" s="1"/>
    </row>
    <row r="798" spans="15:15" ht="14.25" customHeight="1" x14ac:dyDescent="0.35">
      <c r="O798" s="1"/>
    </row>
    <row r="799" spans="15:15" ht="14.25" customHeight="1" x14ac:dyDescent="0.35">
      <c r="O799" s="1"/>
    </row>
    <row r="800" spans="15:15" ht="14.25" customHeight="1" x14ac:dyDescent="0.35">
      <c r="O800" s="1"/>
    </row>
    <row r="801" spans="15:15" ht="14.25" customHeight="1" x14ac:dyDescent="0.35">
      <c r="O801" s="1"/>
    </row>
    <row r="802" spans="15:15" ht="14.25" customHeight="1" x14ac:dyDescent="0.35">
      <c r="O802" s="1"/>
    </row>
    <row r="803" spans="15:15" ht="14.25" customHeight="1" x14ac:dyDescent="0.35">
      <c r="O803" s="1"/>
    </row>
    <row r="804" spans="15:15" ht="14.25" customHeight="1" x14ac:dyDescent="0.35">
      <c r="O804" s="1"/>
    </row>
    <row r="805" spans="15:15" ht="14.25" customHeight="1" x14ac:dyDescent="0.35">
      <c r="O805" s="1"/>
    </row>
    <row r="806" spans="15:15" ht="14.25" customHeight="1" x14ac:dyDescent="0.35">
      <c r="O806" s="1"/>
    </row>
    <row r="807" spans="15:15" ht="14.25" customHeight="1" x14ac:dyDescent="0.35">
      <c r="O807" s="1"/>
    </row>
    <row r="808" spans="15:15" ht="14.25" customHeight="1" x14ac:dyDescent="0.35">
      <c r="O808" s="1"/>
    </row>
    <row r="809" spans="15:15" ht="14.25" customHeight="1" x14ac:dyDescent="0.35">
      <c r="O809" s="1"/>
    </row>
    <row r="810" spans="15:15" ht="14.25" customHeight="1" x14ac:dyDescent="0.35">
      <c r="O810" s="1"/>
    </row>
    <row r="811" spans="15:15" ht="14.25" customHeight="1" x14ac:dyDescent="0.35">
      <c r="O811" s="1"/>
    </row>
    <row r="812" spans="15:15" ht="14.25" customHeight="1" x14ac:dyDescent="0.35">
      <c r="O812" s="1"/>
    </row>
    <row r="813" spans="15:15" ht="14.25" customHeight="1" x14ac:dyDescent="0.35">
      <c r="O813" s="1"/>
    </row>
    <row r="814" spans="15:15" ht="14.25" customHeight="1" x14ac:dyDescent="0.35">
      <c r="O814" s="1"/>
    </row>
    <row r="815" spans="15:15" ht="14.25" customHeight="1" x14ac:dyDescent="0.35">
      <c r="O815" s="1"/>
    </row>
    <row r="816" spans="15:15" ht="14.25" customHeight="1" x14ac:dyDescent="0.35">
      <c r="O816" s="1"/>
    </row>
    <row r="817" spans="15:15" ht="14.25" customHeight="1" x14ac:dyDescent="0.35">
      <c r="O817" s="1"/>
    </row>
    <row r="818" spans="15:15" ht="14.25" customHeight="1" x14ac:dyDescent="0.35">
      <c r="O818" s="1"/>
    </row>
    <row r="819" spans="15:15" ht="14.25" customHeight="1" x14ac:dyDescent="0.35">
      <c r="O819" s="1"/>
    </row>
    <row r="820" spans="15:15" ht="14.25" customHeight="1" x14ac:dyDescent="0.35">
      <c r="O820" s="1"/>
    </row>
    <row r="821" spans="15:15" ht="14.25" customHeight="1" x14ac:dyDescent="0.35">
      <c r="O821" s="1"/>
    </row>
    <row r="822" spans="15:15" ht="14.25" customHeight="1" x14ac:dyDescent="0.35">
      <c r="O822" s="1"/>
    </row>
    <row r="823" spans="15:15" ht="14.25" customHeight="1" x14ac:dyDescent="0.35">
      <c r="O823" s="1"/>
    </row>
    <row r="824" spans="15:15" ht="14.25" customHeight="1" x14ac:dyDescent="0.35">
      <c r="O824" s="1"/>
    </row>
    <row r="825" spans="15:15" ht="14.25" customHeight="1" x14ac:dyDescent="0.35">
      <c r="O825" s="1"/>
    </row>
    <row r="826" spans="15:15" ht="14.25" customHeight="1" x14ac:dyDescent="0.35">
      <c r="O826" s="1"/>
    </row>
    <row r="827" spans="15:15" ht="14.25" customHeight="1" x14ac:dyDescent="0.35">
      <c r="O827" s="1"/>
    </row>
    <row r="828" spans="15:15" ht="14.25" customHeight="1" x14ac:dyDescent="0.35">
      <c r="O828" s="1"/>
    </row>
    <row r="829" spans="15:15" ht="14.25" customHeight="1" x14ac:dyDescent="0.35">
      <c r="O829" s="1"/>
    </row>
    <row r="830" spans="15:15" ht="14.25" customHeight="1" x14ac:dyDescent="0.35">
      <c r="O830" s="1"/>
    </row>
    <row r="831" spans="15:15" ht="14.25" customHeight="1" x14ac:dyDescent="0.35">
      <c r="O831" s="1"/>
    </row>
    <row r="832" spans="15:15" ht="14.25" customHeight="1" x14ac:dyDescent="0.35">
      <c r="O832" s="1"/>
    </row>
    <row r="833" spans="15:15" ht="14.25" customHeight="1" x14ac:dyDescent="0.35">
      <c r="O833" s="1"/>
    </row>
    <row r="834" spans="15:15" ht="14.25" customHeight="1" x14ac:dyDescent="0.35">
      <c r="O834" s="1"/>
    </row>
    <row r="835" spans="15:15" ht="14.25" customHeight="1" x14ac:dyDescent="0.35">
      <c r="O835" s="1"/>
    </row>
    <row r="836" spans="15:15" ht="14.25" customHeight="1" x14ac:dyDescent="0.35">
      <c r="O836" s="1"/>
    </row>
    <row r="837" spans="15:15" ht="14.25" customHeight="1" x14ac:dyDescent="0.35">
      <c r="O837" s="1"/>
    </row>
    <row r="838" spans="15:15" ht="14.25" customHeight="1" x14ac:dyDescent="0.35">
      <c r="O838" s="1"/>
    </row>
    <row r="839" spans="15:15" ht="14.25" customHeight="1" x14ac:dyDescent="0.35">
      <c r="O839" s="1"/>
    </row>
    <row r="840" spans="15:15" ht="14.25" customHeight="1" x14ac:dyDescent="0.35">
      <c r="O840" s="1"/>
    </row>
    <row r="841" spans="15:15" ht="14.25" customHeight="1" x14ac:dyDescent="0.35">
      <c r="O841" s="1"/>
    </row>
    <row r="842" spans="15:15" ht="14.25" customHeight="1" x14ac:dyDescent="0.35">
      <c r="O842" s="1"/>
    </row>
    <row r="843" spans="15:15" ht="14.25" customHeight="1" x14ac:dyDescent="0.35">
      <c r="O843" s="1"/>
    </row>
    <row r="844" spans="15:15" ht="14.25" customHeight="1" x14ac:dyDescent="0.35">
      <c r="O844" s="1"/>
    </row>
    <row r="845" spans="15:15" ht="14.25" customHeight="1" x14ac:dyDescent="0.35">
      <c r="O845" s="1"/>
    </row>
    <row r="846" spans="15:15" ht="14.25" customHeight="1" x14ac:dyDescent="0.35">
      <c r="O846" s="1"/>
    </row>
    <row r="847" spans="15:15" ht="14.25" customHeight="1" x14ac:dyDescent="0.35">
      <c r="O847" s="1"/>
    </row>
    <row r="848" spans="15:15" ht="14.25" customHeight="1" x14ac:dyDescent="0.35">
      <c r="O848" s="1"/>
    </row>
    <row r="849" spans="15:15" ht="14.25" customHeight="1" x14ac:dyDescent="0.35">
      <c r="O849" s="1"/>
    </row>
    <row r="850" spans="15:15" ht="14.25" customHeight="1" x14ac:dyDescent="0.35">
      <c r="O850" s="1"/>
    </row>
    <row r="851" spans="15:15" ht="14.25" customHeight="1" x14ac:dyDescent="0.35">
      <c r="O851" s="1"/>
    </row>
    <row r="852" spans="15:15" ht="14.25" customHeight="1" x14ac:dyDescent="0.35">
      <c r="O852" s="1"/>
    </row>
    <row r="853" spans="15:15" ht="14.25" customHeight="1" x14ac:dyDescent="0.35">
      <c r="O853" s="1"/>
    </row>
    <row r="854" spans="15:15" ht="14.25" customHeight="1" x14ac:dyDescent="0.35">
      <c r="O854" s="1"/>
    </row>
    <row r="855" spans="15:15" ht="14.25" customHeight="1" x14ac:dyDescent="0.35">
      <c r="O855" s="1"/>
    </row>
    <row r="856" spans="15:15" ht="14.25" customHeight="1" x14ac:dyDescent="0.35">
      <c r="O856" s="1"/>
    </row>
    <row r="857" spans="15:15" ht="14.25" customHeight="1" x14ac:dyDescent="0.35">
      <c r="O857" s="1"/>
    </row>
    <row r="858" spans="15:15" ht="14.25" customHeight="1" x14ac:dyDescent="0.35">
      <c r="O858" s="1"/>
    </row>
    <row r="859" spans="15:15" ht="14.25" customHeight="1" x14ac:dyDescent="0.35">
      <c r="O859" s="1"/>
    </row>
    <row r="860" spans="15:15" ht="14.25" customHeight="1" x14ac:dyDescent="0.35">
      <c r="O860" s="1"/>
    </row>
    <row r="861" spans="15:15" ht="14.25" customHeight="1" x14ac:dyDescent="0.35">
      <c r="O861" s="1"/>
    </row>
    <row r="862" spans="15:15" ht="14.25" customHeight="1" x14ac:dyDescent="0.35">
      <c r="O862" s="1"/>
    </row>
    <row r="863" spans="15:15" ht="14.25" customHeight="1" x14ac:dyDescent="0.35">
      <c r="O863" s="1"/>
    </row>
    <row r="864" spans="15:15" ht="14.25" customHeight="1" x14ac:dyDescent="0.35">
      <c r="O864" s="1"/>
    </row>
    <row r="865" spans="15:15" ht="14.25" customHeight="1" x14ac:dyDescent="0.35">
      <c r="O865" s="1"/>
    </row>
    <row r="866" spans="15:15" ht="14.25" customHeight="1" x14ac:dyDescent="0.35">
      <c r="O866" s="1"/>
    </row>
    <row r="867" spans="15:15" ht="14.25" customHeight="1" x14ac:dyDescent="0.35">
      <c r="O867" s="1"/>
    </row>
    <row r="868" spans="15:15" ht="14.25" customHeight="1" x14ac:dyDescent="0.35">
      <c r="O868" s="1"/>
    </row>
    <row r="869" spans="15:15" ht="14.25" customHeight="1" x14ac:dyDescent="0.35">
      <c r="O869" s="1"/>
    </row>
    <row r="870" spans="15:15" ht="14.25" customHeight="1" x14ac:dyDescent="0.35">
      <c r="O870" s="1"/>
    </row>
    <row r="871" spans="15:15" ht="14.25" customHeight="1" x14ac:dyDescent="0.35">
      <c r="O871" s="1"/>
    </row>
    <row r="872" spans="15:15" ht="14.25" customHeight="1" x14ac:dyDescent="0.35">
      <c r="O872" s="1"/>
    </row>
    <row r="873" spans="15:15" ht="14.25" customHeight="1" x14ac:dyDescent="0.35">
      <c r="O873" s="1"/>
    </row>
    <row r="874" spans="15:15" ht="14.25" customHeight="1" x14ac:dyDescent="0.35">
      <c r="O874" s="1"/>
    </row>
    <row r="875" spans="15:15" ht="14.25" customHeight="1" x14ac:dyDescent="0.35">
      <c r="O875" s="1"/>
    </row>
    <row r="876" spans="15:15" ht="14.25" customHeight="1" x14ac:dyDescent="0.35">
      <c r="O876" s="1"/>
    </row>
    <row r="877" spans="15:15" ht="14.25" customHeight="1" x14ac:dyDescent="0.35">
      <c r="O877" s="1"/>
    </row>
    <row r="878" spans="15:15" ht="14.25" customHeight="1" x14ac:dyDescent="0.35">
      <c r="O878" s="1"/>
    </row>
    <row r="879" spans="15:15" ht="14.25" customHeight="1" x14ac:dyDescent="0.35">
      <c r="O879" s="1"/>
    </row>
    <row r="880" spans="15:15" ht="14.25" customHeight="1" x14ac:dyDescent="0.35">
      <c r="O880" s="1"/>
    </row>
    <row r="881" spans="15:15" ht="14.25" customHeight="1" x14ac:dyDescent="0.35">
      <c r="O881" s="1"/>
    </row>
    <row r="882" spans="15:15" ht="14.25" customHeight="1" x14ac:dyDescent="0.35">
      <c r="O882" s="1"/>
    </row>
    <row r="883" spans="15:15" ht="14.25" customHeight="1" x14ac:dyDescent="0.35">
      <c r="O883" s="1"/>
    </row>
    <row r="884" spans="15:15" ht="14.25" customHeight="1" x14ac:dyDescent="0.35">
      <c r="O884" s="1"/>
    </row>
    <row r="885" spans="15:15" ht="14.25" customHeight="1" x14ac:dyDescent="0.35">
      <c r="O885" s="1"/>
    </row>
    <row r="886" spans="15:15" ht="14.25" customHeight="1" x14ac:dyDescent="0.35">
      <c r="O886" s="1"/>
    </row>
    <row r="887" spans="15:15" ht="14.25" customHeight="1" x14ac:dyDescent="0.35">
      <c r="O887" s="1"/>
    </row>
    <row r="888" spans="15:15" ht="14.25" customHeight="1" x14ac:dyDescent="0.35">
      <c r="O888" s="1"/>
    </row>
    <row r="889" spans="15:15" ht="14.25" customHeight="1" x14ac:dyDescent="0.35">
      <c r="O889" s="1"/>
    </row>
    <row r="890" spans="15:15" ht="14.25" customHeight="1" x14ac:dyDescent="0.35">
      <c r="O890" s="1"/>
    </row>
    <row r="891" spans="15:15" ht="14.25" customHeight="1" x14ac:dyDescent="0.35">
      <c r="O891" s="1"/>
    </row>
    <row r="892" spans="15:15" ht="14.25" customHeight="1" x14ac:dyDescent="0.35">
      <c r="O892" s="1"/>
    </row>
    <row r="893" spans="15:15" ht="14.25" customHeight="1" x14ac:dyDescent="0.35">
      <c r="O893" s="1"/>
    </row>
    <row r="894" spans="15:15" ht="14.25" customHeight="1" x14ac:dyDescent="0.35">
      <c r="O894" s="1"/>
    </row>
    <row r="895" spans="15:15" ht="14.25" customHeight="1" x14ac:dyDescent="0.35">
      <c r="O895" s="1"/>
    </row>
    <row r="896" spans="15:15" ht="14.25" customHeight="1" x14ac:dyDescent="0.35">
      <c r="O896" s="1"/>
    </row>
    <row r="897" spans="15:15" ht="14.25" customHeight="1" x14ac:dyDescent="0.35">
      <c r="O897" s="1"/>
    </row>
    <row r="898" spans="15:15" ht="14.25" customHeight="1" x14ac:dyDescent="0.35">
      <c r="O898" s="1"/>
    </row>
    <row r="899" spans="15:15" ht="14.25" customHeight="1" x14ac:dyDescent="0.35">
      <c r="O899" s="1"/>
    </row>
    <row r="900" spans="15:15" ht="14.25" customHeight="1" x14ac:dyDescent="0.35">
      <c r="O900" s="1"/>
    </row>
    <row r="901" spans="15:15" ht="14.25" customHeight="1" x14ac:dyDescent="0.35">
      <c r="O901" s="1"/>
    </row>
    <row r="902" spans="15:15" ht="14.25" customHeight="1" x14ac:dyDescent="0.35">
      <c r="O902" s="1"/>
    </row>
    <row r="903" spans="15:15" ht="14.25" customHeight="1" x14ac:dyDescent="0.35">
      <c r="O903" s="1"/>
    </row>
    <row r="904" spans="15:15" ht="14.25" customHeight="1" x14ac:dyDescent="0.35">
      <c r="O904" s="1"/>
    </row>
    <row r="905" spans="15:15" ht="14.25" customHeight="1" x14ac:dyDescent="0.35">
      <c r="O905" s="1"/>
    </row>
    <row r="906" spans="15:15" ht="14.25" customHeight="1" x14ac:dyDescent="0.35">
      <c r="O906" s="1"/>
    </row>
    <row r="907" spans="15:15" ht="14.25" customHeight="1" x14ac:dyDescent="0.35">
      <c r="O907" s="1"/>
    </row>
    <row r="908" spans="15:15" ht="14.25" customHeight="1" x14ac:dyDescent="0.35">
      <c r="O908" s="1"/>
    </row>
    <row r="909" spans="15:15" ht="14.25" customHeight="1" x14ac:dyDescent="0.35">
      <c r="O909" s="1"/>
    </row>
    <row r="910" spans="15:15" ht="14.25" customHeight="1" x14ac:dyDescent="0.35">
      <c r="O910" s="1"/>
    </row>
    <row r="911" spans="15:15" ht="14.25" customHeight="1" x14ac:dyDescent="0.35">
      <c r="O911" s="1"/>
    </row>
    <row r="912" spans="15:15" ht="14.25" customHeight="1" x14ac:dyDescent="0.35">
      <c r="O912" s="1"/>
    </row>
    <row r="913" spans="15:15" ht="14.25" customHeight="1" x14ac:dyDescent="0.35">
      <c r="O913" s="1"/>
    </row>
    <row r="914" spans="15:15" ht="14.25" customHeight="1" x14ac:dyDescent="0.35">
      <c r="O914" s="1"/>
    </row>
    <row r="915" spans="15:15" ht="14.25" customHeight="1" x14ac:dyDescent="0.35">
      <c r="O915" s="1"/>
    </row>
    <row r="916" spans="15:15" ht="14.25" customHeight="1" x14ac:dyDescent="0.35">
      <c r="O916" s="1"/>
    </row>
    <row r="917" spans="15:15" ht="14.25" customHeight="1" x14ac:dyDescent="0.35">
      <c r="O917" s="1"/>
    </row>
    <row r="918" spans="15:15" ht="14.25" customHeight="1" x14ac:dyDescent="0.35">
      <c r="O918" s="1"/>
    </row>
    <row r="919" spans="15:15" ht="14.25" customHeight="1" x14ac:dyDescent="0.35">
      <c r="O919" s="1"/>
    </row>
    <row r="920" spans="15:15" ht="14.25" customHeight="1" x14ac:dyDescent="0.35">
      <c r="O920" s="1"/>
    </row>
    <row r="921" spans="15:15" ht="14.25" customHeight="1" x14ac:dyDescent="0.35">
      <c r="O921" s="1"/>
    </row>
    <row r="922" spans="15:15" ht="14.25" customHeight="1" x14ac:dyDescent="0.35">
      <c r="O922" s="1"/>
    </row>
    <row r="923" spans="15:15" ht="14.25" customHeight="1" x14ac:dyDescent="0.35">
      <c r="O923" s="1"/>
    </row>
    <row r="924" spans="15:15" ht="14.25" customHeight="1" x14ac:dyDescent="0.35">
      <c r="O924" s="1"/>
    </row>
    <row r="925" spans="15:15" ht="14.25" customHeight="1" x14ac:dyDescent="0.35">
      <c r="O925" s="1"/>
    </row>
    <row r="926" spans="15:15" ht="14.25" customHeight="1" x14ac:dyDescent="0.35">
      <c r="O926" s="1"/>
    </row>
    <row r="927" spans="15:15" ht="14.25" customHeight="1" x14ac:dyDescent="0.35">
      <c r="O927" s="1"/>
    </row>
    <row r="928" spans="15:15" ht="14.25" customHeight="1" x14ac:dyDescent="0.35">
      <c r="O928" s="1"/>
    </row>
    <row r="929" spans="15:15" ht="14.25" customHeight="1" x14ac:dyDescent="0.35">
      <c r="O929" s="1"/>
    </row>
    <row r="930" spans="15:15" ht="14.25" customHeight="1" x14ac:dyDescent="0.35">
      <c r="O930" s="1"/>
    </row>
    <row r="931" spans="15:15" ht="14.25" customHeight="1" x14ac:dyDescent="0.35">
      <c r="O931" s="1"/>
    </row>
    <row r="932" spans="15:15" ht="14.25" customHeight="1" x14ac:dyDescent="0.35">
      <c r="O932" s="1"/>
    </row>
    <row r="933" spans="15:15" ht="14.25" customHeight="1" x14ac:dyDescent="0.35">
      <c r="O933" s="1"/>
    </row>
    <row r="934" spans="15:15" ht="14.25" customHeight="1" x14ac:dyDescent="0.35">
      <c r="O934" s="1"/>
    </row>
    <row r="935" spans="15:15" ht="14.25" customHeight="1" x14ac:dyDescent="0.35">
      <c r="O935" s="1"/>
    </row>
    <row r="936" spans="15:15" ht="14.25" customHeight="1" x14ac:dyDescent="0.35">
      <c r="O936" s="1"/>
    </row>
    <row r="937" spans="15:15" ht="14.25" customHeight="1" x14ac:dyDescent="0.35">
      <c r="O937" s="1"/>
    </row>
    <row r="938" spans="15:15" ht="14.25" customHeight="1" x14ac:dyDescent="0.35">
      <c r="O938" s="1"/>
    </row>
    <row r="939" spans="15:15" ht="14.25" customHeight="1" x14ac:dyDescent="0.35">
      <c r="O939" s="1"/>
    </row>
    <row r="940" spans="15:15" ht="14.25" customHeight="1" x14ac:dyDescent="0.35">
      <c r="O940" s="1"/>
    </row>
    <row r="941" spans="15:15" ht="14.25" customHeight="1" x14ac:dyDescent="0.35">
      <c r="O941" s="1"/>
    </row>
    <row r="942" spans="15:15" ht="14.25" customHeight="1" x14ac:dyDescent="0.35">
      <c r="O942" s="1"/>
    </row>
    <row r="943" spans="15:15" ht="14.25" customHeight="1" x14ac:dyDescent="0.35">
      <c r="O943" s="1"/>
    </row>
    <row r="944" spans="15:15" ht="14.25" customHeight="1" x14ac:dyDescent="0.35">
      <c r="O944" s="1"/>
    </row>
    <row r="945" spans="15:15" ht="14.25" customHeight="1" x14ac:dyDescent="0.35">
      <c r="O945" s="1"/>
    </row>
    <row r="946" spans="15:15" ht="14.25" customHeight="1" x14ac:dyDescent="0.35">
      <c r="O946" s="1"/>
    </row>
    <row r="947" spans="15:15" ht="14.25" customHeight="1" x14ac:dyDescent="0.35">
      <c r="O947" s="1"/>
    </row>
    <row r="948" spans="15:15" ht="14.25" customHeight="1" x14ac:dyDescent="0.35">
      <c r="O948" s="1"/>
    </row>
    <row r="949" spans="15:15" ht="14.25" customHeight="1" x14ac:dyDescent="0.35">
      <c r="O949" s="1"/>
    </row>
    <row r="950" spans="15:15" ht="14.25" customHeight="1" x14ac:dyDescent="0.35">
      <c r="O950" s="1"/>
    </row>
    <row r="951" spans="15:15" ht="14.25" customHeight="1" x14ac:dyDescent="0.35">
      <c r="O951" s="1"/>
    </row>
    <row r="952" spans="15:15" ht="14.25" customHeight="1" x14ac:dyDescent="0.35">
      <c r="O952" s="1"/>
    </row>
    <row r="953" spans="15:15" ht="14.25" customHeight="1" x14ac:dyDescent="0.35">
      <c r="O953" s="1"/>
    </row>
    <row r="954" spans="15:15" ht="14.25" customHeight="1" x14ac:dyDescent="0.35">
      <c r="O954" s="1"/>
    </row>
    <row r="955" spans="15:15" ht="14.25" customHeight="1" x14ac:dyDescent="0.35">
      <c r="O955" s="1"/>
    </row>
    <row r="956" spans="15:15" ht="14.25" customHeight="1" x14ac:dyDescent="0.35">
      <c r="O956" s="1"/>
    </row>
    <row r="957" spans="15:15" ht="14.25" customHeight="1" x14ac:dyDescent="0.35">
      <c r="O957" s="1"/>
    </row>
    <row r="958" spans="15:15" ht="14.25" customHeight="1" x14ac:dyDescent="0.35">
      <c r="O958" s="1"/>
    </row>
    <row r="959" spans="15:15" ht="14.25" customHeight="1" x14ac:dyDescent="0.35">
      <c r="O959" s="1"/>
    </row>
    <row r="960" spans="15:15" ht="14.25" customHeight="1" x14ac:dyDescent="0.35">
      <c r="O960" s="1"/>
    </row>
    <row r="961" spans="15:15" ht="14.25" customHeight="1" x14ac:dyDescent="0.35">
      <c r="O961" s="1"/>
    </row>
    <row r="962" spans="15:15" ht="14.25" customHeight="1" x14ac:dyDescent="0.35">
      <c r="O962" s="1"/>
    </row>
    <row r="963" spans="15:15" ht="14.25" customHeight="1" x14ac:dyDescent="0.35">
      <c r="O963" s="1"/>
    </row>
    <row r="964" spans="15:15" ht="14.25" customHeight="1" x14ac:dyDescent="0.35">
      <c r="O964" s="1"/>
    </row>
    <row r="965" spans="15:15" ht="14.25" customHeight="1" x14ac:dyDescent="0.35">
      <c r="O965" s="1"/>
    </row>
    <row r="966" spans="15:15" ht="14.25" customHeight="1" x14ac:dyDescent="0.35">
      <c r="O966" s="1"/>
    </row>
    <row r="967" spans="15:15" ht="14.25" customHeight="1" x14ac:dyDescent="0.35">
      <c r="O967" s="1"/>
    </row>
    <row r="968" spans="15:15" ht="14.25" customHeight="1" x14ac:dyDescent="0.35">
      <c r="O968" s="1"/>
    </row>
    <row r="969" spans="15:15" ht="14.25" customHeight="1" x14ac:dyDescent="0.35">
      <c r="O969" s="1"/>
    </row>
    <row r="970" spans="15:15" ht="14.25" customHeight="1" x14ac:dyDescent="0.35">
      <c r="O970" s="1"/>
    </row>
    <row r="971" spans="15:15" ht="14.25" customHeight="1" x14ac:dyDescent="0.35">
      <c r="O971" s="1"/>
    </row>
    <row r="972" spans="15:15" ht="14.25" customHeight="1" x14ac:dyDescent="0.35">
      <c r="O972" s="1"/>
    </row>
    <row r="973" spans="15:15" ht="14.25" customHeight="1" x14ac:dyDescent="0.35">
      <c r="O973" s="1"/>
    </row>
    <row r="974" spans="15:15" ht="14.25" customHeight="1" x14ac:dyDescent="0.35">
      <c r="O974" s="1"/>
    </row>
    <row r="975" spans="15:15" ht="14.25" customHeight="1" x14ac:dyDescent="0.35">
      <c r="O975" s="1"/>
    </row>
    <row r="976" spans="15:15" ht="14.25" customHeight="1" x14ac:dyDescent="0.35">
      <c r="O976" s="1"/>
    </row>
    <row r="977" spans="15:15" ht="14.25" customHeight="1" x14ac:dyDescent="0.35">
      <c r="O977" s="1"/>
    </row>
    <row r="978" spans="15:15" ht="14.25" customHeight="1" x14ac:dyDescent="0.35">
      <c r="O978" s="1"/>
    </row>
    <row r="979" spans="15:15" ht="14.25" customHeight="1" x14ac:dyDescent="0.35">
      <c r="O979" s="1"/>
    </row>
    <row r="980" spans="15:15" ht="14.25" customHeight="1" x14ac:dyDescent="0.35">
      <c r="O980" s="1"/>
    </row>
    <row r="981" spans="15:15" ht="14.25" customHeight="1" x14ac:dyDescent="0.35">
      <c r="O981" s="1"/>
    </row>
    <row r="982" spans="15:15" ht="14.25" customHeight="1" x14ac:dyDescent="0.35">
      <c r="O982" s="1"/>
    </row>
    <row r="983" spans="15:15" ht="14.25" customHeight="1" x14ac:dyDescent="0.35">
      <c r="O983" s="1"/>
    </row>
    <row r="984" spans="15:15" ht="14.25" customHeight="1" x14ac:dyDescent="0.35">
      <c r="O984" s="1"/>
    </row>
    <row r="985" spans="15:15" ht="14.25" customHeight="1" x14ac:dyDescent="0.35">
      <c r="O985" s="1"/>
    </row>
    <row r="986" spans="15:15" ht="14.25" customHeight="1" x14ac:dyDescent="0.35">
      <c r="O986" s="1"/>
    </row>
    <row r="987" spans="15:15" ht="14.25" customHeight="1" x14ac:dyDescent="0.35">
      <c r="O987" s="1"/>
    </row>
    <row r="988" spans="15:15" ht="14.25" customHeight="1" x14ac:dyDescent="0.35">
      <c r="O988" s="1"/>
    </row>
    <row r="989" spans="15:15" ht="14.25" customHeight="1" x14ac:dyDescent="0.35">
      <c r="O989" s="1"/>
    </row>
    <row r="990" spans="15:15" ht="14.25" customHeight="1" x14ac:dyDescent="0.35">
      <c r="O990" s="1"/>
    </row>
    <row r="991" spans="15:15" ht="14.25" customHeight="1" x14ac:dyDescent="0.35">
      <c r="O991" s="1"/>
    </row>
    <row r="992" spans="15:15" ht="14.25" customHeight="1" x14ac:dyDescent="0.35">
      <c r="O992" s="1"/>
    </row>
    <row r="993" spans="15:15" ht="14.25" customHeight="1" x14ac:dyDescent="0.35">
      <c r="O993" s="1"/>
    </row>
    <row r="994" spans="15:15" ht="14.25" customHeight="1" x14ac:dyDescent="0.35">
      <c r="O994" s="1"/>
    </row>
    <row r="995" spans="15:15" ht="14.25" customHeight="1" x14ac:dyDescent="0.35">
      <c r="O995" s="1"/>
    </row>
    <row r="996" spans="15:15" ht="14.25" customHeight="1" x14ac:dyDescent="0.35">
      <c r="O996" s="1"/>
    </row>
    <row r="997" spans="15:15" ht="14.25" customHeight="1" x14ac:dyDescent="0.35">
      <c r="O997" s="1"/>
    </row>
    <row r="998" spans="15:15" ht="14.25" customHeight="1" x14ac:dyDescent="0.35">
      <c r="O998" s="1"/>
    </row>
    <row r="999" spans="15:15" ht="14.25" customHeight="1" x14ac:dyDescent="0.35">
      <c r="O999" s="1"/>
    </row>
    <row r="1000" spans="15:15" ht="14.25" customHeight="1" x14ac:dyDescent="0.35">
      <c r="O1000" s="1"/>
    </row>
  </sheetData>
  <mergeCells count="16">
    <mergeCell ref="B7:C7"/>
    <mergeCell ref="B2:C2"/>
    <mergeCell ref="B3:C3"/>
    <mergeCell ref="B4:C4"/>
    <mergeCell ref="B5:C5"/>
    <mergeCell ref="B6:C6"/>
    <mergeCell ref="B21:B23"/>
    <mergeCell ref="B24:B25"/>
    <mergeCell ref="B8:C8"/>
    <mergeCell ref="I8:J8"/>
    <mergeCell ref="B9:C9"/>
    <mergeCell ref="I9:J9"/>
    <mergeCell ref="F11:K11"/>
    <mergeCell ref="B13:B20"/>
    <mergeCell ref="C13:C16"/>
    <mergeCell ref="C17:C19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4AE-C1FF-429F-83A6-0BDD15098882}">
  <sheetPr>
    <tabColor rgb="FFE2EFD9"/>
  </sheetPr>
  <dimension ref="B1:P1000"/>
  <sheetViews>
    <sheetView topLeftCell="B10" zoomScale="70" zoomScaleNormal="70" workbookViewId="0">
      <selection activeCell="E29" sqref="E29"/>
    </sheetView>
  </sheetViews>
  <sheetFormatPr defaultColWidth="14.453125" defaultRowHeight="15" customHeight="1" x14ac:dyDescent="0.35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 thickBot="1" x14ac:dyDescent="0.4">
      <c r="O1" s="1"/>
    </row>
    <row r="2" spans="2:16" ht="14.25" customHeight="1" x14ac:dyDescent="0.45">
      <c r="B2" s="199" t="s">
        <v>0</v>
      </c>
      <c r="C2" s="200"/>
      <c r="D2" s="2" t="s">
        <v>1</v>
      </c>
      <c r="E2" s="3"/>
      <c r="I2" s="4"/>
      <c r="O2" s="1"/>
    </row>
    <row r="3" spans="2:16" ht="14.25" customHeight="1" x14ac:dyDescent="0.45">
      <c r="B3" s="198" t="s">
        <v>2</v>
      </c>
      <c r="C3" s="186"/>
      <c r="D3" s="5">
        <f ca="1">TODAY()</f>
        <v>45853</v>
      </c>
      <c r="I3" s="4"/>
      <c r="O3" s="1"/>
    </row>
    <row r="4" spans="2:16" ht="14.25" customHeight="1" x14ac:dyDescent="0.45">
      <c r="B4" s="198" t="s">
        <v>3</v>
      </c>
      <c r="C4" s="186"/>
      <c r="D4" s="6">
        <v>3</v>
      </c>
      <c r="E4" s="3"/>
      <c r="O4" s="1"/>
    </row>
    <row r="5" spans="2:16" ht="14.25" customHeight="1" x14ac:dyDescent="0.45">
      <c r="B5" s="198" t="s">
        <v>4</v>
      </c>
      <c r="C5" s="186"/>
      <c r="D5" s="7">
        <v>0.1</v>
      </c>
      <c r="E5" s="3"/>
      <c r="O5" s="1"/>
    </row>
    <row r="6" spans="2:16" ht="14.25" customHeight="1" x14ac:dyDescent="0.45">
      <c r="B6" s="198" t="s">
        <v>5</v>
      </c>
      <c r="C6" s="186"/>
      <c r="D6" s="8">
        <v>0.05</v>
      </c>
      <c r="E6" s="3"/>
      <c r="O6" s="1"/>
    </row>
    <row r="7" spans="2:16" ht="14.25" customHeight="1" x14ac:dyDescent="0.45">
      <c r="B7" s="198" t="s">
        <v>6</v>
      </c>
      <c r="C7" s="186"/>
      <c r="D7" s="9">
        <v>40000</v>
      </c>
      <c r="E7" s="3"/>
      <c r="O7" s="10"/>
      <c r="P7" s="11"/>
    </row>
    <row r="8" spans="2:16" ht="14.25" customHeight="1" x14ac:dyDescent="0.45">
      <c r="B8" s="185"/>
      <c r="C8" s="186"/>
      <c r="D8" s="12"/>
      <c r="E8" s="3"/>
      <c r="I8" s="187"/>
      <c r="J8" s="186"/>
      <c r="K8" s="13"/>
      <c r="O8" s="10"/>
      <c r="P8" s="11"/>
    </row>
    <row r="9" spans="2:16" ht="14.25" customHeight="1" thickBot="1" x14ac:dyDescent="0.5">
      <c r="B9" s="188" t="s">
        <v>7</v>
      </c>
      <c r="C9" s="189"/>
      <c r="D9" s="14">
        <v>0</v>
      </c>
      <c r="E9" s="3"/>
      <c r="F9" s="15"/>
      <c r="G9" s="16"/>
      <c r="H9" s="16"/>
      <c r="I9" s="187"/>
      <c r="J9" s="186"/>
      <c r="K9" s="17"/>
      <c r="O9" s="1"/>
      <c r="P9" s="11"/>
    </row>
    <row r="10" spans="2:16" ht="14.25" customHeight="1" thickBot="1" x14ac:dyDescent="0.4">
      <c r="O10" s="1"/>
      <c r="P10" s="11"/>
    </row>
    <row r="11" spans="2:16" ht="43.5" customHeight="1" thickBot="1" x14ac:dyDescent="0.4">
      <c r="B11" s="4"/>
      <c r="C11" s="4"/>
      <c r="D11" s="4"/>
      <c r="E11" s="4"/>
      <c r="F11" s="190" t="s">
        <v>8</v>
      </c>
      <c r="G11" s="191"/>
      <c r="H11" s="191"/>
      <c r="I11" s="191"/>
      <c r="J11" s="191"/>
      <c r="K11" s="192"/>
      <c r="O11" s="1"/>
    </row>
    <row r="12" spans="2:16" ht="49.5" customHeight="1" thickBot="1" x14ac:dyDescent="0.4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 x14ac:dyDescent="0.35">
      <c r="B13" s="193" t="s">
        <v>19</v>
      </c>
      <c r="C13" s="194" t="s">
        <v>20</v>
      </c>
      <c r="D13" s="24" t="s">
        <v>20</v>
      </c>
      <c r="E13" s="25" t="s">
        <v>21</v>
      </c>
      <c r="F13" s="26">
        <f>'Hardware List-RFID'!D23</f>
        <v>837200</v>
      </c>
      <c r="G13" s="27"/>
      <c r="H13" s="28">
        <f>F13</f>
        <v>837200</v>
      </c>
      <c r="I13" s="29">
        <v>0.25</v>
      </c>
      <c r="J13" s="30">
        <f>H13/(1-I13)</f>
        <v>1116266.6666666667</v>
      </c>
      <c r="K13" s="28">
        <f t="shared" ref="K13:K15" si="0">H13/(1-I13)</f>
        <v>1116266.6666666667</v>
      </c>
      <c r="O13" s="1"/>
    </row>
    <row r="14" spans="2:16" ht="18" customHeight="1" x14ac:dyDescent="0.35">
      <c r="B14" s="182"/>
      <c r="C14" s="195"/>
      <c r="D14" s="31" t="s">
        <v>22</v>
      </c>
      <c r="E14" s="32" t="s">
        <v>21</v>
      </c>
      <c r="F14" s="33">
        <v>0</v>
      </c>
      <c r="G14" s="27"/>
      <c r="H14" s="34">
        <v>0</v>
      </c>
      <c r="I14" s="29">
        <v>0.25</v>
      </c>
      <c r="J14" s="30">
        <f t="shared" ref="J14" si="1">H14/(1-I14)</f>
        <v>0</v>
      </c>
      <c r="K14" s="34">
        <f t="shared" si="0"/>
        <v>0</v>
      </c>
      <c r="O14" s="1"/>
    </row>
    <row r="15" spans="2:16" ht="18" customHeight="1" x14ac:dyDescent="0.35">
      <c r="B15" s="182"/>
      <c r="C15" s="195"/>
      <c r="D15" s="35" t="s">
        <v>23</v>
      </c>
      <c r="E15" s="36" t="s">
        <v>21</v>
      </c>
      <c r="F15" s="34">
        <f>(SUM(F13:F14)*$D$6)</f>
        <v>41860</v>
      </c>
      <c r="G15" s="37"/>
      <c r="H15" s="34">
        <f>(SUM(H13:H14)*$D$6)</f>
        <v>41860</v>
      </c>
      <c r="I15" s="29">
        <v>0.25</v>
      </c>
      <c r="J15" s="30">
        <f>H15/(1-I15)</f>
        <v>55813.333333333336</v>
      </c>
      <c r="K15" s="34">
        <f t="shared" si="0"/>
        <v>55813.333333333336</v>
      </c>
      <c r="O15" s="1"/>
    </row>
    <row r="16" spans="2:16" ht="18" customHeight="1" x14ac:dyDescent="0.35">
      <c r="B16" s="182"/>
      <c r="C16" s="196"/>
      <c r="D16" s="38" t="s">
        <v>24</v>
      </c>
      <c r="E16" s="39"/>
      <c r="F16" s="38"/>
      <c r="G16" s="38"/>
      <c r="H16" s="40">
        <f>SUM(H13:H15)</f>
        <v>879060</v>
      </c>
      <c r="I16" s="39"/>
      <c r="J16" s="39"/>
      <c r="K16" s="40">
        <f>SUM(K13:K15)</f>
        <v>1172080</v>
      </c>
      <c r="O16" s="1"/>
    </row>
    <row r="17" spans="2:16" ht="18" customHeight="1" x14ac:dyDescent="0.35">
      <c r="B17" s="182"/>
      <c r="C17" s="197" t="s">
        <v>25</v>
      </c>
      <c r="D17" s="35" t="s">
        <v>26</v>
      </c>
      <c r="E17" s="36" t="s">
        <v>21</v>
      </c>
      <c r="F17" s="41">
        <v>300000</v>
      </c>
      <c r="G17" s="37"/>
      <c r="H17" s="34">
        <f t="shared" ref="H17:H18" si="2">F17</f>
        <v>300000</v>
      </c>
      <c r="I17" s="29">
        <v>0.25</v>
      </c>
      <c r="J17" s="30">
        <f t="shared" ref="J17:J18" si="3">H17/(1-I17)</f>
        <v>400000</v>
      </c>
      <c r="K17" s="34">
        <f t="shared" ref="K17:K18" si="4">H17/(1-I17)</f>
        <v>400000</v>
      </c>
      <c r="O17" s="1"/>
    </row>
    <row r="18" spans="2:16" ht="18" customHeight="1" x14ac:dyDescent="0.35">
      <c r="B18" s="182"/>
      <c r="C18" s="195"/>
      <c r="D18" s="43" t="s">
        <v>7</v>
      </c>
      <c r="E18" s="32" t="s">
        <v>21</v>
      </c>
      <c r="F18" s="44">
        <f>D9</f>
        <v>0</v>
      </c>
      <c r="G18" s="37"/>
      <c r="H18" s="34">
        <f t="shared" si="2"/>
        <v>0</v>
      </c>
      <c r="I18" s="29">
        <v>0.25</v>
      </c>
      <c r="J18" s="30">
        <f t="shared" si="3"/>
        <v>0</v>
      </c>
      <c r="K18" s="34">
        <f t="shared" si="4"/>
        <v>0</v>
      </c>
      <c r="O18" s="1"/>
    </row>
    <row r="19" spans="2:16" ht="18" customHeight="1" x14ac:dyDescent="0.35">
      <c r="B19" s="182"/>
      <c r="C19" s="196"/>
      <c r="D19" s="38" t="s">
        <v>27</v>
      </c>
      <c r="E19" s="39"/>
      <c r="F19" s="38"/>
      <c r="G19" s="38"/>
      <c r="H19" s="40">
        <f>SUM(H17:H18)</f>
        <v>300000</v>
      </c>
      <c r="I19" s="39"/>
      <c r="J19" s="45"/>
      <c r="K19" s="40">
        <f>SUM(K17:K18)</f>
        <v>400000</v>
      </c>
      <c r="O19" s="1"/>
    </row>
    <row r="20" spans="2:16" ht="18" customHeight="1" x14ac:dyDescent="0.35">
      <c r="B20" s="183"/>
      <c r="D20" s="46"/>
      <c r="E20" s="47"/>
      <c r="F20" s="46"/>
      <c r="G20" s="48" t="s">
        <v>28</v>
      </c>
      <c r="H20" s="49">
        <f>H16+H19</f>
        <v>1179060</v>
      </c>
      <c r="I20" s="50"/>
      <c r="J20" s="51"/>
      <c r="K20" s="49">
        <f>K16+K19</f>
        <v>1572080</v>
      </c>
      <c r="N20" s="11"/>
      <c r="O20" s="1"/>
      <c r="P20" s="52"/>
    </row>
    <row r="21" spans="2:16" ht="18" customHeight="1" x14ac:dyDescent="0.35">
      <c r="B21" s="181" t="s">
        <v>29</v>
      </c>
      <c r="C21" s="36" t="s">
        <v>30</v>
      </c>
      <c r="D21" s="43" t="s">
        <v>31</v>
      </c>
      <c r="E21" s="32" t="s">
        <v>32</v>
      </c>
      <c r="F21" s="34">
        <v>0</v>
      </c>
      <c r="G21" s="53">
        <f t="shared" ref="G21:G22" si="5">$D$4</f>
        <v>3</v>
      </c>
      <c r="H21" s="34">
        <f>F21</f>
        <v>0</v>
      </c>
      <c r="I21" s="42">
        <v>0</v>
      </c>
      <c r="J21" s="30">
        <f>H21</f>
        <v>0</v>
      </c>
      <c r="K21" s="34">
        <f>J21</f>
        <v>0</v>
      </c>
      <c r="L21" s="52"/>
      <c r="N21" s="11"/>
      <c r="O21" s="1"/>
      <c r="P21" s="52"/>
    </row>
    <row r="22" spans="2:16" ht="18" customHeight="1" x14ac:dyDescent="0.35">
      <c r="B22" s="182"/>
      <c r="C22" s="36" t="s">
        <v>33</v>
      </c>
      <c r="D22" s="54" t="s">
        <v>34</v>
      </c>
      <c r="E22" s="32" t="s">
        <v>32</v>
      </c>
      <c r="F22" s="34">
        <f>D7*12</f>
        <v>480000</v>
      </c>
      <c r="G22" s="53">
        <f t="shared" si="5"/>
        <v>3</v>
      </c>
      <c r="H22" s="34">
        <f>F22*G22</f>
        <v>1440000</v>
      </c>
      <c r="I22" s="42"/>
      <c r="J22" s="55">
        <v>0</v>
      </c>
      <c r="K22" s="34">
        <f>H22</f>
        <v>1440000</v>
      </c>
      <c r="N22" s="11"/>
      <c r="O22" s="1"/>
      <c r="P22" s="52"/>
    </row>
    <row r="23" spans="2:16" ht="18" customHeight="1" x14ac:dyDescent="0.35">
      <c r="B23" s="183"/>
      <c r="D23" s="46"/>
      <c r="E23" s="47"/>
      <c r="F23" s="56"/>
      <c r="G23" s="48" t="s">
        <v>35</v>
      </c>
      <c r="H23" s="49">
        <f>SUM(H21:H22)</f>
        <v>1440000</v>
      </c>
      <c r="I23" s="50"/>
      <c r="J23" s="51"/>
      <c r="K23" s="136">
        <f>SUM(K21:K22)</f>
        <v>1440000</v>
      </c>
      <c r="L23" s="52"/>
      <c r="O23" s="1"/>
    </row>
    <row r="24" spans="2:16" ht="18" customHeight="1" x14ac:dyDescent="0.35">
      <c r="B24" s="184" t="s">
        <v>36</v>
      </c>
      <c r="C24" s="36" t="s">
        <v>36</v>
      </c>
      <c r="D24" s="54" t="s">
        <v>37</v>
      </c>
      <c r="E24" s="32" t="s">
        <v>32</v>
      </c>
      <c r="F24" s="34">
        <f>('Hardware List-RFID'!D21+'Hardware List-RFID'!D22)*D5</f>
        <v>67000</v>
      </c>
      <c r="G24" s="53">
        <f>G21-1</f>
        <v>2</v>
      </c>
      <c r="H24" s="34">
        <f>F24*G24</f>
        <v>134000</v>
      </c>
      <c r="I24" s="29">
        <v>0.25</v>
      </c>
      <c r="J24" s="30">
        <f>H24/(1-I24)</f>
        <v>178666.66666666666</v>
      </c>
      <c r="K24" s="34">
        <f>J24</f>
        <v>178666.66666666666</v>
      </c>
      <c r="N24" s="11"/>
      <c r="O24" s="1"/>
      <c r="P24" s="52"/>
    </row>
    <row r="25" spans="2:16" ht="18" customHeight="1" x14ac:dyDescent="0.35">
      <c r="B25" s="183"/>
      <c r="C25" s="57" t="s">
        <v>38</v>
      </c>
      <c r="D25" s="46"/>
      <c r="E25" s="46"/>
      <c r="F25" s="46"/>
      <c r="G25" s="48" t="s">
        <v>38</v>
      </c>
      <c r="H25" s="49">
        <f>SUM(H24)</f>
        <v>134000</v>
      </c>
      <c r="I25" s="50"/>
      <c r="J25" s="51"/>
      <c r="K25" s="49">
        <f>K24</f>
        <v>178666.66666666666</v>
      </c>
      <c r="O25" s="1"/>
      <c r="P25" s="52"/>
    </row>
    <row r="26" spans="2:16" ht="38.25" customHeight="1" thickBot="1" x14ac:dyDescent="0.4">
      <c r="B26" s="58"/>
      <c r="C26" s="59"/>
      <c r="D26" s="59"/>
      <c r="E26" s="59"/>
      <c r="F26" s="59"/>
      <c r="G26" s="60" t="s">
        <v>142</v>
      </c>
      <c r="H26" s="61">
        <f>H20+H23+H25</f>
        <v>2753060</v>
      </c>
      <c r="I26" s="62">
        <f>1-H26/K26</f>
        <v>0.13717374407662153</v>
      </c>
      <c r="J26" s="63"/>
      <c r="K26" s="61">
        <f>K20+K23+K25</f>
        <v>3190746.6666666665</v>
      </c>
      <c r="O26" s="1"/>
    </row>
    <row r="27" spans="2:16" ht="14.25" customHeight="1" x14ac:dyDescent="0.35">
      <c r="H27" s="52"/>
      <c r="O27" s="1"/>
    </row>
    <row r="28" spans="2:16" ht="14.25" customHeight="1" x14ac:dyDescent="0.35">
      <c r="L28" s="11"/>
      <c r="O28" s="1"/>
    </row>
    <row r="29" spans="2:16" ht="14.25" customHeight="1" x14ac:dyDescent="0.35">
      <c r="D29" s="52"/>
      <c r="L29" s="64"/>
      <c r="M29" s="64"/>
      <c r="O29" s="1"/>
    </row>
    <row r="30" spans="2:16" ht="14.25" customHeight="1" x14ac:dyDescent="0.35">
      <c r="L30" s="64"/>
      <c r="M30" s="64"/>
      <c r="O30" s="1"/>
    </row>
    <row r="31" spans="2:16" ht="14.25" customHeight="1" x14ac:dyDescent="0.35">
      <c r="O31" s="1"/>
    </row>
    <row r="32" spans="2:16" ht="14.25" customHeight="1" x14ac:dyDescent="0.35">
      <c r="H32" s="52"/>
      <c r="O32" s="1"/>
    </row>
    <row r="33" spans="15:15" ht="14.25" customHeight="1" x14ac:dyDescent="0.35">
      <c r="O33" s="1"/>
    </row>
    <row r="34" spans="15:15" ht="14.25" customHeight="1" x14ac:dyDescent="0.35">
      <c r="O34" s="1"/>
    </row>
    <row r="35" spans="15:15" ht="14.25" customHeight="1" x14ac:dyDescent="0.35">
      <c r="O35" s="1"/>
    </row>
    <row r="36" spans="15:15" ht="14.25" customHeight="1" x14ac:dyDescent="0.35">
      <c r="O36" s="1"/>
    </row>
    <row r="37" spans="15:15" ht="14.25" customHeight="1" x14ac:dyDescent="0.35">
      <c r="O37" s="1"/>
    </row>
    <row r="38" spans="15:15" ht="14.25" customHeight="1" x14ac:dyDescent="0.35">
      <c r="O38" s="1"/>
    </row>
    <row r="39" spans="15:15" ht="14.25" customHeight="1" x14ac:dyDescent="0.35">
      <c r="O39" s="1"/>
    </row>
    <row r="40" spans="15:15" ht="14.25" customHeight="1" x14ac:dyDescent="0.35">
      <c r="O40" s="1"/>
    </row>
    <row r="41" spans="15:15" ht="14.25" customHeight="1" x14ac:dyDescent="0.35">
      <c r="O41" s="1"/>
    </row>
    <row r="42" spans="15:15" ht="14.25" customHeight="1" x14ac:dyDescent="0.35">
      <c r="O42" s="1"/>
    </row>
    <row r="43" spans="15:15" ht="14.25" customHeight="1" x14ac:dyDescent="0.35">
      <c r="O43" s="1"/>
    </row>
    <row r="44" spans="15:15" ht="14.25" customHeight="1" x14ac:dyDescent="0.35">
      <c r="O44" s="1"/>
    </row>
    <row r="45" spans="15:15" ht="14.25" customHeight="1" x14ac:dyDescent="0.35">
      <c r="O45" s="1"/>
    </row>
    <row r="46" spans="15:15" ht="14.25" customHeight="1" x14ac:dyDescent="0.35">
      <c r="O46" s="1"/>
    </row>
    <row r="47" spans="15:15" ht="14.25" customHeight="1" x14ac:dyDescent="0.35">
      <c r="O47" s="1"/>
    </row>
    <row r="48" spans="15:15" ht="14.25" customHeight="1" x14ac:dyDescent="0.35">
      <c r="O48" s="1"/>
    </row>
    <row r="49" spans="15:15" ht="14.25" customHeight="1" x14ac:dyDescent="0.35">
      <c r="O49" s="1"/>
    </row>
    <row r="50" spans="15:15" ht="14.25" customHeight="1" x14ac:dyDescent="0.35">
      <c r="O50" s="1"/>
    </row>
    <row r="51" spans="15:15" ht="14.25" customHeight="1" x14ac:dyDescent="0.35">
      <c r="O51" s="1"/>
    </row>
    <row r="52" spans="15:15" ht="14.25" customHeight="1" x14ac:dyDescent="0.35">
      <c r="O52" s="1"/>
    </row>
    <row r="53" spans="15:15" ht="14.25" customHeight="1" x14ac:dyDescent="0.35">
      <c r="O53" s="1"/>
    </row>
    <row r="54" spans="15:15" ht="14.25" customHeight="1" x14ac:dyDescent="0.35">
      <c r="O54" s="1"/>
    </row>
    <row r="55" spans="15:15" ht="14.25" customHeight="1" x14ac:dyDescent="0.35">
      <c r="O55" s="1"/>
    </row>
    <row r="56" spans="15:15" ht="14.25" customHeight="1" x14ac:dyDescent="0.35">
      <c r="O56" s="1"/>
    </row>
    <row r="57" spans="15:15" ht="14.25" customHeight="1" x14ac:dyDescent="0.35">
      <c r="O57" s="1"/>
    </row>
    <row r="58" spans="15:15" ht="14.25" customHeight="1" x14ac:dyDescent="0.35">
      <c r="O58" s="1"/>
    </row>
    <row r="59" spans="15:15" ht="14.25" customHeight="1" x14ac:dyDescent="0.35">
      <c r="O59" s="1"/>
    </row>
    <row r="60" spans="15:15" ht="14.25" customHeight="1" x14ac:dyDescent="0.35">
      <c r="O60" s="1"/>
    </row>
    <row r="61" spans="15:15" ht="14.25" customHeight="1" x14ac:dyDescent="0.35">
      <c r="O61" s="1"/>
    </row>
    <row r="62" spans="15:15" ht="14.25" customHeight="1" x14ac:dyDescent="0.35">
      <c r="O62" s="1"/>
    </row>
    <row r="63" spans="15:15" ht="14.25" customHeight="1" x14ac:dyDescent="0.35">
      <c r="O63" s="1"/>
    </row>
    <row r="64" spans="15:15" ht="14.25" customHeight="1" x14ac:dyDescent="0.35">
      <c r="O64" s="1"/>
    </row>
    <row r="65" spans="15:15" ht="14.25" customHeight="1" x14ac:dyDescent="0.35">
      <c r="O65" s="1"/>
    </row>
    <row r="66" spans="15:15" ht="14.25" customHeight="1" x14ac:dyDescent="0.35">
      <c r="O66" s="1"/>
    </row>
    <row r="67" spans="15:15" ht="14.25" customHeight="1" x14ac:dyDescent="0.35">
      <c r="O67" s="1"/>
    </row>
    <row r="68" spans="15:15" ht="14.25" customHeight="1" x14ac:dyDescent="0.35">
      <c r="O68" s="1"/>
    </row>
    <row r="69" spans="15:15" ht="14.25" customHeight="1" x14ac:dyDescent="0.35">
      <c r="O69" s="1"/>
    </row>
    <row r="70" spans="15:15" ht="14.25" customHeight="1" x14ac:dyDescent="0.35">
      <c r="O70" s="1"/>
    </row>
    <row r="71" spans="15:15" ht="14.25" customHeight="1" x14ac:dyDescent="0.35">
      <c r="O71" s="1"/>
    </row>
    <row r="72" spans="15:15" ht="14.25" customHeight="1" x14ac:dyDescent="0.35">
      <c r="O72" s="1"/>
    </row>
    <row r="73" spans="15:15" ht="14.25" customHeight="1" x14ac:dyDescent="0.35">
      <c r="O73" s="1"/>
    </row>
    <row r="74" spans="15:15" ht="14.25" customHeight="1" x14ac:dyDescent="0.35">
      <c r="O74" s="1"/>
    </row>
    <row r="75" spans="15:15" ht="14.25" customHeight="1" x14ac:dyDescent="0.35">
      <c r="O75" s="1"/>
    </row>
    <row r="76" spans="15:15" ht="14.25" customHeight="1" x14ac:dyDescent="0.35">
      <c r="O76" s="1"/>
    </row>
    <row r="77" spans="15:15" ht="14.25" customHeight="1" x14ac:dyDescent="0.35">
      <c r="O77" s="1"/>
    </row>
    <row r="78" spans="15:15" ht="14.25" customHeight="1" x14ac:dyDescent="0.35">
      <c r="O78" s="1"/>
    </row>
    <row r="79" spans="15:15" ht="14.25" customHeight="1" x14ac:dyDescent="0.35">
      <c r="O79" s="1"/>
    </row>
    <row r="80" spans="15:15" ht="14.25" customHeight="1" x14ac:dyDescent="0.35">
      <c r="O80" s="1"/>
    </row>
    <row r="81" spans="15:15" ht="14.25" customHeight="1" x14ac:dyDescent="0.35">
      <c r="O81" s="1"/>
    </row>
    <row r="82" spans="15:15" ht="14.25" customHeight="1" x14ac:dyDescent="0.35">
      <c r="O82" s="1"/>
    </row>
    <row r="83" spans="15:15" ht="14.25" customHeight="1" x14ac:dyDescent="0.35">
      <c r="O83" s="1"/>
    </row>
    <row r="84" spans="15:15" ht="14.25" customHeight="1" x14ac:dyDescent="0.35">
      <c r="O84" s="1"/>
    </row>
    <row r="85" spans="15:15" ht="14.25" customHeight="1" x14ac:dyDescent="0.35">
      <c r="O85" s="1"/>
    </row>
    <row r="86" spans="15:15" ht="14.25" customHeight="1" x14ac:dyDescent="0.35">
      <c r="O86" s="1"/>
    </row>
    <row r="87" spans="15:15" ht="14.25" customHeight="1" x14ac:dyDescent="0.35">
      <c r="O87" s="1"/>
    </row>
    <row r="88" spans="15:15" ht="14.25" customHeight="1" x14ac:dyDescent="0.35">
      <c r="O88" s="1"/>
    </row>
    <row r="89" spans="15:15" ht="14.25" customHeight="1" x14ac:dyDescent="0.35">
      <c r="O89" s="1"/>
    </row>
    <row r="90" spans="15:15" ht="14.25" customHeight="1" x14ac:dyDescent="0.35">
      <c r="O90" s="1"/>
    </row>
    <row r="91" spans="15:15" ht="14.25" customHeight="1" x14ac:dyDescent="0.35">
      <c r="O91" s="1"/>
    </row>
    <row r="92" spans="15:15" ht="14.25" customHeight="1" x14ac:dyDescent="0.35">
      <c r="O92" s="1"/>
    </row>
    <row r="93" spans="15:15" ht="14.25" customHeight="1" x14ac:dyDescent="0.35">
      <c r="O93" s="1"/>
    </row>
    <row r="94" spans="15:15" ht="14.25" customHeight="1" x14ac:dyDescent="0.35">
      <c r="O94" s="1"/>
    </row>
    <row r="95" spans="15:15" ht="14.25" customHeight="1" x14ac:dyDescent="0.35">
      <c r="O95" s="1"/>
    </row>
    <row r="96" spans="15:15" ht="14.25" customHeight="1" x14ac:dyDescent="0.35">
      <c r="O96" s="1"/>
    </row>
    <row r="97" spans="15:15" ht="14.25" customHeight="1" x14ac:dyDescent="0.35">
      <c r="O97" s="1"/>
    </row>
    <row r="98" spans="15:15" ht="14.25" customHeight="1" x14ac:dyDescent="0.35">
      <c r="O98" s="1"/>
    </row>
    <row r="99" spans="15:15" ht="14.25" customHeight="1" x14ac:dyDescent="0.35">
      <c r="O99" s="1"/>
    </row>
    <row r="100" spans="15:15" ht="14.25" customHeight="1" x14ac:dyDescent="0.35">
      <c r="O100" s="1"/>
    </row>
    <row r="101" spans="15:15" ht="14.25" customHeight="1" x14ac:dyDescent="0.35">
      <c r="O101" s="1"/>
    </row>
    <row r="102" spans="15:15" ht="14.25" customHeight="1" x14ac:dyDescent="0.35">
      <c r="O102" s="1"/>
    </row>
    <row r="103" spans="15:15" ht="14.25" customHeight="1" x14ac:dyDescent="0.35">
      <c r="O103" s="1"/>
    </row>
    <row r="104" spans="15:15" ht="14.25" customHeight="1" x14ac:dyDescent="0.35">
      <c r="O104" s="1"/>
    </row>
    <row r="105" spans="15:15" ht="14.25" customHeight="1" x14ac:dyDescent="0.35">
      <c r="O105" s="1"/>
    </row>
    <row r="106" spans="15:15" ht="14.25" customHeight="1" x14ac:dyDescent="0.35">
      <c r="O106" s="1"/>
    </row>
    <row r="107" spans="15:15" ht="14.25" customHeight="1" x14ac:dyDescent="0.35">
      <c r="O107" s="1"/>
    </row>
    <row r="108" spans="15:15" ht="14.25" customHeight="1" x14ac:dyDescent="0.35">
      <c r="O108" s="1"/>
    </row>
    <row r="109" spans="15:15" ht="14.25" customHeight="1" x14ac:dyDescent="0.35">
      <c r="O109" s="1"/>
    </row>
    <row r="110" spans="15:15" ht="14.25" customHeight="1" x14ac:dyDescent="0.35">
      <c r="O110" s="1"/>
    </row>
    <row r="111" spans="15:15" ht="14.25" customHeight="1" x14ac:dyDescent="0.35">
      <c r="O111" s="1"/>
    </row>
    <row r="112" spans="15:15" ht="14.25" customHeight="1" x14ac:dyDescent="0.35">
      <c r="O112" s="1"/>
    </row>
    <row r="113" spans="15:15" ht="14.25" customHeight="1" x14ac:dyDescent="0.35">
      <c r="O113" s="1"/>
    </row>
    <row r="114" spans="15:15" ht="14.25" customHeight="1" x14ac:dyDescent="0.35">
      <c r="O114" s="1"/>
    </row>
    <row r="115" spans="15:15" ht="14.25" customHeight="1" x14ac:dyDescent="0.35">
      <c r="O115" s="1"/>
    </row>
    <row r="116" spans="15:15" ht="14.25" customHeight="1" x14ac:dyDescent="0.35">
      <c r="O116" s="1"/>
    </row>
    <row r="117" spans="15:15" ht="14.25" customHeight="1" x14ac:dyDescent="0.35">
      <c r="O117" s="1"/>
    </row>
    <row r="118" spans="15:15" ht="14.25" customHeight="1" x14ac:dyDescent="0.35">
      <c r="O118" s="1"/>
    </row>
    <row r="119" spans="15:15" ht="14.25" customHeight="1" x14ac:dyDescent="0.35">
      <c r="O119" s="1"/>
    </row>
    <row r="120" spans="15:15" ht="14.25" customHeight="1" x14ac:dyDescent="0.35">
      <c r="O120" s="1"/>
    </row>
    <row r="121" spans="15:15" ht="14.25" customHeight="1" x14ac:dyDescent="0.35">
      <c r="O121" s="1"/>
    </row>
    <row r="122" spans="15:15" ht="14.25" customHeight="1" x14ac:dyDescent="0.35">
      <c r="O122" s="1"/>
    </row>
    <row r="123" spans="15:15" ht="14.25" customHeight="1" x14ac:dyDescent="0.35">
      <c r="O123" s="1"/>
    </row>
    <row r="124" spans="15:15" ht="14.25" customHeight="1" x14ac:dyDescent="0.35">
      <c r="O124" s="1"/>
    </row>
    <row r="125" spans="15:15" ht="14.25" customHeight="1" x14ac:dyDescent="0.35">
      <c r="O125" s="1"/>
    </row>
    <row r="126" spans="15:15" ht="14.25" customHeight="1" x14ac:dyDescent="0.35">
      <c r="O126" s="1"/>
    </row>
    <row r="127" spans="15:15" ht="14.25" customHeight="1" x14ac:dyDescent="0.35">
      <c r="O127" s="1"/>
    </row>
    <row r="128" spans="15:15" ht="14.25" customHeight="1" x14ac:dyDescent="0.35">
      <c r="O128" s="1"/>
    </row>
    <row r="129" spans="15:15" ht="14.25" customHeight="1" x14ac:dyDescent="0.35">
      <c r="O129" s="1"/>
    </row>
    <row r="130" spans="15:15" ht="14.25" customHeight="1" x14ac:dyDescent="0.35">
      <c r="O130" s="1"/>
    </row>
    <row r="131" spans="15:15" ht="14.25" customHeight="1" x14ac:dyDescent="0.35">
      <c r="O131" s="1"/>
    </row>
    <row r="132" spans="15:15" ht="14.25" customHeight="1" x14ac:dyDescent="0.35">
      <c r="O132" s="1"/>
    </row>
    <row r="133" spans="15:15" ht="14.25" customHeight="1" x14ac:dyDescent="0.35">
      <c r="O133" s="1"/>
    </row>
    <row r="134" spans="15:15" ht="14.25" customHeight="1" x14ac:dyDescent="0.35">
      <c r="O134" s="1"/>
    </row>
    <row r="135" spans="15:15" ht="14.25" customHeight="1" x14ac:dyDescent="0.35">
      <c r="O135" s="1"/>
    </row>
    <row r="136" spans="15:15" ht="14.25" customHeight="1" x14ac:dyDescent="0.35">
      <c r="O136" s="1"/>
    </row>
    <row r="137" spans="15:15" ht="14.25" customHeight="1" x14ac:dyDescent="0.35">
      <c r="O137" s="1"/>
    </row>
    <row r="138" spans="15:15" ht="14.25" customHeight="1" x14ac:dyDescent="0.35">
      <c r="O138" s="1"/>
    </row>
    <row r="139" spans="15:15" ht="14.25" customHeight="1" x14ac:dyDescent="0.35">
      <c r="O139" s="1"/>
    </row>
    <row r="140" spans="15:15" ht="14.25" customHeight="1" x14ac:dyDescent="0.35">
      <c r="O140" s="1"/>
    </row>
    <row r="141" spans="15:15" ht="14.25" customHeight="1" x14ac:dyDescent="0.35">
      <c r="O141" s="1"/>
    </row>
    <row r="142" spans="15:15" ht="14.25" customHeight="1" x14ac:dyDescent="0.35">
      <c r="O142" s="1"/>
    </row>
    <row r="143" spans="15:15" ht="14.25" customHeight="1" x14ac:dyDescent="0.35">
      <c r="O143" s="1"/>
    </row>
    <row r="144" spans="15:15" ht="14.25" customHeight="1" x14ac:dyDescent="0.35">
      <c r="O144" s="1"/>
    </row>
    <row r="145" spans="15:15" ht="14.25" customHeight="1" x14ac:dyDescent="0.35">
      <c r="O145" s="1"/>
    </row>
    <row r="146" spans="15:15" ht="14.25" customHeight="1" x14ac:dyDescent="0.35">
      <c r="O146" s="1"/>
    </row>
    <row r="147" spans="15:15" ht="14.25" customHeight="1" x14ac:dyDescent="0.35">
      <c r="O147" s="1"/>
    </row>
    <row r="148" spans="15:15" ht="14.25" customHeight="1" x14ac:dyDescent="0.35">
      <c r="O148" s="1"/>
    </row>
    <row r="149" spans="15:15" ht="14.25" customHeight="1" x14ac:dyDescent="0.35">
      <c r="O149" s="1"/>
    </row>
    <row r="150" spans="15:15" ht="14.25" customHeight="1" x14ac:dyDescent="0.35">
      <c r="O150" s="1"/>
    </row>
    <row r="151" spans="15:15" ht="14.25" customHeight="1" x14ac:dyDescent="0.35">
      <c r="O151" s="1"/>
    </row>
    <row r="152" spans="15:15" ht="14.25" customHeight="1" x14ac:dyDescent="0.35">
      <c r="O152" s="1"/>
    </row>
    <row r="153" spans="15:15" ht="14.25" customHeight="1" x14ac:dyDescent="0.35">
      <c r="O153" s="1"/>
    </row>
    <row r="154" spans="15:15" ht="14.25" customHeight="1" x14ac:dyDescent="0.35">
      <c r="O154" s="1"/>
    </row>
    <row r="155" spans="15:15" ht="14.25" customHeight="1" x14ac:dyDescent="0.35">
      <c r="O155" s="1"/>
    </row>
    <row r="156" spans="15:15" ht="14.25" customHeight="1" x14ac:dyDescent="0.35">
      <c r="O156" s="1"/>
    </row>
    <row r="157" spans="15:15" ht="14.25" customHeight="1" x14ac:dyDescent="0.35">
      <c r="O157" s="1"/>
    </row>
    <row r="158" spans="15:15" ht="14.25" customHeight="1" x14ac:dyDescent="0.35">
      <c r="O158" s="1"/>
    </row>
    <row r="159" spans="15:15" ht="14.25" customHeight="1" x14ac:dyDescent="0.35">
      <c r="O159" s="1"/>
    </row>
    <row r="160" spans="15:15" ht="14.25" customHeight="1" x14ac:dyDescent="0.35">
      <c r="O160" s="1"/>
    </row>
    <row r="161" spans="15:15" ht="14.25" customHeight="1" x14ac:dyDescent="0.35">
      <c r="O161" s="1"/>
    </row>
    <row r="162" spans="15:15" ht="14.25" customHeight="1" x14ac:dyDescent="0.35">
      <c r="O162" s="1"/>
    </row>
    <row r="163" spans="15:15" ht="14.25" customHeight="1" x14ac:dyDescent="0.35">
      <c r="O163" s="1"/>
    </row>
    <row r="164" spans="15:15" ht="14.25" customHeight="1" x14ac:dyDescent="0.35">
      <c r="O164" s="1"/>
    </row>
    <row r="165" spans="15:15" ht="14.25" customHeight="1" x14ac:dyDescent="0.35">
      <c r="O165" s="1"/>
    </row>
    <row r="166" spans="15:15" ht="14.25" customHeight="1" x14ac:dyDescent="0.35">
      <c r="O166" s="1"/>
    </row>
    <row r="167" spans="15:15" ht="14.25" customHeight="1" x14ac:dyDescent="0.35">
      <c r="O167" s="1"/>
    </row>
    <row r="168" spans="15:15" ht="14.25" customHeight="1" x14ac:dyDescent="0.35">
      <c r="O168" s="1"/>
    </row>
    <row r="169" spans="15:15" ht="14.25" customHeight="1" x14ac:dyDescent="0.35">
      <c r="O169" s="1"/>
    </row>
    <row r="170" spans="15:15" ht="14.25" customHeight="1" x14ac:dyDescent="0.35">
      <c r="O170" s="1"/>
    </row>
    <row r="171" spans="15:15" ht="14.25" customHeight="1" x14ac:dyDescent="0.35">
      <c r="O171" s="1"/>
    </row>
    <row r="172" spans="15:15" ht="14.25" customHeight="1" x14ac:dyDescent="0.35">
      <c r="O172" s="1"/>
    </row>
    <row r="173" spans="15:15" ht="14.25" customHeight="1" x14ac:dyDescent="0.35">
      <c r="O173" s="1"/>
    </row>
    <row r="174" spans="15:15" ht="14.25" customHeight="1" x14ac:dyDescent="0.35">
      <c r="O174" s="1"/>
    </row>
    <row r="175" spans="15:15" ht="14.25" customHeight="1" x14ac:dyDescent="0.35">
      <c r="O175" s="1"/>
    </row>
    <row r="176" spans="15:15" ht="14.25" customHeight="1" x14ac:dyDescent="0.35">
      <c r="O176" s="1"/>
    </row>
    <row r="177" spans="15:15" ht="14.25" customHeight="1" x14ac:dyDescent="0.35">
      <c r="O177" s="1"/>
    </row>
    <row r="178" spans="15:15" ht="14.25" customHeight="1" x14ac:dyDescent="0.35">
      <c r="O178" s="1"/>
    </row>
    <row r="179" spans="15:15" ht="14.25" customHeight="1" x14ac:dyDescent="0.35">
      <c r="O179" s="1"/>
    </row>
    <row r="180" spans="15:15" ht="14.25" customHeight="1" x14ac:dyDescent="0.35">
      <c r="O180" s="1"/>
    </row>
    <row r="181" spans="15:15" ht="14.25" customHeight="1" x14ac:dyDescent="0.35">
      <c r="O181" s="1"/>
    </row>
    <row r="182" spans="15:15" ht="14.25" customHeight="1" x14ac:dyDescent="0.35">
      <c r="O182" s="1"/>
    </row>
    <row r="183" spans="15:15" ht="14.25" customHeight="1" x14ac:dyDescent="0.35">
      <c r="O183" s="1"/>
    </row>
    <row r="184" spans="15:15" ht="14.25" customHeight="1" x14ac:dyDescent="0.35">
      <c r="O184" s="1"/>
    </row>
    <row r="185" spans="15:15" ht="14.25" customHeight="1" x14ac:dyDescent="0.35">
      <c r="O185" s="1"/>
    </row>
    <row r="186" spans="15:15" ht="14.25" customHeight="1" x14ac:dyDescent="0.35">
      <c r="O186" s="1"/>
    </row>
    <row r="187" spans="15:15" ht="14.25" customHeight="1" x14ac:dyDescent="0.35">
      <c r="O187" s="1"/>
    </row>
    <row r="188" spans="15:15" ht="14.25" customHeight="1" x14ac:dyDescent="0.35">
      <c r="O188" s="1"/>
    </row>
    <row r="189" spans="15:15" ht="14.25" customHeight="1" x14ac:dyDescent="0.35">
      <c r="O189" s="1"/>
    </row>
    <row r="190" spans="15:15" ht="14.25" customHeight="1" x14ac:dyDescent="0.35">
      <c r="O190" s="1"/>
    </row>
    <row r="191" spans="15:15" ht="14.25" customHeight="1" x14ac:dyDescent="0.35">
      <c r="O191" s="1"/>
    </row>
    <row r="192" spans="15:15" ht="14.25" customHeight="1" x14ac:dyDescent="0.35">
      <c r="O192" s="1"/>
    </row>
    <row r="193" spans="15:15" ht="14.25" customHeight="1" x14ac:dyDescent="0.35">
      <c r="O193" s="1"/>
    </row>
    <row r="194" spans="15:15" ht="14.25" customHeight="1" x14ac:dyDescent="0.35">
      <c r="O194" s="1"/>
    </row>
    <row r="195" spans="15:15" ht="14.25" customHeight="1" x14ac:dyDescent="0.35">
      <c r="O195" s="1"/>
    </row>
    <row r="196" spans="15:15" ht="14.25" customHeight="1" x14ac:dyDescent="0.35">
      <c r="O196" s="1"/>
    </row>
    <row r="197" spans="15:15" ht="14.25" customHeight="1" x14ac:dyDescent="0.35">
      <c r="O197" s="1"/>
    </row>
    <row r="198" spans="15:15" ht="14.25" customHeight="1" x14ac:dyDescent="0.35">
      <c r="O198" s="1"/>
    </row>
    <row r="199" spans="15:15" ht="14.25" customHeight="1" x14ac:dyDescent="0.35">
      <c r="O199" s="1"/>
    </row>
    <row r="200" spans="15:15" ht="14.25" customHeight="1" x14ac:dyDescent="0.35">
      <c r="O200" s="1"/>
    </row>
    <row r="201" spans="15:15" ht="14.25" customHeight="1" x14ac:dyDescent="0.35">
      <c r="O201" s="1"/>
    </row>
    <row r="202" spans="15:15" ht="14.25" customHeight="1" x14ac:dyDescent="0.35">
      <c r="O202" s="1"/>
    </row>
    <row r="203" spans="15:15" ht="14.25" customHeight="1" x14ac:dyDescent="0.35">
      <c r="O203" s="1"/>
    </row>
    <row r="204" spans="15:15" ht="14.25" customHeight="1" x14ac:dyDescent="0.35">
      <c r="O204" s="1"/>
    </row>
    <row r="205" spans="15:15" ht="14.25" customHeight="1" x14ac:dyDescent="0.35">
      <c r="O205" s="1"/>
    </row>
    <row r="206" spans="15:15" ht="14.25" customHeight="1" x14ac:dyDescent="0.35">
      <c r="O206" s="1"/>
    </row>
    <row r="207" spans="15:15" ht="14.25" customHeight="1" x14ac:dyDescent="0.35">
      <c r="O207" s="1"/>
    </row>
    <row r="208" spans="15:15" ht="14.25" customHeight="1" x14ac:dyDescent="0.35">
      <c r="O208" s="1"/>
    </row>
    <row r="209" spans="15:15" ht="14.25" customHeight="1" x14ac:dyDescent="0.35">
      <c r="O209" s="1"/>
    </row>
    <row r="210" spans="15:15" ht="14.25" customHeight="1" x14ac:dyDescent="0.35">
      <c r="O210" s="1"/>
    </row>
    <row r="211" spans="15:15" ht="14.25" customHeight="1" x14ac:dyDescent="0.35">
      <c r="O211" s="1"/>
    </row>
    <row r="212" spans="15:15" ht="14.25" customHeight="1" x14ac:dyDescent="0.35">
      <c r="O212" s="1"/>
    </row>
    <row r="213" spans="15:15" ht="14.25" customHeight="1" x14ac:dyDescent="0.35">
      <c r="O213" s="1"/>
    </row>
    <row r="214" spans="15:15" ht="14.25" customHeight="1" x14ac:dyDescent="0.35">
      <c r="O214" s="1"/>
    </row>
    <row r="215" spans="15:15" ht="14.25" customHeight="1" x14ac:dyDescent="0.35">
      <c r="O215" s="1"/>
    </row>
    <row r="216" spans="15:15" ht="14.25" customHeight="1" x14ac:dyDescent="0.35">
      <c r="O216" s="1"/>
    </row>
    <row r="217" spans="15:15" ht="14.25" customHeight="1" x14ac:dyDescent="0.35">
      <c r="O217" s="1"/>
    </row>
    <row r="218" spans="15:15" ht="14.25" customHeight="1" x14ac:dyDescent="0.35">
      <c r="O218" s="1"/>
    </row>
    <row r="219" spans="15:15" ht="14.25" customHeight="1" x14ac:dyDescent="0.35">
      <c r="O219" s="1"/>
    </row>
    <row r="220" spans="15:15" ht="14.25" customHeight="1" x14ac:dyDescent="0.35">
      <c r="O220" s="1"/>
    </row>
    <row r="221" spans="15:15" ht="14.25" customHeight="1" x14ac:dyDescent="0.35">
      <c r="O221" s="1"/>
    </row>
    <row r="222" spans="15:15" ht="14.25" customHeight="1" x14ac:dyDescent="0.35">
      <c r="O222" s="1"/>
    </row>
    <row r="223" spans="15:15" ht="14.25" customHeight="1" x14ac:dyDescent="0.35">
      <c r="O223" s="1"/>
    </row>
    <row r="224" spans="15:15" ht="14.25" customHeight="1" x14ac:dyDescent="0.35">
      <c r="O224" s="1"/>
    </row>
    <row r="225" spans="15:15" ht="14.25" customHeight="1" x14ac:dyDescent="0.35">
      <c r="O225" s="1"/>
    </row>
    <row r="226" spans="15:15" ht="14.25" customHeight="1" x14ac:dyDescent="0.35">
      <c r="O226" s="1"/>
    </row>
    <row r="227" spans="15:15" ht="14.25" customHeight="1" x14ac:dyDescent="0.35">
      <c r="O227" s="1"/>
    </row>
    <row r="228" spans="15:15" ht="14.25" customHeight="1" x14ac:dyDescent="0.35">
      <c r="O228" s="1"/>
    </row>
    <row r="229" spans="15:15" ht="14.25" customHeight="1" x14ac:dyDescent="0.35">
      <c r="O229" s="1"/>
    </row>
    <row r="230" spans="15:15" ht="14.25" customHeight="1" x14ac:dyDescent="0.35">
      <c r="O230" s="1"/>
    </row>
    <row r="231" spans="15:15" ht="14.25" customHeight="1" x14ac:dyDescent="0.35">
      <c r="O231" s="1"/>
    </row>
    <row r="232" spans="15:15" ht="14.25" customHeight="1" x14ac:dyDescent="0.35">
      <c r="O232" s="1"/>
    </row>
    <row r="233" spans="15:15" ht="14.25" customHeight="1" x14ac:dyDescent="0.35">
      <c r="O233" s="1"/>
    </row>
    <row r="234" spans="15:15" ht="14.25" customHeight="1" x14ac:dyDescent="0.35">
      <c r="O234" s="1"/>
    </row>
    <row r="235" spans="15:15" ht="14.25" customHeight="1" x14ac:dyDescent="0.35">
      <c r="O235" s="1"/>
    </row>
    <row r="236" spans="15:15" ht="14.25" customHeight="1" x14ac:dyDescent="0.35">
      <c r="O236" s="1"/>
    </row>
    <row r="237" spans="15:15" ht="14.25" customHeight="1" x14ac:dyDescent="0.35">
      <c r="O237" s="1"/>
    </row>
    <row r="238" spans="15:15" ht="14.25" customHeight="1" x14ac:dyDescent="0.35">
      <c r="O238" s="1"/>
    </row>
    <row r="239" spans="15:15" ht="14.25" customHeight="1" x14ac:dyDescent="0.35">
      <c r="O239" s="1"/>
    </row>
    <row r="240" spans="15:15" ht="14.25" customHeight="1" x14ac:dyDescent="0.35">
      <c r="O240" s="1"/>
    </row>
    <row r="241" spans="15:15" ht="14.25" customHeight="1" x14ac:dyDescent="0.35">
      <c r="O241" s="1"/>
    </row>
    <row r="242" spans="15:15" ht="14.25" customHeight="1" x14ac:dyDescent="0.35">
      <c r="O242" s="1"/>
    </row>
    <row r="243" spans="15:15" ht="14.25" customHeight="1" x14ac:dyDescent="0.35">
      <c r="O243" s="1"/>
    </row>
    <row r="244" spans="15:15" ht="14.25" customHeight="1" x14ac:dyDescent="0.35">
      <c r="O244" s="1"/>
    </row>
    <row r="245" spans="15:15" ht="14.25" customHeight="1" x14ac:dyDescent="0.35">
      <c r="O245" s="1"/>
    </row>
    <row r="246" spans="15:15" ht="14.25" customHeight="1" x14ac:dyDescent="0.35">
      <c r="O246" s="1"/>
    </row>
    <row r="247" spans="15:15" ht="14.25" customHeight="1" x14ac:dyDescent="0.35">
      <c r="O247" s="1"/>
    </row>
    <row r="248" spans="15:15" ht="14.25" customHeight="1" x14ac:dyDescent="0.35">
      <c r="O248" s="1"/>
    </row>
    <row r="249" spans="15:15" ht="14.25" customHeight="1" x14ac:dyDescent="0.35">
      <c r="O249" s="1"/>
    </row>
    <row r="250" spans="15:15" ht="14.25" customHeight="1" x14ac:dyDescent="0.35">
      <c r="O250" s="1"/>
    </row>
    <row r="251" spans="15:15" ht="14.25" customHeight="1" x14ac:dyDescent="0.35">
      <c r="O251" s="1"/>
    </row>
    <row r="252" spans="15:15" ht="14.25" customHeight="1" x14ac:dyDescent="0.35">
      <c r="O252" s="1"/>
    </row>
    <row r="253" spans="15:15" ht="14.25" customHeight="1" x14ac:dyDescent="0.35">
      <c r="O253" s="1"/>
    </row>
    <row r="254" spans="15:15" ht="14.25" customHeight="1" x14ac:dyDescent="0.35">
      <c r="O254" s="1"/>
    </row>
    <row r="255" spans="15:15" ht="14.25" customHeight="1" x14ac:dyDescent="0.35">
      <c r="O255" s="1"/>
    </row>
    <row r="256" spans="15:15" ht="14.25" customHeight="1" x14ac:dyDescent="0.35">
      <c r="O256" s="1"/>
    </row>
    <row r="257" spans="15:15" ht="14.25" customHeight="1" x14ac:dyDescent="0.35">
      <c r="O257" s="1"/>
    </row>
    <row r="258" spans="15:15" ht="14.25" customHeight="1" x14ac:dyDescent="0.35">
      <c r="O258" s="1"/>
    </row>
    <row r="259" spans="15:15" ht="14.25" customHeight="1" x14ac:dyDescent="0.35">
      <c r="O259" s="1"/>
    </row>
    <row r="260" spans="15:15" ht="14.25" customHeight="1" x14ac:dyDescent="0.35">
      <c r="O260" s="1"/>
    </row>
    <row r="261" spans="15:15" ht="14.25" customHeight="1" x14ac:dyDescent="0.35">
      <c r="O261" s="1"/>
    </row>
    <row r="262" spans="15:15" ht="14.25" customHeight="1" x14ac:dyDescent="0.35">
      <c r="O262" s="1"/>
    </row>
    <row r="263" spans="15:15" ht="14.25" customHeight="1" x14ac:dyDescent="0.35">
      <c r="O263" s="1"/>
    </row>
    <row r="264" spans="15:15" ht="14.25" customHeight="1" x14ac:dyDescent="0.35">
      <c r="O264" s="1"/>
    </row>
    <row r="265" spans="15:15" ht="14.25" customHeight="1" x14ac:dyDescent="0.35">
      <c r="O265" s="1"/>
    </row>
    <row r="266" spans="15:15" ht="14.25" customHeight="1" x14ac:dyDescent="0.35">
      <c r="O266" s="1"/>
    </row>
    <row r="267" spans="15:15" ht="14.25" customHeight="1" x14ac:dyDescent="0.35">
      <c r="O267" s="1"/>
    </row>
    <row r="268" spans="15:15" ht="14.25" customHeight="1" x14ac:dyDescent="0.35">
      <c r="O268" s="1"/>
    </row>
    <row r="269" spans="15:15" ht="14.25" customHeight="1" x14ac:dyDescent="0.35">
      <c r="O269" s="1"/>
    </row>
    <row r="270" spans="15:15" ht="14.25" customHeight="1" x14ac:dyDescent="0.35">
      <c r="O270" s="1"/>
    </row>
    <row r="271" spans="15:15" ht="14.25" customHeight="1" x14ac:dyDescent="0.35">
      <c r="O271" s="1"/>
    </row>
    <row r="272" spans="15:15" ht="14.25" customHeight="1" x14ac:dyDescent="0.35">
      <c r="O272" s="1"/>
    </row>
    <row r="273" spans="15:15" ht="14.25" customHeight="1" x14ac:dyDescent="0.35">
      <c r="O273" s="1"/>
    </row>
    <row r="274" spans="15:15" ht="14.25" customHeight="1" x14ac:dyDescent="0.35">
      <c r="O274" s="1"/>
    </row>
    <row r="275" spans="15:15" ht="14.25" customHeight="1" x14ac:dyDescent="0.35">
      <c r="O275" s="1"/>
    </row>
    <row r="276" spans="15:15" ht="14.25" customHeight="1" x14ac:dyDescent="0.35">
      <c r="O276" s="1"/>
    </row>
    <row r="277" spans="15:15" ht="14.25" customHeight="1" x14ac:dyDescent="0.35">
      <c r="O277" s="1"/>
    </row>
    <row r="278" spans="15:15" ht="14.25" customHeight="1" x14ac:dyDescent="0.35">
      <c r="O278" s="1"/>
    </row>
    <row r="279" spans="15:15" ht="14.25" customHeight="1" x14ac:dyDescent="0.35">
      <c r="O279" s="1"/>
    </row>
    <row r="280" spans="15:15" ht="14.25" customHeight="1" x14ac:dyDescent="0.35">
      <c r="O280" s="1"/>
    </row>
    <row r="281" spans="15:15" ht="14.25" customHeight="1" x14ac:dyDescent="0.35">
      <c r="O281" s="1"/>
    </row>
    <row r="282" spans="15:15" ht="14.25" customHeight="1" x14ac:dyDescent="0.35">
      <c r="O282" s="1"/>
    </row>
    <row r="283" spans="15:15" ht="14.25" customHeight="1" x14ac:dyDescent="0.35">
      <c r="O283" s="1"/>
    </row>
    <row r="284" spans="15:15" ht="14.25" customHeight="1" x14ac:dyDescent="0.35">
      <c r="O284" s="1"/>
    </row>
    <row r="285" spans="15:15" ht="14.25" customHeight="1" x14ac:dyDescent="0.35">
      <c r="O285" s="1"/>
    </row>
    <row r="286" spans="15:15" ht="14.25" customHeight="1" x14ac:dyDescent="0.35">
      <c r="O286" s="1"/>
    </row>
    <row r="287" spans="15:15" ht="14.25" customHeight="1" x14ac:dyDescent="0.35">
      <c r="O287" s="1"/>
    </row>
    <row r="288" spans="15:15" ht="14.25" customHeight="1" x14ac:dyDescent="0.35">
      <c r="O288" s="1"/>
    </row>
    <row r="289" spans="15:15" ht="14.25" customHeight="1" x14ac:dyDescent="0.35">
      <c r="O289" s="1"/>
    </row>
    <row r="290" spans="15:15" ht="14.25" customHeight="1" x14ac:dyDescent="0.35">
      <c r="O290" s="1"/>
    </row>
    <row r="291" spans="15:15" ht="14.25" customHeight="1" x14ac:dyDescent="0.35">
      <c r="O291" s="1"/>
    </row>
    <row r="292" spans="15:15" ht="14.25" customHeight="1" x14ac:dyDescent="0.35">
      <c r="O292" s="1"/>
    </row>
    <row r="293" spans="15:15" ht="14.25" customHeight="1" x14ac:dyDescent="0.35">
      <c r="O293" s="1"/>
    </row>
    <row r="294" spans="15:15" ht="14.25" customHeight="1" x14ac:dyDescent="0.35">
      <c r="O294" s="1"/>
    </row>
    <row r="295" spans="15:15" ht="14.25" customHeight="1" x14ac:dyDescent="0.35">
      <c r="O295" s="1"/>
    </row>
    <row r="296" spans="15:15" ht="14.25" customHeight="1" x14ac:dyDescent="0.35">
      <c r="O296" s="1"/>
    </row>
    <row r="297" spans="15:15" ht="14.25" customHeight="1" x14ac:dyDescent="0.35">
      <c r="O297" s="1"/>
    </row>
    <row r="298" spans="15:15" ht="14.25" customHeight="1" x14ac:dyDescent="0.35">
      <c r="O298" s="1"/>
    </row>
    <row r="299" spans="15:15" ht="14.25" customHeight="1" x14ac:dyDescent="0.35">
      <c r="O299" s="1"/>
    </row>
    <row r="300" spans="15:15" ht="14.25" customHeight="1" x14ac:dyDescent="0.35">
      <c r="O300" s="1"/>
    </row>
    <row r="301" spans="15:15" ht="14.25" customHeight="1" x14ac:dyDescent="0.35">
      <c r="O301" s="1"/>
    </row>
    <row r="302" spans="15:15" ht="14.25" customHeight="1" x14ac:dyDescent="0.35">
      <c r="O302" s="1"/>
    </row>
    <row r="303" spans="15:15" ht="14.25" customHeight="1" x14ac:dyDescent="0.35">
      <c r="O303" s="1"/>
    </row>
    <row r="304" spans="15:15" ht="14.25" customHeight="1" x14ac:dyDescent="0.35">
      <c r="O304" s="1"/>
    </row>
    <row r="305" spans="15:15" ht="14.25" customHeight="1" x14ac:dyDescent="0.35">
      <c r="O305" s="1"/>
    </row>
    <row r="306" spans="15:15" ht="14.25" customHeight="1" x14ac:dyDescent="0.35">
      <c r="O306" s="1"/>
    </row>
    <row r="307" spans="15:15" ht="14.25" customHeight="1" x14ac:dyDescent="0.35">
      <c r="O307" s="1"/>
    </row>
    <row r="308" spans="15:15" ht="14.25" customHeight="1" x14ac:dyDescent="0.35">
      <c r="O308" s="1"/>
    </row>
    <row r="309" spans="15:15" ht="14.25" customHeight="1" x14ac:dyDescent="0.35">
      <c r="O309" s="1"/>
    </row>
    <row r="310" spans="15:15" ht="14.25" customHeight="1" x14ac:dyDescent="0.35">
      <c r="O310" s="1"/>
    </row>
    <row r="311" spans="15:15" ht="14.25" customHeight="1" x14ac:dyDescent="0.35">
      <c r="O311" s="1"/>
    </row>
    <row r="312" spans="15:15" ht="14.25" customHeight="1" x14ac:dyDescent="0.35">
      <c r="O312" s="1"/>
    </row>
    <row r="313" spans="15:15" ht="14.25" customHeight="1" x14ac:dyDescent="0.35">
      <c r="O313" s="1"/>
    </row>
    <row r="314" spans="15:15" ht="14.25" customHeight="1" x14ac:dyDescent="0.35">
      <c r="O314" s="1"/>
    </row>
    <row r="315" spans="15:15" ht="14.25" customHeight="1" x14ac:dyDescent="0.35">
      <c r="O315" s="1"/>
    </row>
    <row r="316" spans="15:15" ht="14.25" customHeight="1" x14ac:dyDescent="0.35">
      <c r="O316" s="1"/>
    </row>
    <row r="317" spans="15:15" ht="14.25" customHeight="1" x14ac:dyDescent="0.35">
      <c r="O317" s="1"/>
    </row>
    <row r="318" spans="15:15" ht="14.25" customHeight="1" x14ac:dyDescent="0.35">
      <c r="O318" s="1"/>
    </row>
    <row r="319" spans="15:15" ht="14.25" customHeight="1" x14ac:dyDescent="0.35">
      <c r="O319" s="1"/>
    </row>
    <row r="320" spans="15:15" ht="14.25" customHeight="1" x14ac:dyDescent="0.35">
      <c r="O320" s="1"/>
    </row>
    <row r="321" spans="15:15" ht="14.25" customHeight="1" x14ac:dyDescent="0.35">
      <c r="O321" s="1"/>
    </row>
    <row r="322" spans="15:15" ht="14.25" customHeight="1" x14ac:dyDescent="0.35">
      <c r="O322" s="1"/>
    </row>
    <row r="323" spans="15:15" ht="14.25" customHeight="1" x14ac:dyDescent="0.35">
      <c r="O323" s="1"/>
    </row>
    <row r="324" spans="15:15" ht="14.25" customHeight="1" x14ac:dyDescent="0.35">
      <c r="O324" s="1"/>
    </row>
    <row r="325" spans="15:15" ht="14.25" customHeight="1" x14ac:dyDescent="0.35">
      <c r="O325" s="1"/>
    </row>
    <row r="326" spans="15:15" ht="14.25" customHeight="1" x14ac:dyDescent="0.35">
      <c r="O326" s="1"/>
    </row>
    <row r="327" spans="15:15" ht="14.25" customHeight="1" x14ac:dyDescent="0.35">
      <c r="O327" s="1"/>
    </row>
    <row r="328" spans="15:15" ht="14.25" customHeight="1" x14ac:dyDescent="0.35">
      <c r="O328" s="1"/>
    </row>
    <row r="329" spans="15:15" ht="14.25" customHeight="1" x14ac:dyDescent="0.35">
      <c r="O329" s="1"/>
    </row>
    <row r="330" spans="15:15" ht="14.25" customHeight="1" x14ac:dyDescent="0.35">
      <c r="O330" s="1"/>
    </row>
    <row r="331" spans="15:15" ht="14.25" customHeight="1" x14ac:dyDescent="0.35">
      <c r="O331" s="1"/>
    </row>
    <row r="332" spans="15:15" ht="14.25" customHeight="1" x14ac:dyDescent="0.35">
      <c r="O332" s="1"/>
    </row>
    <row r="333" spans="15:15" ht="14.25" customHeight="1" x14ac:dyDescent="0.35">
      <c r="O333" s="1"/>
    </row>
    <row r="334" spans="15:15" ht="14.25" customHeight="1" x14ac:dyDescent="0.35">
      <c r="O334" s="1"/>
    </row>
    <row r="335" spans="15:15" ht="14.25" customHeight="1" x14ac:dyDescent="0.35">
      <c r="O335" s="1"/>
    </row>
    <row r="336" spans="15:15" ht="14.25" customHeight="1" x14ac:dyDescent="0.35">
      <c r="O336" s="1"/>
    </row>
    <row r="337" spans="15:15" ht="14.25" customHeight="1" x14ac:dyDescent="0.35">
      <c r="O337" s="1"/>
    </row>
    <row r="338" spans="15:15" ht="14.25" customHeight="1" x14ac:dyDescent="0.35">
      <c r="O338" s="1"/>
    </row>
    <row r="339" spans="15:15" ht="14.25" customHeight="1" x14ac:dyDescent="0.35">
      <c r="O339" s="1"/>
    </row>
    <row r="340" spans="15:15" ht="14.25" customHeight="1" x14ac:dyDescent="0.35">
      <c r="O340" s="1"/>
    </row>
    <row r="341" spans="15:15" ht="14.25" customHeight="1" x14ac:dyDescent="0.35">
      <c r="O341" s="1"/>
    </row>
    <row r="342" spans="15:15" ht="14.25" customHeight="1" x14ac:dyDescent="0.35">
      <c r="O342" s="1"/>
    </row>
    <row r="343" spans="15:15" ht="14.25" customHeight="1" x14ac:dyDescent="0.35">
      <c r="O343" s="1"/>
    </row>
    <row r="344" spans="15:15" ht="14.25" customHeight="1" x14ac:dyDescent="0.35">
      <c r="O344" s="1"/>
    </row>
    <row r="345" spans="15:15" ht="14.25" customHeight="1" x14ac:dyDescent="0.35">
      <c r="O345" s="1"/>
    </row>
    <row r="346" spans="15:15" ht="14.25" customHeight="1" x14ac:dyDescent="0.35">
      <c r="O346" s="1"/>
    </row>
    <row r="347" spans="15:15" ht="14.25" customHeight="1" x14ac:dyDescent="0.35">
      <c r="O347" s="1"/>
    </row>
    <row r="348" spans="15:15" ht="14.25" customHeight="1" x14ac:dyDescent="0.35">
      <c r="O348" s="1"/>
    </row>
    <row r="349" spans="15:15" ht="14.25" customHeight="1" x14ac:dyDescent="0.35">
      <c r="O349" s="1"/>
    </row>
    <row r="350" spans="15:15" ht="14.25" customHeight="1" x14ac:dyDescent="0.35">
      <c r="O350" s="1"/>
    </row>
    <row r="351" spans="15:15" ht="14.25" customHeight="1" x14ac:dyDescent="0.35">
      <c r="O351" s="1"/>
    </row>
    <row r="352" spans="15:15" ht="14.25" customHeight="1" x14ac:dyDescent="0.35">
      <c r="O352" s="1"/>
    </row>
    <row r="353" spans="15:15" ht="14.25" customHeight="1" x14ac:dyDescent="0.35">
      <c r="O353" s="1"/>
    </row>
    <row r="354" spans="15:15" ht="14.25" customHeight="1" x14ac:dyDescent="0.35">
      <c r="O354" s="1"/>
    </row>
    <row r="355" spans="15:15" ht="14.25" customHeight="1" x14ac:dyDescent="0.35">
      <c r="O355" s="1"/>
    </row>
    <row r="356" spans="15:15" ht="14.25" customHeight="1" x14ac:dyDescent="0.35">
      <c r="O356" s="1"/>
    </row>
    <row r="357" spans="15:15" ht="14.25" customHeight="1" x14ac:dyDescent="0.35">
      <c r="O357" s="1"/>
    </row>
    <row r="358" spans="15:15" ht="14.25" customHeight="1" x14ac:dyDescent="0.35">
      <c r="O358" s="1"/>
    </row>
    <row r="359" spans="15:15" ht="14.25" customHeight="1" x14ac:dyDescent="0.35">
      <c r="O359" s="1"/>
    </row>
    <row r="360" spans="15:15" ht="14.25" customHeight="1" x14ac:dyDescent="0.35">
      <c r="O360" s="1"/>
    </row>
    <row r="361" spans="15:15" ht="14.25" customHeight="1" x14ac:dyDescent="0.35">
      <c r="O361" s="1"/>
    </row>
    <row r="362" spans="15:15" ht="14.25" customHeight="1" x14ac:dyDescent="0.35">
      <c r="O362" s="1"/>
    </row>
    <row r="363" spans="15:15" ht="14.25" customHeight="1" x14ac:dyDescent="0.35">
      <c r="O363" s="1"/>
    </row>
    <row r="364" spans="15:15" ht="14.25" customHeight="1" x14ac:dyDescent="0.35">
      <c r="O364" s="1"/>
    </row>
    <row r="365" spans="15:15" ht="14.25" customHeight="1" x14ac:dyDescent="0.35">
      <c r="O365" s="1"/>
    </row>
    <row r="366" spans="15:15" ht="14.25" customHeight="1" x14ac:dyDescent="0.35">
      <c r="O366" s="1"/>
    </row>
    <row r="367" spans="15:15" ht="14.25" customHeight="1" x14ac:dyDescent="0.35">
      <c r="O367" s="1"/>
    </row>
    <row r="368" spans="15:15" ht="14.25" customHeight="1" x14ac:dyDescent="0.35">
      <c r="O368" s="1"/>
    </row>
    <row r="369" spans="15:15" ht="14.25" customHeight="1" x14ac:dyDescent="0.35">
      <c r="O369" s="1"/>
    </row>
    <row r="370" spans="15:15" ht="14.25" customHeight="1" x14ac:dyDescent="0.35">
      <c r="O370" s="1"/>
    </row>
    <row r="371" spans="15:15" ht="14.25" customHeight="1" x14ac:dyDescent="0.35">
      <c r="O371" s="1"/>
    </row>
    <row r="372" spans="15:15" ht="14.25" customHeight="1" x14ac:dyDescent="0.35">
      <c r="O372" s="1"/>
    </row>
    <row r="373" spans="15:15" ht="14.25" customHeight="1" x14ac:dyDescent="0.35">
      <c r="O373" s="1"/>
    </row>
    <row r="374" spans="15:15" ht="14.25" customHeight="1" x14ac:dyDescent="0.35">
      <c r="O374" s="1"/>
    </row>
    <row r="375" spans="15:15" ht="14.25" customHeight="1" x14ac:dyDescent="0.35">
      <c r="O375" s="1"/>
    </row>
    <row r="376" spans="15:15" ht="14.25" customHeight="1" x14ac:dyDescent="0.35">
      <c r="O376" s="1"/>
    </row>
    <row r="377" spans="15:15" ht="14.25" customHeight="1" x14ac:dyDescent="0.35">
      <c r="O377" s="1"/>
    </row>
    <row r="378" spans="15:15" ht="14.25" customHeight="1" x14ac:dyDescent="0.35">
      <c r="O378" s="1"/>
    </row>
    <row r="379" spans="15:15" ht="14.25" customHeight="1" x14ac:dyDescent="0.35">
      <c r="O379" s="1"/>
    </row>
    <row r="380" spans="15:15" ht="14.25" customHeight="1" x14ac:dyDescent="0.35">
      <c r="O380" s="1"/>
    </row>
    <row r="381" spans="15:15" ht="14.25" customHeight="1" x14ac:dyDescent="0.35">
      <c r="O381" s="1"/>
    </row>
    <row r="382" spans="15:15" ht="14.25" customHeight="1" x14ac:dyDescent="0.35">
      <c r="O382" s="1"/>
    </row>
    <row r="383" spans="15:15" ht="14.25" customHeight="1" x14ac:dyDescent="0.35">
      <c r="O383" s="1"/>
    </row>
    <row r="384" spans="15:15" ht="14.25" customHeight="1" x14ac:dyDescent="0.35">
      <c r="O384" s="1"/>
    </row>
    <row r="385" spans="15:15" ht="14.25" customHeight="1" x14ac:dyDescent="0.35">
      <c r="O385" s="1"/>
    </row>
    <row r="386" spans="15:15" ht="14.25" customHeight="1" x14ac:dyDescent="0.35">
      <c r="O386" s="1"/>
    </row>
    <row r="387" spans="15:15" ht="14.25" customHeight="1" x14ac:dyDescent="0.35">
      <c r="O387" s="1"/>
    </row>
    <row r="388" spans="15:15" ht="14.25" customHeight="1" x14ac:dyDescent="0.35">
      <c r="O388" s="1"/>
    </row>
    <row r="389" spans="15:15" ht="14.25" customHeight="1" x14ac:dyDescent="0.35">
      <c r="O389" s="1"/>
    </row>
    <row r="390" spans="15:15" ht="14.25" customHeight="1" x14ac:dyDescent="0.35">
      <c r="O390" s="1"/>
    </row>
    <row r="391" spans="15:15" ht="14.25" customHeight="1" x14ac:dyDescent="0.35">
      <c r="O391" s="1"/>
    </row>
    <row r="392" spans="15:15" ht="14.25" customHeight="1" x14ac:dyDescent="0.35">
      <c r="O392" s="1"/>
    </row>
    <row r="393" spans="15:15" ht="14.25" customHeight="1" x14ac:dyDescent="0.35">
      <c r="O393" s="1"/>
    </row>
    <row r="394" spans="15:15" ht="14.25" customHeight="1" x14ac:dyDescent="0.35">
      <c r="O394" s="1"/>
    </row>
    <row r="395" spans="15:15" ht="14.25" customHeight="1" x14ac:dyDescent="0.35">
      <c r="O395" s="1"/>
    </row>
    <row r="396" spans="15:15" ht="14.25" customHeight="1" x14ac:dyDescent="0.35">
      <c r="O396" s="1"/>
    </row>
    <row r="397" spans="15:15" ht="14.25" customHeight="1" x14ac:dyDescent="0.35">
      <c r="O397" s="1"/>
    </row>
    <row r="398" spans="15:15" ht="14.25" customHeight="1" x14ac:dyDescent="0.35">
      <c r="O398" s="1"/>
    </row>
    <row r="399" spans="15:15" ht="14.25" customHeight="1" x14ac:dyDescent="0.35">
      <c r="O399" s="1"/>
    </row>
    <row r="400" spans="15:15" ht="14.25" customHeight="1" x14ac:dyDescent="0.35">
      <c r="O400" s="1"/>
    </row>
    <row r="401" spans="15:15" ht="14.25" customHeight="1" x14ac:dyDescent="0.35">
      <c r="O401" s="1"/>
    </row>
    <row r="402" spans="15:15" ht="14.25" customHeight="1" x14ac:dyDescent="0.35">
      <c r="O402" s="1"/>
    </row>
    <row r="403" spans="15:15" ht="14.25" customHeight="1" x14ac:dyDescent="0.35">
      <c r="O403" s="1"/>
    </row>
    <row r="404" spans="15:15" ht="14.25" customHeight="1" x14ac:dyDescent="0.35">
      <c r="O404" s="1"/>
    </row>
    <row r="405" spans="15:15" ht="14.25" customHeight="1" x14ac:dyDescent="0.35">
      <c r="O405" s="1"/>
    </row>
    <row r="406" spans="15:15" ht="14.25" customHeight="1" x14ac:dyDescent="0.35">
      <c r="O406" s="1"/>
    </row>
    <row r="407" spans="15:15" ht="14.25" customHeight="1" x14ac:dyDescent="0.35">
      <c r="O407" s="1"/>
    </row>
    <row r="408" spans="15:15" ht="14.25" customHeight="1" x14ac:dyDescent="0.35">
      <c r="O408" s="1"/>
    </row>
    <row r="409" spans="15:15" ht="14.25" customHeight="1" x14ac:dyDescent="0.35">
      <c r="O409" s="1"/>
    </row>
    <row r="410" spans="15:15" ht="14.25" customHeight="1" x14ac:dyDescent="0.35">
      <c r="O410" s="1"/>
    </row>
    <row r="411" spans="15:15" ht="14.25" customHeight="1" x14ac:dyDescent="0.35">
      <c r="O411" s="1"/>
    </row>
    <row r="412" spans="15:15" ht="14.25" customHeight="1" x14ac:dyDescent="0.35">
      <c r="O412" s="1"/>
    </row>
    <row r="413" spans="15:15" ht="14.25" customHeight="1" x14ac:dyDescent="0.35">
      <c r="O413" s="1"/>
    </row>
    <row r="414" spans="15:15" ht="14.25" customHeight="1" x14ac:dyDescent="0.35">
      <c r="O414" s="1"/>
    </row>
    <row r="415" spans="15:15" ht="14.25" customHeight="1" x14ac:dyDescent="0.35">
      <c r="O415" s="1"/>
    </row>
    <row r="416" spans="15:15" ht="14.25" customHeight="1" x14ac:dyDescent="0.35">
      <c r="O416" s="1"/>
    </row>
    <row r="417" spans="15:15" ht="14.25" customHeight="1" x14ac:dyDescent="0.35">
      <c r="O417" s="1"/>
    </row>
    <row r="418" spans="15:15" ht="14.25" customHeight="1" x14ac:dyDescent="0.35">
      <c r="O418" s="1"/>
    </row>
    <row r="419" spans="15:15" ht="14.25" customHeight="1" x14ac:dyDescent="0.35">
      <c r="O419" s="1"/>
    </row>
    <row r="420" spans="15:15" ht="14.25" customHeight="1" x14ac:dyDescent="0.35">
      <c r="O420" s="1"/>
    </row>
    <row r="421" spans="15:15" ht="14.25" customHeight="1" x14ac:dyDescent="0.35">
      <c r="O421" s="1"/>
    </row>
    <row r="422" spans="15:15" ht="14.25" customHeight="1" x14ac:dyDescent="0.35">
      <c r="O422" s="1"/>
    </row>
    <row r="423" spans="15:15" ht="14.25" customHeight="1" x14ac:dyDescent="0.35">
      <c r="O423" s="1"/>
    </row>
    <row r="424" spans="15:15" ht="14.25" customHeight="1" x14ac:dyDescent="0.35">
      <c r="O424" s="1"/>
    </row>
    <row r="425" spans="15:15" ht="14.25" customHeight="1" x14ac:dyDescent="0.35">
      <c r="O425" s="1"/>
    </row>
    <row r="426" spans="15:15" ht="14.25" customHeight="1" x14ac:dyDescent="0.35">
      <c r="O426" s="1"/>
    </row>
    <row r="427" spans="15:15" ht="14.25" customHeight="1" x14ac:dyDescent="0.35">
      <c r="O427" s="1"/>
    </row>
    <row r="428" spans="15:15" ht="14.25" customHeight="1" x14ac:dyDescent="0.35">
      <c r="O428" s="1"/>
    </row>
    <row r="429" spans="15:15" ht="14.25" customHeight="1" x14ac:dyDescent="0.35">
      <c r="O429" s="1"/>
    </row>
    <row r="430" spans="15:15" ht="14.25" customHeight="1" x14ac:dyDescent="0.35">
      <c r="O430" s="1"/>
    </row>
    <row r="431" spans="15:15" ht="14.25" customHeight="1" x14ac:dyDescent="0.35">
      <c r="O431" s="1"/>
    </row>
    <row r="432" spans="15:15" ht="14.25" customHeight="1" x14ac:dyDescent="0.35">
      <c r="O432" s="1"/>
    </row>
    <row r="433" spans="15:15" ht="14.25" customHeight="1" x14ac:dyDescent="0.35">
      <c r="O433" s="1"/>
    </row>
    <row r="434" spans="15:15" ht="14.25" customHeight="1" x14ac:dyDescent="0.35">
      <c r="O434" s="1"/>
    </row>
    <row r="435" spans="15:15" ht="14.25" customHeight="1" x14ac:dyDescent="0.35">
      <c r="O435" s="1"/>
    </row>
    <row r="436" spans="15:15" ht="14.25" customHeight="1" x14ac:dyDescent="0.35">
      <c r="O436" s="1"/>
    </row>
    <row r="437" spans="15:15" ht="14.25" customHeight="1" x14ac:dyDescent="0.35">
      <c r="O437" s="1"/>
    </row>
    <row r="438" spans="15:15" ht="14.25" customHeight="1" x14ac:dyDescent="0.35">
      <c r="O438" s="1"/>
    </row>
    <row r="439" spans="15:15" ht="14.25" customHeight="1" x14ac:dyDescent="0.35">
      <c r="O439" s="1"/>
    </row>
    <row r="440" spans="15:15" ht="14.25" customHeight="1" x14ac:dyDescent="0.35">
      <c r="O440" s="1"/>
    </row>
    <row r="441" spans="15:15" ht="14.25" customHeight="1" x14ac:dyDescent="0.35">
      <c r="O441" s="1"/>
    </row>
    <row r="442" spans="15:15" ht="14.25" customHeight="1" x14ac:dyDescent="0.35">
      <c r="O442" s="1"/>
    </row>
    <row r="443" spans="15:15" ht="14.25" customHeight="1" x14ac:dyDescent="0.35">
      <c r="O443" s="1"/>
    </row>
    <row r="444" spans="15:15" ht="14.25" customHeight="1" x14ac:dyDescent="0.35">
      <c r="O444" s="1"/>
    </row>
    <row r="445" spans="15:15" ht="14.25" customHeight="1" x14ac:dyDescent="0.35">
      <c r="O445" s="1"/>
    </row>
    <row r="446" spans="15:15" ht="14.25" customHeight="1" x14ac:dyDescent="0.35">
      <c r="O446" s="1"/>
    </row>
    <row r="447" spans="15:15" ht="14.25" customHeight="1" x14ac:dyDescent="0.35">
      <c r="O447" s="1"/>
    </row>
    <row r="448" spans="15:15" ht="14.25" customHeight="1" x14ac:dyDescent="0.35">
      <c r="O448" s="1"/>
    </row>
    <row r="449" spans="15:15" ht="14.25" customHeight="1" x14ac:dyDescent="0.35">
      <c r="O449" s="1"/>
    </row>
    <row r="450" spans="15:15" ht="14.25" customHeight="1" x14ac:dyDescent="0.35">
      <c r="O450" s="1"/>
    </row>
    <row r="451" spans="15:15" ht="14.25" customHeight="1" x14ac:dyDescent="0.35">
      <c r="O451" s="1"/>
    </row>
    <row r="452" spans="15:15" ht="14.25" customHeight="1" x14ac:dyDescent="0.35">
      <c r="O452" s="1"/>
    </row>
    <row r="453" spans="15:15" ht="14.25" customHeight="1" x14ac:dyDescent="0.35">
      <c r="O453" s="1"/>
    </row>
    <row r="454" spans="15:15" ht="14.25" customHeight="1" x14ac:dyDescent="0.35">
      <c r="O454" s="1"/>
    </row>
    <row r="455" spans="15:15" ht="14.25" customHeight="1" x14ac:dyDescent="0.35">
      <c r="O455" s="1"/>
    </row>
    <row r="456" spans="15:15" ht="14.25" customHeight="1" x14ac:dyDescent="0.35">
      <c r="O456" s="1"/>
    </row>
    <row r="457" spans="15:15" ht="14.25" customHeight="1" x14ac:dyDescent="0.35">
      <c r="O457" s="1"/>
    </row>
    <row r="458" spans="15:15" ht="14.25" customHeight="1" x14ac:dyDescent="0.35">
      <c r="O458" s="1"/>
    </row>
    <row r="459" spans="15:15" ht="14.25" customHeight="1" x14ac:dyDescent="0.35">
      <c r="O459" s="1"/>
    </row>
    <row r="460" spans="15:15" ht="14.25" customHeight="1" x14ac:dyDescent="0.35">
      <c r="O460" s="1"/>
    </row>
    <row r="461" spans="15:15" ht="14.25" customHeight="1" x14ac:dyDescent="0.35">
      <c r="O461" s="1"/>
    </row>
    <row r="462" spans="15:15" ht="14.25" customHeight="1" x14ac:dyDescent="0.35">
      <c r="O462" s="1"/>
    </row>
    <row r="463" spans="15:15" ht="14.25" customHeight="1" x14ac:dyDescent="0.35">
      <c r="O463" s="1"/>
    </row>
    <row r="464" spans="15:15" ht="14.25" customHeight="1" x14ac:dyDescent="0.35">
      <c r="O464" s="1"/>
    </row>
    <row r="465" spans="15:15" ht="14.25" customHeight="1" x14ac:dyDescent="0.35">
      <c r="O465" s="1"/>
    </row>
    <row r="466" spans="15:15" ht="14.25" customHeight="1" x14ac:dyDescent="0.35">
      <c r="O466" s="1"/>
    </row>
    <row r="467" spans="15:15" ht="14.25" customHeight="1" x14ac:dyDescent="0.35">
      <c r="O467" s="1"/>
    </row>
    <row r="468" spans="15:15" ht="14.25" customHeight="1" x14ac:dyDescent="0.35">
      <c r="O468" s="1"/>
    </row>
    <row r="469" spans="15:15" ht="14.25" customHeight="1" x14ac:dyDescent="0.35">
      <c r="O469" s="1"/>
    </row>
    <row r="470" spans="15:15" ht="14.25" customHeight="1" x14ac:dyDescent="0.35">
      <c r="O470" s="1"/>
    </row>
    <row r="471" spans="15:15" ht="14.25" customHeight="1" x14ac:dyDescent="0.35">
      <c r="O471" s="1"/>
    </row>
    <row r="472" spans="15:15" ht="14.25" customHeight="1" x14ac:dyDescent="0.35">
      <c r="O472" s="1"/>
    </row>
    <row r="473" spans="15:15" ht="14.25" customHeight="1" x14ac:dyDescent="0.35">
      <c r="O473" s="1"/>
    </row>
    <row r="474" spans="15:15" ht="14.25" customHeight="1" x14ac:dyDescent="0.35">
      <c r="O474" s="1"/>
    </row>
    <row r="475" spans="15:15" ht="14.25" customHeight="1" x14ac:dyDescent="0.35">
      <c r="O475" s="1"/>
    </row>
    <row r="476" spans="15:15" ht="14.25" customHeight="1" x14ac:dyDescent="0.35">
      <c r="O476" s="1"/>
    </row>
    <row r="477" spans="15:15" ht="14.25" customHeight="1" x14ac:dyDescent="0.35">
      <c r="O477" s="1"/>
    </row>
    <row r="478" spans="15:15" ht="14.25" customHeight="1" x14ac:dyDescent="0.35">
      <c r="O478" s="1"/>
    </row>
    <row r="479" spans="15:15" ht="14.25" customHeight="1" x14ac:dyDescent="0.35">
      <c r="O479" s="1"/>
    </row>
    <row r="480" spans="15:15" ht="14.25" customHeight="1" x14ac:dyDescent="0.35">
      <c r="O480" s="1"/>
    </row>
    <row r="481" spans="15:15" ht="14.25" customHeight="1" x14ac:dyDescent="0.35">
      <c r="O481" s="1"/>
    </row>
    <row r="482" spans="15:15" ht="14.25" customHeight="1" x14ac:dyDescent="0.35">
      <c r="O482" s="1"/>
    </row>
    <row r="483" spans="15:15" ht="14.25" customHeight="1" x14ac:dyDescent="0.35">
      <c r="O483" s="1"/>
    </row>
    <row r="484" spans="15:15" ht="14.25" customHeight="1" x14ac:dyDescent="0.35">
      <c r="O484" s="1"/>
    </row>
    <row r="485" spans="15:15" ht="14.25" customHeight="1" x14ac:dyDescent="0.35">
      <c r="O485" s="1"/>
    </row>
    <row r="486" spans="15:15" ht="14.25" customHeight="1" x14ac:dyDescent="0.35">
      <c r="O486" s="1"/>
    </row>
    <row r="487" spans="15:15" ht="14.25" customHeight="1" x14ac:dyDescent="0.35">
      <c r="O487" s="1"/>
    </row>
    <row r="488" spans="15:15" ht="14.25" customHeight="1" x14ac:dyDescent="0.35">
      <c r="O488" s="1"/>
    </row>
    <row r="489" spans="15:15" ht="14.25" customHeight="1" x14ac:dyDescent="0.35">
      <c r="O489" s="1"/>
    </row>
    <row r="490" spans="15:15" ht="14.25" customHeight="1" x14ac:dyDescent="0.35">
      <c r="O490" s="1"/>
    </row>
    <row r="491" spans="15:15" ht="14.25" customHeight="1" x14ac:dyDescent="0.35">
      <c r="O491" s="1"/>
    </row>
    <row r="492" spans="15:15" ht="14.25" customHeight="1" x14ac:dyDescent="0.35">
      <c r="O492" s="1"/>
    </row>
    <row r="493" spans="15:15" ht="14.25" customHeight="1" x14ac:dyDescent="0.35">
      <c r="O493" s="1"/>
    </row>
    <row r="494" spans="15:15" ht="14.25" customHeight="1" x14ac:dyDescent="0.35">
      <c r="O494" s="1"/>
    </row>
    <row r="495" spans="15:15" ht="14.25" customHeight="1" x14ac:dyDescent="0.35">
      <c r="O495" s="1"/>
    </row>
    <row r="496" spans="15:15" ht="14.25" customHeight="1" x14ac:dyDescent="0.35">
      <c r="O496" s="1"/>
    </row>
    <row r="497" spans="15:15" ht="14.25" customHeight="1" x14ac:dyDescent="0.35">
      <c r="O497" s="1"/>
    </row>
    <row r="498" spans="15:15" ht="14.25" customHeight="1" x14ac:dyDescent="0.35">
      <c r="O498" s="1"/>
    </row>
    <row r="499" spans="15:15" ht="14.25" customHeight="1" x14ac:dyDescent="0.35">
      <c r="O499" s="1"/>
    </row>
    <row r="500" spans="15:15" ht="14.25" customHeight="1" x14ac:dyDescent="0.35">
      <c r="O500" s="1"/>
    </row>
    <row r="501" spans="15:15" ht="14.25" customHeight="1" x14ac:dyDescent="0.35">
      <c r="O501" s="1"/>
    </row>
    <row r="502" spans="15:15" ht="14.25" customHeight="1" x14ac:dyDescent="0.35">
      <c r="O502" s="1"/>
    </row>
    <row r="503" spans="15:15" ht="14.25" customHeight="1" x14ac:dyDescent="0.35">
      <c r="O503" s="1"/>
    </row>
    <row r="504" spans="15:15" ht="14.25" customHeight="1" x14ac:dyDescent="0.35">
      <c r="O504" s="1"/>
    </row>
    <row r="505" spans="15:15" ht="14.25" customHeight="1" x14ac:dyDescent="0.35">
      <c r="O505" s="1"/>
    </row>
    <row r="506" spans="15:15" ht="14.25" customHeight="1" x14ac:dyDescent="0.35">
      <c r="O506" s="1"/>
    </row>
    <row r="507" spans="15:15" ht="14.25" customHeight="1" x14ac:dyDescent="0.35">
      <c r="O507" s="1"/>
    </row>
    <row r="508" spans="15:15" ht="14.25" customHeight="1" x14ac:dyDescent="0.35">
      <c r="O508" s="1"/>
    </row>
    <row r="509" spans="15:15" ht="14.25" customHeight="1" x14ac:dyDescent="0.35">
      <c r="O509" s="1"/>
    </row>
    <row r="510" spans="15:15" ht="14.25" customHeight="1" x14ac:dyDescent="0.35">
      <c r="O510" s="1"/>
    </row>
    <row r="511" spans="15:15" ht="14.25" customHeight="1" x14ac:dyDescent="0.35">
      <c r="O511" s="1"/>
    </row>
    <row r="512" spans="15:15" ht="14.25" customHeight="1" x14ac:dyDescent="0.35">
      <c r="O512" s="1"/>
    </row>
    <row r="513" spans="15:15" ht="14.25" customHeight="1" x14ac:dyDescent="0.35">
      <c r="O513" s="1"/>
    </row>
    <row r="514" spans="15:15" ht="14.25" customHeight="1" x14ac:dyDescent="0.35">
      <c r="O514" s="1"/>
    </row>
    <row r="515" spans="15:15" ht="14.25" customHeight="1" x14ac:dyDescent="0.35">
      <c r="O515" s="1"/>
    </row>
    <row r="516" spans="15:15" ht="14.25" customHeight="1" x14ac:dyDescent="0.35">
      <c r="O516" s="1"/>
    </row>
    <row r="517" spans="15:15" ht="14.25" customHeight="1" x14ac:dyDescent="0.35">
      <c r="O517" s="1"/>
    </row>
    <row r="518" spans="15:15" ht="14.25" customHeight="1" x14ac:dyDescent="0.35">
      <c r="O518" s="1"/>
    </row>
    <row r="519" spans="15:15" ht="14.25" customHeight="1" x14ac:dyDescent="0.35">
      <c r="O519" s="1"/>
    </row>
    <row r="520" spans="15:15" ht="14.25" customHeight="1" x14ac:dyDescent="0.35">
      <c r="O520" s="1"/>
    </row>
    <row r="521" spans="15:15" ht="14.25" customHeight="1" x14ac:dyDescent="0.35">
      <c r="O521" s="1"/>
    </row>
    <row r="522" spans="15:15" ht="14.25" customHeight="1" x14ac:dyDescent="0.35">
      <c r="O522" s="1"/>
    </row>
    <row r="523" spans="15:15" ht="14.25" customHeight="1" x14ac:dyDescent="0.35">
      <c r="O523" s="1"/>
    </row>
    <row r="524" spans="15:15" ht="14.25" customHeight="1" x14ac:dyDescent="0.35">
      <c r="O524" s="1"/>
    </row>
    <row r="525" spans="15:15" ht="14.25" customHeight="1" x14ac:dyDescent="0.35">
      <c r="O525" s="1"/>
    </row>
    <row r="526" spans="15:15" ht="14.25" customHeight="1" x14ac:dyDescent="0.35">
      <c r="O526" s="1"/>
    </row>
    <row r="527" spans="15:15" ht="14.25" customHeight="1" x14ac:dyDescent="0.35">
      <c r="O527" s="1"/>
    </row>
    <row r="528" spans="15:15" ht="14.25" customHeight="1" x14ac:dyDescent="0.35">
      <c r="O528" s="1"/>
    </row>
    <row r="529" spans="15:15" ht="14.25" customHeight="1" x14ac:dyDescent="0.35">
      <c r="O529" s="1"/>
    </row>
    <row r="530" spans="15:15" ht="14.25" customHeight="1" x14ac:dyDescent="0.35">
      <c r="O530" s="1"/>
    </row>
    <row r="531" spans="15:15" ht="14.25" customHeight="1" x14ac:dyDescent="0.35">
      <c r="O531" s="1"/>
    </row>
    <row r="532" spans="15:15" ht="14.25" customHeight="1" x14ac:dyDescent="0.35">
      <c r="O532" s="1"/>
    </row>
    <row r="533" spans="15:15" ht="14.25" customHeight="1" x14ac:dyDescent="0.35">
      <c r="O533" s="1"/>
    </row>
    <row r="534" spans="15:15" ht="14.25" customHeight="1" x14ac:dyDescent="0.35">
      <c r="O534" s="1"/>
    </row>
    <row r="535" spans="15:15" ht="14.25" customHeight="1" x14ac:dyDescent="0.35">
      <c r="O535" s="1"/>
    </row>
    <row r="536" spans="15:15" ht="14.25" customHeight="1" x14ac:dyDescent="0.35">
      <c r="O536" s="1"/>
    </row>
    <row r="537" spans="15:15" ht="14.25" customHeight="1" x14ac:dyDescent="0.35">
      <c r="O537" s="1"/>
    </row>
    <row r="538" spans="15:15" ht="14.25" customHeight="1" x14ac:dyDescent="0.35">
      <c r="O538" s="1"/>
    </row>
    <row r="539" spans="15:15" ht="14.25" customHeight="1" x14ac:dyDescent="0.35">
      <c r="O539" s="1"/>
    </row>
    <row r="540" spans="15:15" ht="14.25" customHeight="1" x14ac:dyDescent="0.35">
      <c r="O540" s="1"/>
    </row>
    <row r="541" spans="15:15" ht="14.25" customHeight="1" x14ac:dyDescent="0.35">
      <c r="O541" s="1"/>
    </row>
    <row r="542" spans="15:15" ht="14.25" customHeight="1" x14ac:dyDescent="0.35">
      <c r="O542" s="1"/>
    </row>
    <row r="543" spans="15:15" ht="14.25" customHeight="1" x14ac:dyDescent="0.35">
      <c r="O543" s="1"/>
    </row>
    <row r="544" spans="15:15" ht="14.25" customHeight="1" x14ac:dyDescent="0.35">
      <c r="O544" s="1"/>
    </row>
    <row r="545" spans="15:15" ht="14.25" customHeight="1" x14ac:dyDescent="0.35">
      <c r="O545" s="1"/>
    </row>
    <row r="546" spans="15:15" ht="14.25" customHeight="1" x14ac:dyDescent="0.35">
      <c r="O546" s="1"/>
    </row>
    <row r="547" spans="15:15" ht="14.25" customHeight="1" x14ac:dyDescent="0.35">
      <c r="O547" s="1"/>
    </row>
    <row r="548" spans="15:15" ht="14.25" customHeight="1" x14ac:dyDescent="0.35">
      <c r="O548" s="1"/>
    </row>
    <row r="549" spans="15:15" ht="14.25" customHeight="1" x14ac:dyDescent="0.35">
      <c r="O549" s="1"/>
    </row>
    <row r="550" spans="15:15" ht="14.25" customHeight="1" x14ac:dyDescent="0.35">
      <c r="O550" s="1"/>
    </row>
    <row r="551" spans="15:15" ht="14.25" customHeight="1" x14ac:dyDescent="0.35">
      <c r="O551" s="1"/>
    </row>
    <row r="552" spans="15:15" ht="14.25" customHeight="1" x14ac:dyDescent="0.35">
      <c r="O552" s="1"/>
    </row>
    <row r="553" spans="15:15" ht="14.25" customHeight="1" x14ac:dyDescent="0.35">
      <c r="O553" s="1"/>
    </row>
    <row r="554" spans="15:15" ht="14.25" customHeight="1" x14ac:dyDescent="0.35">
      <c r="O554" s="1"/>
    </row>
    <row r="555" spans="15:15" ht="14.25" customHeight="1" x14ac:dyDescent="0.35">
      <c r="O555" s="1"/>
    </row>
    <row r="556" spans="15:15" ht="14.25" customHeight="1" x14ac:dyDescent="0.35">
      <c r="O556" s="1"/>
    </row>
    <row r="557" spans="15:15" ht="14.25" customHeight="1" x14ac:dyDescent="0.35">
      <c r="O557" s="1"/>
    </row>
    <row r="558" spans="15:15" ht="14.25" customHeight="1" x14ac:dyDescent="0.35">
      <c r="O558" s="1"/>
    </row>
    <row r="559" spans="15:15" ht="14.25" customHeight="1" x14ac:dyDescent="0.35">
      <c r="O559" s="1"/>
    </row>
    <row r="560" spans="15:15" ht="14.25" customHeight="1" x14ac:dyDescent="0.35">
      <c r="O560" s="1"/>
    </row>
    <row r="561" spans="15:15" ht="14.25" customHeight="1" x14ac:dyDescent="0.35">
      <c r="O561" s="1"/>
    </row>
    <row r="562" spans="15:15" ht="14.25" customHeight="1" x14ac:dyDescent="0.35">
      <c r="O562" s="1"/>
    </row>
    <row r="563" spans="15:15" ht="14.25" customHeight="1" x14ac:dyDescent="0.35">
      <c r="O563" s="1"/>
    </row>
    <row r="564" spans="15:15" ht="14.25" customHeight="1" x14ac:dyDescent="0.35">
      <c r="O564" s="1"/>
    </row>
    <row r="565" spans="15:15" ht="14.25" customHeight="1" x14ac:dyDescent="0.35">
      <c r="O565" s="1"/>
    </row>
    <row r="566" spans="15:15" ht="14.25" customHeight="1" x14ac:dyDescent="0.35">
      <c r="O566" s="1"/>
    </row>
    <row r="567" spans="15:15" ht="14.25" customHeight="1" x14ac:dyDescent="0.35">
      <c r="O567" s="1"/>
    </row>
    <row r="568" spans="15:15" ht="14.25" customHeight="1" x14ac:dyDescent="0.35">
      <c r="O568" s="1"/>
    </row>
    <row r="569" spans="15:15" ht="14.25" customHeight="1" x14ac:dyDescent="0.35">
      <c r="O569" s="1"/>
    </row>
    <row r="570" spans="15:15" ht="14.25" customHeight="1" x14ac:dyDescent="0.35">
      <c r="O570" s="1"/>
    </row>
    <row r="571" spans="15:15" ht="14.25" customHeight="1" x14ac:dyDescent="0.35">
      <c r="O571" s="1"/>
    </row>
    <row r="572" spans="15:15" ht="14.25" customHeight="1" x14ac:dyDescent="0.35">
      <c r="O572" s="1"/>
    </row>
    <row r="573" spans="15:15" ht="14.25" customHeight="1" x14ac:dyDescent="0.35">
      <c r="O573" s="1"/>
    </row>
    <row r="574" spans="15:15" ht="14.25" customHeight="1" x14ac:dyDescent="0.35">
      <c r="O574" s="1"/>
    </row>
    <row r="575" spans="15:15" ht="14.25" customHeight="1" x14ac:dyDescent="0.35">
      <c r="O575" s="1"/>
    </row>
    <row r="576" spans="15:15" ht="14.25" customHeight="1" x14ac:dyDescent="0.35">
      <c r="O576" s="1"/>
    </row>
    <row r="577" spans="15:15" ht="14.25" customHeight="1" x14ac:dyDescent="0.35">
      <c r="O577" s="1"/>
    </row>
    <row r="578" spans="15:15" ht="14.25" customHeight="1" x14ac:dyDescent="0.35">
      <c r="O578" s="1"/>
    </row>
    <row r="579" spans="15:15" ht="14.25" customHeight="1" x14ac:dyDescent="0.35">
      <c r="O579" s="1"/>
    </row>
    <row r="580" spans="15:15" ht="14.25" customHeight="1" x14ac:dyDescent="0.35">
      <c r="O580" s="1"/>
    </row>
    <row r="581" spans="15:15" ht="14.25" customHeight="1" x14ac:dyDescent="0.35">
      <c r="O581" s="1"/>
    </row>
    <row r="582" spans="15:15" ht="14.25" customHeight="1" x14ac:dyDescent="0.35">
      <c r="O582" s="1"/>
    </row>
    <row r="583" spans="15:15" ht="14.25" customHeight="1" x14ac:dyDescent="0.35">
      <c r="O583" s="1"/>
    </row>
    <row r="584" spans="15:15" ht="14.25" customHeight="1" x14ac:dyDescent="0.35">
      <c r="O584" s="1"/>
    </row>
    <row r="585" spans="15:15" ht="14.25" customHeight="1" x14ac:dyDescent="0.35">
      <c r="O585" s="1"/>
    </row>
    <row r="586" spans="15:15" ht="14.25" customHeight="1" x14ac:dyDescent="0.35">
      <c r="O586" s="1"/>
    </row>
    <row r="587" spans="15:15" ht="14.25" customHeight="1" x14ac:dyDescent="0.35">
      <c r="O587" s="1"/>
    </row>
    <row r="588" spans="15:15" ht="14.25" customHeight="1" x14ac:dyDescent="0.35">
      <c r="O588" s="1"/>
    </row>
    <row r="589" spans="15:15" ht="14.25" customHeight="1" x14ac:dyDescent="0.35">
      <c r="O589" s="1"/>
    </row>
    <row r="590" spans="15:15" ht="14.25" customHeight="1" x14ac:dyDescent="0.35">
      <c r="O590" s="1"/>
    </row>
    <row r="591" spans="15:15" ht="14.25" customHeight="1" x14ac:dyDescent="0.35">
      <c r="O591" s="1"/>
    </row>
    <row r="592" spans="15:15" ht="14.25" customHeight="1" x14ac:dyDescent="0.35">
      <c r="O592" s="1"/>
    </row>
    <row r="593" spans="15:15" ht="14.25" customHeight="1" x14ac:dyDescent="0.35">
      <c r="O593" s="1"/>
    </row>
    <row r="594" spans="15:15" ht="14.25" customHeight="1" x14ac:dyDescent="0.35">
      <c r="O594" s="1"/>
    </row>
    <row r="595" spans="15:15" ht="14.25" customHeight="1" x14ac:dyDescent="0.35">
      <c r="O595" s="1"/>
    </row>
    <row r="596" spans="15:15" ht="14.25" customHeight="1" x14ac:dyDescent="0.35">
      <c r="O596" s="1"/>
    </row>
    <row r="597" spans="15:15" ht="14.25" customHeight="1" x14ac:dyDescent="0.35">
      <c r="O597" s="1"/>
    </row>
    <row r="598" spans="15:15" ht="14.25" customHeight="1" x14ac:dyDescent="0.35">
      <c r="O598" s="1"/>
    </row>
    <row r="599" spans="15:15" ht="14.25" customHeight="1" x14ac:dyDescent="0.35">
      <c r="O599" s="1"/>
    </row>
    <row r="600" spans="15:15" ht="14.25" customHeight="1" x14ac:dyDescent="0.35">
      <c r="O600" s="1"/>
    </row>
    <row r="601" spans="15:15" ht="14.25" customHeight="1" x14ac:dyDescent="0.35">
      <c r="O601" s="1"/>
    </row>
    <row r="602" spans="15:15" ht="14.25" customHeight="1" x14ac:dyDescent="0.35">
      <c r="O602" s="1"/>
    </row>
    <row r="603" spans="15:15" ht="14.25" customHeight="1" x14ac:dyDescent="0.35">
      <c r="O603" s="1"/>
    </row>
    <row r="604" spans="15:15" ht="14.25" customHeight="1" x14ac:dyDescent="0.35">
      <c r="O604" s="1"/>
    </row>
    <row r="605" spans="15:15" ht="14.25" customHeight="1" x14ac:dyDescent="0.35">
      <c r="O605" s="1"/>
    </row>
    <row r="606" spans="15:15" ht="14.25" customHeight="1" x14ac:dyDescent="0.35">
      <c r="O606" s="1"/>
    </row>
    <row r="607" spans="15:15" ht="14.25" customHeight="1" x14ac:dyDescent="0.35">
      <c r="O607" s="1"/>
    </row>
    <row r="608" spans="15:15" ht="14.25" customHeight="1" x14ac:dyDescent="0.35">
      <c r="O608" s="1"/>
    </row>
    <row r="609" spans="15:15" ht="14.25" customHeight="1" x14ac:dyDescent="0.35">
      <c r="O609" s="1"/>
    </row>
    <row r="610" spans="15:15" ht="14.25" customHeight="1" x14ac:dyDescent="0.35">
      <c r="O610" s="1"/>
    </row>
    <row r="611" spans="15:15" ht="14.25" customHeight="1" x14ac:dyDescent="0.35">
      <c r="O611" s="1"/>
    </row>
    <row r="612" spans="15:15" ht="14.25" customHeight="1" x14ac:dyDescent="0.35">
      <c r="O612" s="1"/>
    </row>
    <row r="613" spans="15:15" ht="14.25" customHeight="1" x14ac:dyDescent="0.35">
      <c r="O613" s="1"/>
    </row>
    <row r="614" spans="15:15" ht="14.25" customHeight="1" x14ac:dyDescent="0.35">
      <c r="O614" s="1"/>
    </row>
    <row r="615" spans="15:15" ht="14.25" customHeight="1" x14ac:dyDescent="0.35">
      <c r="O615" s="1"/>
    </row>
    <row r="616" spans="15:15" ht="14.25" customHeight="1" x14ac:dyDescent="0.35">
      <c r="O616" s="1"/>
    </row>
    <row r="617" spans="15:15" ht="14.25" customHeight="1" x14ac:dyDescent="0.35">
      <c r="O617" s="1"/>
    </row>
    <row r="618" spans="15:15" ht="14.25" customHeight="1" x14ac:dyDescent="0.35">
      <c r="O618" s="1"/>
    </row>
    <row r="619" spans="15:15" ht="14.25" customHeight="1" x14ac:dyDescent="0.35">
      <c r="O619" s="1"/>
    </row>
    <row r="620" spans="15:15" ht="14.25" customHeight="1" x14ac:dyDescent="0.35">
      <c r="O620" s="1"/>
    </row>
    <row r="621" spans="15:15" ht="14.25" customHeight="1" x14ac:dyDescent="0.35">
      <c r="O621" s="1"/>
    </row>
    <row r="622" spans="15:15" ht="14.25" customHeight="1" x14ac:dyDescent="0.35">
      <c r="O622" s="1"/>
    </row>
    <row r="623" spans="15:15" ht="14.25" customHeight="1" x14ac:dyDescent="0.35">
      <c r="O623" s="1"/>
    </row>
    <row r="624" spans="15:15" ht="14.25" customHeight="1" x14ac:dyDescent="0.35">
      <c r="O624" s="1"/>
    </row>
    <row r="625" spans="15:15" ht="14.25" customHeight="1" x14ac:dyDescent="0.35">
      <c r="O625" s="1"/>
    </row>
    <row r="626" spans="15:15" ht="14.25" customHeight="1" x14ac:dyDescent="0.35">
      <c r="O626" s="1"/>
    </row>
    <row r="627" spans="15:15" ht="14.25" customHeight="1" x14ac:dyDescent="0.35">
      <c r="O627" s="1"/>
    </row>
    <row r="628" spans="15:15" ht="14.25" customHeight="1" x14ac:dyDescent="0.35">
      <c r="O628" s="1"/>
    </row>
    <row r="629" spans="15:15" ht="14.25" customHeight="1" x14ac:dyDescent="0.35">
      <c r="O629" s="1"/>
    </row>
    <row r="630" spans="15:15" ht="14.25" customHeight="1" x14ac:dyDescent="0.35">
      <c r="O630" s="1"/>
    </row>
    <row r="631" spans="15:15" ht="14.25" customHeight="1" x14ac:dyDescent="0.35">
      <c r="O631" s="1"/>
    </row>
    <row r="632" spans="15:15" ht="14.25" customHeight="1" x14ac:dyDescent="0.35">
      <c r="O632" s="1"/>
    </row>
    <row r="633" spans="15:15" ht="14.25" customHeight="1" x14ac:dyDescent="0.35">
      <c r="O633" s="1"/>
    </row>
    <row r="634" spans="15:15" ht="14.25" customHeight="1" x14ac:dyDescent="0.35">
      <c r="O634" s="1"/>
    </row>
    <row r="635" spans="15:15" ht="14.25" customHeight="1" x14ac:dyDescent="0.35">
      <c r="O635" s="1"/>
    </row>
    <row r="636" spans="15:15" ht="14.25" customHeight="1" x14ac:dyDescent="0.35">
      <c r="O636" s="1"/>
    </row>
    <row r="637" spans="15:15" ht="14.25" customHeight="1" x14ac:dyDescent="0.35">
      <c r="O637" s="1"/>
    </row>
    <row r="638" spans="15:15" ht="14.25" customHeight="1" x14ac:dyDescent="0.35">
      <c r="O638" s="1"/>
    </row>
    <row r="639" spans="15:15" ht="14.25" customHeight="1" x14ac:dyDescent="0.35">
      <c r="O639" s="1"/>
    </row>
    <row r="640" spans="15:15" ht="14.25" customHeight="1" x14ac:dyDescent="0.35">
      <c r="O640" s="1"/>
    </row>
    <row r="641" spans="15:15" ht="14.25" customHeight="1" x14ac:dyDescent="0.35">
      <c r="O641" s="1"/>
    </row>
    <row r="642" spans="15:15" ht="14.25" customHeight="1" x14ac:dyDescent="0.35">
      <c r="O642" s="1"/>
    </row>
    <row r="643" spans="15:15" ht="14.25" customHeight="1" x14ac:dyDescent="0.35">
      <c r="O643" s="1"/>
    </row>
    <row r="644" spans="15:15" ht="14.25" customHeight="1" x14ac:dyDescent="0.35">
      <c r="O644" s="1"/>
    </row>
    <row r="645" spans="15:15" ht="14.25" customHeight="1" x14ac:dyDescent="0.35">
      <c r="O645" s="1"/>
    </row>
    <row r="646" spans="15:15" ht="14.25" customHeight="1" x14ac:dyDescent="0.35">
      <c r="O646" s="1"/>
    </row>
    <row r="647" spans="15:15" ht="14.25" customHeight="1" x14ac:dyDescent="0.35">
      <c r="O647" s="1"/>
    </row>
    <row r="648" spans="15:15" ht="14.25" customHeight="1" x14ac:dyDescent="0.35">
      <c r="O648" s="1"/>
    </row>
    <row r="649" spans="15:15" ht="14.25" customHeight="1" x14ac:dyDescent="0.35">
      <c r="O649" s="1"/>
    </row>
    <row r="650" spans="15:15" ht="14.25" customHeight="1" x14ac:dyDescent="0.35">
      <c r="O650" s="1"/>
    </row>
    <row r="651" spans="15:15" ht="14.25" customHeight="1" x14ac:dyDescent="0.35">
      <c r="O651" s="1"/>
    </row>
    <row r="652" spans="15:15" ht="14.25" customHeight="1" x14ac:dyDescent="0.35">
      <c r="O652" s="1"/>
    </row>
    <row r="653" spans="15:15" ht="14.25" customHeight="1" x14ac:dyDescent="0.35">
      <c r="O653" s="1"/>
    </row>
    <row r="654" spans="15:15" ht="14.25" customHeight="1" x14ac:dyDescent="0.35">
      <c r="O654" s="1"/>
    </row>
    <row r="655" spans="15:15" ht="14.25" customHeight="1" x14ac:dyDescent="0.35">
      <c r="O655" s="1"/>
    </row>
    <row r="656" spans="15:15" ht="14.25" customHeight="1" x14ac:dyDescent="0.35">
      <c r="O656" s="1"/>
    </row>
    <row r="657" spans="15:15" ht="14.25" customHeight="1" x14ac:dyDescent="0.35">
      <c r="O657" s="1"/>
    </row>
    <row r="658" spans="15:15" ht="14.25" customHeight="1" x14ac:dyDescent="0.35">
      <c r="O658" s="1"/>
    </row>
    <row r="659" spans="15:15" ht="14.25" customHeight="1" x14ac:dyDescent="0.35">
      <c r="O659" s="1"/>
    </row>
    <row r="660" spans="15:15" ht="14.25" customHeight="1" x14ac:dyDescent="0.35">
      <c r="O660" s="1"/>
    </row>
    <row r="661" spans="15:15" ht="14.25" customHeight="1" x14ac:dyDescent="0.35">
      <c r="O661" s="1"/>
    </row>
    <row r="662" spans="15:15" ht="14.25" customHeight="1" x14ac:dyDescent="0.35">
      <c r="O662" s="1"/>
    </row>
    <row r="663" spans="15:15" ht="14.25" customHeight="1" x14ac:dyDescent="0.35">
      <c r="O663" s="1"/>
    </row>
    <row r="664" spans="15:15" ht="14.25" customHeight="1" x14ac:dyDescent="0.35">
      <c r="O664" s="1"/>
    </row>
    <row r="665" spans="15:15" ht="14.25" customHeight="1" x14ac:dyDescent="0.35">
      <c r="O665" s="1"/>
    </row>
    <row r="666" spans="15:15" ht="14.25" customHeight="1" x14ac:dyDescent="0.35">
      <c r="O666" s="1"/>
    </row>
    <row r="667" spans="15:15" ht="14.25" customHeight="1" x14ac:dyDescent="0.35">
      <c r="O667" s="1"/>
    </row>
    <row r="668" spans="15:15" ht="14.25" customHeight="1" x14ac:dyDescent="0.35">
      <c r="O668" s="1"/>
    </row>
    <row r="669" spans="15:15" ht="14.25" customHeight="1" x14ac:dyDescent="0.35">
      <c r="O669" s="1"/>
    </row>
    <row r="670" spans="15:15" ht="14.25" customHeight="1" x14ac:dyDescent="0.35">
      <c r="O670" s="1"/>
    </row>
    <row r="671" spans="15:15" ht="14.25" customHeight="1" x14ac:dyDescent="0.35">
      <c r="O671" s="1"/>
    </row>
    <row r="672" spans="15:15" ht="14.25" customHeight="1" x14ac:dyDescent="0.35">
      <c r="O672" s="1"/>
    </row>
    <row r="673" spans="15:15" ht="14.25" customHeight="1" x14ac:dyDescent="0.35">
      <c r="O673" s="1"/>
    </row>
    <row r="674" spans="15:15" ht="14.25" customHeight="1" x14ac:dyDescent="0.35">
      <c r="O674" s="1"/>
    </row>
    <row r="675" spans="15:15" ht="14.25" customHeight="1" x14ac:dyDescent="0.35">
      <c r="O675" s="1"/>
    </row>
    <row r="676" spans="15:15" ht="14.25" customHeight="1" x14ac:dyDescent="0.35">
      <c r="O676" s="1"/>
    </row>
    <row r="677" spans="15:15" ht="14.25" customHeight="1" x14ac:dyDescent="0.35">
      <c r="O677" s="1"/>
    </row>
    <row r="678" spans="15:15" ht="14.25" customHeight="1" x14ac:dyDescent="0.35">
      <c r="O678" s="1"/>
    </row>
    <row r="679" spans="15:15" ht="14.25" customHeight="1" x14ac:dyDescent="0.35">
      <c r="O679" s="1"/>
    </row>
    <row r="680" spans="15:15" ht="14.25" customHeight="1" x14ac:dyDescent="0.35">
      <c r="O680" s="1"/>
    </row>
    <row r="681" spans="15:15" ht="14.25" customHeight="1" x14ac:dyDescent="0.35">
      <c r="O681" s="1"/>
    </row>
    <row r="682" spans="15:15" ht="14.25" customHeight="1" x14ac:dyDescent="0.35">
      <c r="O682" s="1"/>
    </row>
    <row r="683" spans="15:15" ht="14.25" customHeight="1" x14ac:dyDescent="0.35">
      <c r="O683" s="1"/>
    </row>
    <row r="684" spans="15:15" ht="14.25" customHeight="1" x14ac:dyDescent="0.35">
      <c r="O684" s="1"/>
    </row>
    <row r="685" spans="15:15" ht="14.25" customHeight="1" x14ac:dyDescent="0.35">
      <c r="O685" s="1"/>
    </row>
    <row r="686" spans="15:15" ht="14.25" customHeight="1" x14ac:dyDescent="0.35">
      <c r="O686" s="1"/>
    </row>
    <row r="687" spans="15:15" ht="14.25" customHeight="1" x14ac:dyDescent="0.35">
      <c r="O687" s="1"/>
    </row>
    <row r="688" spans="15:15" ht="14.25" customHeight="1" x14ac:dyDescent="0.35">
      <c r="O688" s="1"/>
    </row>
    <row r="689" spans="15:15" ht="14.25" customHeight="1" x14ac:dyDescent="0.35">
      <c r="O689" s="1"/>
    </row>
    <row r="690" spans="15:15" ht="14.25" customHeight="1" x14ac:dyDescent="0.35">
      <c r="O690" s="1"/>
    </row>
    <row r="691" spans="15:15" ht="14.25" customHeight="1" x14ac:dyDescent="0.35">
      <c r="O691" s="1"/>
    </row>
    <row r="692" spans="15:15" ht="14.25" customHeight="1" x14ac:dyDescent="0.35">
      <c r="O692" s="1"/>
    </row>
    <row r="693" spans="15:15" ht="14.25" customHeight="1" x14ac:dyDescent="0.35">
      <c r="O693" s="1"/>
    </row>
    <row r="694" spans="15:15" ht="14.25" customHeight="1" x14ac:dyDescent="0.35">
      <c r="O694" s="1"/>
    </row>
    <row r="695" spans="15:15" ht="14.25" customHeight="1" x14ac:dyDescent="0.35">
      <c r="O695" s="1"/>
    </row>
    <row r="696" spans="15:15" ht="14.25" customHeight="1" x14ac:dyDescent="0.35">
      <c r="O696" s="1"/>
    </row>
    <row r="697" spans="15:15" ht="14.25" customHeight="1" x14ac:dyDescent="0.35">
      <c r="O697" s="1"/>
    </row>
    <row r="698" spans="15:15" ht="14.25" customHeight="1" x14ac:dyDescent="0.35">
      <c r="O698" s="1"/>
    </row>
    <row r="699" spans="15:15" ht="14.25" customHeight="1" x14ac:dyDescent="0.35">
      <c r="O699" s="1"/>
    </row>
    <row r="700" spans="15:15" ht="14.25" customHeight="1" x14ac:dyDescent="0.35">
      <c r="O700" s="1"/>
    </row>
    <row r="701" spans="15:15" ht="14.25" customHeight="1" x14ac:dyDescent="0.35">
      <c r="O701" s="1"/>
    </row>
    <row r="702" spans="15:15" ht="14.25" customHeight="1" x14ac:dyDescent="0.35">
      <c r="O702" s="1"/>
    </row>
    <row r="703" spans="15:15" ht="14.25" customHeight="1" x14ac:dyDescent="0.35">
      <c r="O703" s="1"/>
    </row>
    <row r="704" spans="15:15" ht="14.25" customHeight="1" x14ac:dyDescent="0.35">
      <c r="O704" s="1"/>
    </row>
    <row r="705" spans="15:15" ht="14.25" customHeight="1" x14ac:dyDescent="0.35">
      <c r="O705" s="1"/>
    </row>
    <row r="706" spans="15:15" ht="14.25" customHeight="1" x14ac:dyDescent="0.35">
      <c r="O706" s="1"/>
    </row>
    <row r="707" spans="15:15" ht="14.25" customHeight="1" x14ac:dyDescent="0.35">
      <c r="O707" s="1"/>
    </row>
    <row r="708" spans="15:15" ht="14.25" customHeight="1" x14ac:dyDescent="0.35">
      <c r="O708" s="1"/>
    </row>
    <row r="709" spans="15:15" ht="14.25" customHeight="1" x14ac:dyDescent="0.35">
      <c r="O709" s="1"/>
    </row>
    <row r="710" spans="15:15" ht="14.25" customHeight="1" x14ac:dyDescent="0.35">
      <c r="O710" s="1"/>
    </row>
    <row r="711" spans="15:15" ht="14.25" customHeight="1" x14ac:dyDescent="0.35">
      <c r="O711" s="1"/>
    </row>
    <row r="712" spans="15:15" ht="14.25" customHeight="1" x14ac:dyDescent="0.35">
      <c r="O712" s="1"/>
    </row>
    <row r="713" spans="15:15" ht="14.25" customHeight="1" x14ac:dyDescent="0.35">
      <c r="O713" s="1"/>
    </row>
    <row r="714" spans="15:15" ht="14.25" customHeight="1" x14ac:dyDescent="0.35">
      <c r="O714" s="1"/>
    </row>
    <row r="715" spans="15:15" ht="14.25" customHeight="1" x14ac:dyDescent="0.35">
      <c r="O715" s="1"/>
    </row>
    <row r="716" spans="15:15" ht="14.25" customHeight="1" x14ac:dyDescent="0.35">
      <c r="O716" s="1"/>
    </row>
    <row r="717" spans="15:15" ht="14.25" customHeight="1" x14ac:dyDescent="0.35">
      <c r="O717" s="1"/>
    </row>
    <row r="718" spans="15:15" ht="14.25" customHeight="1" x14ac:dyDescent="0.35">
      <c r="O718" s="1"/>
    </row>
    <row r="719" spans="15:15" ht="14.25" customHeight="1" x14ac:dyDescent="0.35">
      <c r="O719" s="1"/>
    </row>
    <row r="720" spans="15:15" ht="14.25" customHeight="1" x14ac:dyDescent="0.35">
      <c r="O720" s="1"/>
    </row>
    <row r="721" spans="15:15" ht="14.25" customHeight="1" x14ac:dyDescent="0.35">
      <c r="O721" s="1"/>
    </row>
    <row r="722" spans="15:15" ht="14.25" customHeight="1" x14ac:dyDescent="0.35">
      <c r="O722" s="1"/>
    </row>
    <row r="723" spans="15:15" ht="14.25" customHeight="1" x14ac:dyDescent="0.35">
      <c r="O723" s="1"/>
    </row>
    <row r="724" spans="15:15" ht="14.25" customHeight="1" x14ac:dyDescent="0.35">
      <c r="O724" s="1"/>
    </row>
    <row r="725" spans="15:15" ht="14.25" customHeight="1" x14ac:dyDescent="0.35">
      <c r="O725" s="1"/>
    </row>
    <row r="726" spans="15:15" ht="14.25" customHeight="1" x14ac:dyDescent="0.35">
      <c r="O726" s="1"/>
    </row>
    <row r="727" spans="15:15" ht="14.25" customHeight="1" x14ac:dyDescent="0.35">
      <c r="O727" s="1"/>
    </row>
    <row r="728" spans="15:15" ht="14.25" customHeight="1" x14ac:dyDescent="0.35">
      <c r="O728" s="1"/>
    </row>
    <row r="729" spans="15:15" ht="14.25" customHeight="1" x14ac:dyDescent="0.35">
      <c r="O729" s="1"/>
    </row>
    <row r="730" spans="15:15" ht="14.25" customHeight="1" x14ac:dyDescent="0.35">
      <c r="O730" s="1"/>
    </row>
    <row r="731" spans="15:15" ht="14.25" customHeight="1" x14ac:dyDescent="0.35">
      <c r="O731" s="1"/>
    </row>
    <row r="732" spans="15:15" ht="14.25" customHeight="1" x14ac:dyDescent="0.35">
      <c r="O732" s="1"/>
    </row>
    <row r="733" spans="15:15" ht="14.25" customHeight="1" x14ac:dyDescent="0.35">
      <c r="O733" s="1"/>
    </row>
    <row r="734" spans="15:15" ht="14.25" customHeight="1" x14ac:dyDescent="0.35">
      <c r="O734" s="1"/>
    </row>
    <row r="735" spans="15:15" ht="14.25" customHeight="1" x14ac:dyDescent="0.35">
      <c r="O735" s="1"/>
    </row>
    <row r="736" spans="15:15" ht="14.25" customHeight="1" x14ac:dyDescent="0.35">
      <c r="O736" s="1"/>
    </row>
    <row r="737" spans="15:15" ht="14.25" customHeight="1" x14ac:dyDescent="0.35">
      <c r="O737" s="1"/>
    </row>
    <row r="738" spans="15:15" ht="14.25" customHeight="1" x14ac:dyDescent="0.35">
      <c r="O738" s="1"/>
    </row>
    <row r="739" spans="15:15" ht="14.25" customHeight="1" x14ac:dyDescent="0.35">
      <c r="O739" s="1"/>
    </row>
    <row r="740" spans="15:15" ht="14.25" customHeight="1" x14ac:dyDescent="0.35">
      <c r="O740" s="1"/>
    </row>
    <row r="741" spans="15:15" ht="14.25" customHeight="1" x14ac:dyDescent="0.35">
      <c r="O741" s="1"/>
    </row>
    <row r="742" spans="15:15" ht="14.25" customHeight="1" x14ac:dyDescent="0.35">
      <c r="O742" s="1"/>
    </row>
    <row r="743" spans="15:15" ht="14.25" customHeight="1" x14ac:dyDescent="0.35">
      <c r="O743" s="1"/>
    </row>
    <row r="744" spans="15:15" ht="14.25" customHeight="1" x14ac:dyDescent="0.35">
      <c r="O744" s="1"/>
    </row>
    <row r="745" spans="15:15" ht="14.25" customHeight="1" x14ac:dyDescent="0.35">
      <c r="O745" s="1"/>
    </row>
    <row r="746" spans="15:15" ht="14.25" customHeight="1" x14ac:dyDescent="0.35">
      <c r="O746" s="1"/>
    </row>
    <row r="747" spans="15:15" ht="14.25" customHeight="1" x14ac:dyDescent="0.35">
      <c r="O747" s="1"/>
    </row>
    <row r="748" spans="15:15" ht="14.25" customHeight="1" x14ac:dyDescent="0.35">
      <c r="O748" s="1"/>
    </row>
    <row r="749" spans="15:15" ht="14.25" customHeight="1" x14ac:dyDescent="0.35">
      <c r="O749" s="1"/>
    </row>
    <row r="750" spans="15:15" ht="14.25" customHeight="1" x14ac:dyDescent="0.35">
      <c r="O750" s="1"/>
    </row>
    <row r="751" spans="15:15" ht="14.25" customHeight="1" x14ac:dyDescent="0.35">
      <c r="O751" s="1"/>
    </row>
    <row r="752" spans="15:15" ht="14.25" customHeight="1" x14ac:dyDescent="0.35">
      <c r="O752" s="1"/>
    </row>
    <row r="753" spans="15:15" ht="14.25" customHeight="1" x14ac:dyDescent="0.35">
      <c r="O753" s="1"/>
    </row>
    <row r="754" spans="15:15" ht="14.25" customHeight="1" x14ac:dyDescent="0.35">
      <c r="O754" s="1"/>
    </row>
    <row r="755" spans="15:15" ht="14.25" customHeight="1" x14ac:dyDescent="0.35">
      <c r="O755" s="1"/>
    </row>
    <row r="756" spans="15:15" ht="14.25" customHeight="1" x14ac:dyDescent="0.35">
      <c r="O756" s="1"/>
    </row>
    <row r="757" spans="15:15" ht="14.25" customHeight="1" x14ac:dyDescent="0.35">
      <c r="O757" s="1"/>
    </row>
    <row r="758" spans="15:15" ht="14.25" customHeight="1" x14ac:dyDescent="0.35">
      <c r="O758" s="1"/>
    </row>
    <row r="759" spans="15:15" ht="14.25" customHeight="1" x14ac:dyDescent="0.35">
      <c r="O759" s="1"/>
    </row>
    <row r="760" spans="15:15" ht="14.25" customHeight="1" x14ac:dyDescent="0.35">
      <c r="O760" s="1"/>
    </row>
    <row r="761" spans="15:15" ht="14.25" customHeight="1" x14ac:dyDescent="0.35">
      <c r="O761" s="1"/>
    </row>
    <row r="762" spans="15:15" ht="14.25" customHeight="1" x14ac:dyDescent="0.35">
      <c r="O762" s="1"/>
    </row>
    <row r="763" spans="15:15" ht="14.25" customHeight="1" x14ac:dyDescent="0.35">
      <c r="O763" s="1"/>
    </row>
    <row r="764" spans="15:15" ht="14.25" customHeight="1" x14ac:dyDescent="0.35">
      <c r="O764" s="1"/>
    </row>
    <row r="765" spans="15:15" ht="14.25" customHeight="1" x14ac:dyDescent="0.35">
      <c r="O765" s="1"/>
    </row>
    <row r="766" spans="15:15" ht="14.25" customHeight="1" x14ac:dyDescent="0.35">
      <c r="O766" s="1"/>
    </row>
    <row r="767" spans="15:15" ht="14.25" customHeight="1" x14ac:dyDescent="0.35">
      <c r="O767" s="1"/>
    </row>
    <row r="768" spans="15:15" ht="14.25" customHeight="1" x14ac:dyDescent="0.35">
      <c r="O768" s="1"/>
    </row>
    <row r="769" spans="15:15" ht="14.25" customHeight="1" x14ac:dyDescent="0.35">
      <c r="O769" s="1"/>
    </row>
    <row r="770" spans="15:15" ht="14.25" customHeight="1" x14ac:dyDescent="0.35">
      <c r="O770" s="1"/>
    </row>
    <row r="771" spans="15:15" ht="14.25" customHeight="1" x14ac:dyDescent="0.35">
      <c r="O771" s="1"/>
    </row>
    <row r="772" spans="15:15" ht="14.25" customHeight="1" x14ac:dyDescent="0.35">
      <c r="O772" s="1"/>
    </row>
    <row r="773" spans="15:15" ht="14.25" customHeight="1" x14ac:dyDescent="0.35">
      <c r="O773" s="1"/>
    </row>
    <row r="774" spans="15:15" ht="14.25" customHeight="1" x14ac:dyDescent="0.35">
      <c r="O774" s="1"/>
    </row>
    <row r="775" spans="15:15" ht="14.25" customHeight="1" x14ac:dyDescent="0.35">
      <c r="O775" s="1"/>
    </row>
    <row r="776" spans="15:15" ht="14.25" customHeight="1" x14ac:dyDescent="0.35">
      <c r="O776" s="1"/>
    </row>
    <row r="777" spans="15:15" ht="14.25" customHeight="1" x14ac:dyDescent="0.35">
      <c r="O777" s="1"/>
    </row>
    <row r="778" spans="15:15" ht="14.25" customHeight="1" x14ac:dyDescent="0.35">
      <c r="O778" s="1"/>
    </row>
    <row r="779" spans="15:15" ht="14.25" customHeight="1" x14ac:dyDescent="0.35">
      <c r="O779" s="1"/>
    </row>
    <row r="780" spans="15:15" ht="14.25" customHeight="1" x14ac:dyDescent="0.35">
      <c r="O780" s="1"/>
    </row>
    <row r="781" spans="15:15" ht="14.25" customHeight="1" x14ac:dyDescent="0.35">
      <c r="O781" s="1"/>
    </row>
    <row r="782" spans="15:15" ht="14.25" customHeight="1" x14ac:dyDescent="0.35">
      <c r="O782" s="1"/>
    </row>
    <row r="783" spans="15:15" ht="14.25" customHeight="1" x14ac:dyDescent="0.35">
      <c r="O783" s="1"/>
    </row>
    <row r="784" spans="15:15" ht="14.25" customHeight="1" x14ac:dyDescent="0.35">
      <c r="O784" s="1"/>
    </row>
    <row r="785" spans="15:15" ht="14.25" customHeight="1" x14ac:dyDescent="0.35">
      <c r="O785" s="1"/>
    </row>
    <row r="786" spans="15:15" ht="14.25" customHeight="1" x14ac:dyDescent="0.35">
      <c r="O786" s="1"/>
    </row>
    <row r="787" spans="15:15" ht="14.25" customHeight="1" x14ac:dyDescent="0.35">
      <c r="O787" s="1"/>
    </row>
    <row r="788" spans="15:15" ht="14.25" customHeight="1" x14ac:dyDescent="0.35">
      <c r="O788" s="1"/>
    </row>
    <row r="789" spans="15:15" ht="14.25" customHeight="1" x14ac:dyDescent="0.35">
      <c r="O789" s="1"/>
    </row>
    <row r="790" spans="15:15" ht="14.25" customHeight="1" x14ac:dyDescent="0.35">
      <c r="O790" s="1"/>
    </row>
    <row r="791" spans="15:15" ht="14.25" customHeight="1" x14ac:dyDescent="0.35">
      <c r="O791" s="1"/>
    </row>
    <row r="792" spans="15:15" ht="14.25" customHeight="1" x14ac:dyDescent="0.35">
      <c r="O792" s="1"/>
    </row>
    <row r="793" spans="15:15" ht="14.25" customHeight="1" x14ac:dyDescent="0.35">
      <c r="O793" s="1"/>
    </row>
    <row r="794" spans="15:15" ht="14.25" customHeight="1" x14ac:dyDescent="0.35">
      <c r="O794" s="1"/>
    </row>
    <row r="795" spans="15:15" ht="14.25" customHeight="1" x14ac:dyDescent="0.35">
      <c r="O795" s="1"/>
    </row>
    <row r="796" spans="15:15" ht="14.25" customHeight="1" x14ac:dyDescent="0.35">
      <c r="O796" s="1"/>
    </row>
    <row r="797" spans="15:15" ht="14.25" customHeight="1" x14ac:dyDescent="0.35">
      <c r="O797" s="1"/>
    </row>
    <row r="798" spans="15:15" ht="14.25" customHeight="1" x14ac:dyDescent="0.35">
      <c r="O798" s="1"/>
    </row>
    <row r="799" spans="15:15" ht="14.25" customHeight="1" x14ac:dyDescent="0.35">
      <c r="O799" s="1"/>
    </row>
    <row r="800" spans="15:15" ht="14.25" customHeight="1" x14ac:dyDescent="0.35">
      <c r="O800" s="1"/>
    </row>
    <row r="801" spans="15:15" ht="14.25" customHeight="1" x14ac:dyDescent="0.35">
      <c r="O801" s="1"/>
    </row>
    <row r="802" spans="15:15" ht="14.25" customHeight="1" x14ac:dyDescent="0.35">
      <c r="O802" s="1"/>
    </row>
    <row r="803" spans="15:15" ht="14.25" customHeight="1" x14ac:dyDescent="0.35">
      <c r="O803" s="1"/>
    </row>
    <row r="804" spans="15:15" ht="14.25" customHeight="1" x14ac:dyDescent="0.35">
      <c r="O804" s="1"/>
    </row>
    <row r="805" spans="15:15" ht="14.25" customHeight="1" x14ac:dyDescent="0.35">
      <c r="O805" s="1"/>
    </row>
    <row r="806" spans="15:15" ht="14.25" customHeight="1" x14ac:dyDescent="0.35">
      <c r="O806" s="1"/>
    </row>
    <row r="807" spans="15:15" ht="14.25" customHeight="1" x14ac:dyDescent="0.35">
      <c r="O807" s="1"/>
    </row>
    <row r="808" spans="15:15" ht="14.25" customHeight="1" x14ac:dyDescent="0.35">
      <c r="O808" s="1"/>
    </row>
    <row r="809" spans="15:15" ht="14.25" customHeight="1" x14ac:dyDescent="0.35">
      <c r="O809" s="1"/>
    </row>
    <row r="810" spans="15:15" ht="14.25" customHeight="1" x14ac:dyDescent="0.35">
      <c r="O810" s="1"/>
    </row>
    <row r="811" spans="15:15" ht="14.25" customHeight="1" x14ac:dyDescent="0.35">
      <c r="O811" s="1"/>
    </row>
    <row r="812" spans="15:15" ht="14.25" customHeight="1" x14ac:dyDescent="0.35">
      <c r="O812" s="1"/>
    </row>
    <row r="813" spans="15:15" ht="14.25" customHeight="1" x14ac:dyDescent="0.35">
      <c r="O813" s="1"/>
    </row>
    <row r="814" spans="15:15" ht="14.25" customHeight="1" x14ac:dyDescent="0.35">
      <c r="O814" s="1"/>
    </row>
    <row r="815" spans="15:15" ht="14.25" customHeight="1" x14ac:dyDescent="0.35">
      <c r="O815" s="1"/>
    </row>
    <row r="816" spans="15:15" ht="14.25" customHeight="1" x14ac:dyDescent="0.35">
      <c r="O816" s="1"/>
    </row>
    <row r="817" spans="15:15" ht="14.25" customHeight="1" x14ac:dyDescent="0.35">
      <c r="O817" s="1"/>
    </row>
    <row r="818" spans="15:15" ht="14.25" customHeight="1" x14ac:dyDescent="0.35">
      <c r="O818" s="1"/>
    </row>
    <row r="819" spans="15:15" ht="14.25" customHeight="1" x14ac:dyDescent="0.35">
      <c r="O819" s="1"/>
    </row>
    <row r="820" spans="15:15" ht="14.25" customHeight="1" x14ac:dyDescent="0.35">
      <c r="O820" s="1"/>
    </row>
    <row r="821" spans="15:15" ht="14.25" customHeight="1" x14ac:dyDescent="0.35">
      <c r="O821" s="1"/>
    </row>
    <row r="822" spans="15:15" ht="14.25" customHeight="1" x14ac:dyDescent="0.35">
      <c r="O822" s="1"/>
    </row>
    <row r="823" spans="15:15" ht="14.25" customHeight="1" x14ac:dyDescent="0.35">
      <c r="O823" s="1"/>
    </row>
    <row r="824" spans="15:15" ht="14.25" customHeight="1" x14ac:dyDescent="0.35">
      <c r="O824" s="1"/>
    </row>
    <row r="825" spans="15:15" ht="14.25" customHeight="1" x14ac:dyDescent="0.35">
      <c r="O825" s="1"/>
    </row>
    <row r="826" spans="15:15" ht="14.25" customHeight="1" x14ac:dyDescent="0.35">
      <c r="O826" s="1"/>
    </row>
    <row r="827" spans="15:15" ht="14.25" customHeight="1" x14ac:dyDescent="0.35">
      <c r="O827" s="1"/>
    </row>
    <row r="828" spans="15:15" ht="14.25" customHeight="1" x14ac:dyDescent="0.35">
      <c r="O828" s="1"/>
    </row>
    <row r="829" spans="15:15" ht="14.25" customHeight="1" x14ac:dyDescent="0.35">
      <c r="O829" s="1"/>
    </row>
    <row r="830" spans="15:15" ht="14.25" customHeight="1" x14ac:dyDescent="0.35">
      <c r="O830" s="1"/>
    </row>
    <row r="831" spans="15:15" ht="14.25" customHeight="1" x14ac:dyDescent="0.35">
      <c r="O831" s="1"/>
    </row>
    <row r="832" spans="15:15" ht="14.25" customHeight="1" x14ac:dyDescent="0.35">
      <c r="O832" s="1"/>
    </row>
    <row r="833" spans="15:15" ht="14.25" customHeight="1" x14ac:dyDescent="0.35">
      <c r="O833" s="1"/>
    </row>
    <row r="834" spans="15:15" ht="14.25" customHeight="1" x14ac:dyDescent="0.35">
      <c r="O834" s="1"/>
    </row>
    <row r="835" spans="15:15" ht="14.25" customHeight="1" x14ac:dyDescent="0.35">
      <c r="O835" s="1"/>
    </row>
    <row r="836" spans="15:15" ht="14.25" customHeight="1" x14ac:dyDescent="0.35">
      <c r="O836" s="1"/>
    </row>
    <row r="837" spans="15:15" ht="14.25" customHeight="1" x14ac:dyDescent="0.35">
      <c r="O837" s="1"/>
    </row>
    <row r="838" spans="15:15" ht="14.25" customHeight="1" x14ac:dyDescent="0.35">
      <c r="O838" s="1"/>
    </row>
    <row r="839" spans="15:15" ht="14.25" customHeight="1" x14ac:dyDescent="0.35">
      <c r="O839" s="1"/>
    </row>
    <row r="840" spans="15:15" ht="14.25" customHeight="1" x14ac:dyDescent="0.35">
      <c r="O840" s="1"/>
    </row>
    <row r="841" spans="15:15" ht="14.25" customHeight="1" x14ac:dyDescent="0.35">
      <c r="O841" s="1"/>
    </row>
    <row r="842" spans="15:15" ht="14.25" customHeight="1" x14ac:dyDescent="0.35">
      <c r="O842" s="1"/>
    </row>
    <row r="843" spans="15:15" ht="14.25" customHeight="1" x14ac:dyDescent="0.35">
      <c r="O843" s="1"/>
    </row>
    <row r="844" spans="15:15" ht="14.25" customHeight="1" x14ac:dyDescent="0.35">
      <c r="O844" s="1"/>
    </row>
    <row r="845" spans="15:15" ht="14.25" customHeight="1" x14ac:dyDescent="0.35">
      <c r="O845" s="1"/>
    </row>
    <row r="846" spans="15:15" ht="14.25" customHeight="1" x14ac:dyDescent="0.35">
      <c r="O846" s="1"/>
    </row>
    <row r="847" spans="15:15" ht="14.25" customHeight="1" x14ac:dyDescent="0.35">
      <c r="O847" s="1"/>
    </row>
    <row r="848" spans="15:15" ht="14.25" customHeight="1" x14ac:dyDescent="0.35">
      <c r="O848" s="1"/>
    </row>
    <row r="849" spans="15:15" ht="14.25" customHeight="1" x14ac:dyDescent="0.35">
      <c r="O849" s="1"/>
    </row>
    <row r="850" spans="15:15" ht="14.25" customHeight="1" x14ac:dyDescent="0.35">
      <c r="O850" s="1"/>
    </row>
    <row r="851" spans="15:15" ht="14.25" customHeight="1" x14ac:dyDescent="0.35">
      <c r="O851" s="1"/>
    </row>
    <row r="852" spans="15:15" ht="14.25" customHeight="1" x14ac:dyDescent="0.35">
      <c r="O852" s="1"/>
    </row>
    <row r="853" spans="15:15" ht="14.25" customHeight="1" x14ac:dyDescent="0.35">
      <c r="O853" s="1"/>
    </row>
    <row r="854" spans="15:15" ht="14.25" customHeight="1" x14ac:dyDescent="0.35">
      <c r="O854" s="1"/>
    </row>
    <row r="855" spans="15:15" ht="14.25" customHeight="1" x14ac:dyDescent="0.35">
      <c r="O855" s="1"/>
    </row>
    <row r="856" spans="15:15" ht="14.25" customHeight="1" x14ac:dyDescent="0.35">
      <c r="O856" s="1"/>
    </row>
    <row r="857" spans="15:15" ht="14.25" customHeight="1" x14ac:dyDescent="0.35">
      <c r="O857" s="1"/>
    </row>
    <row r="858" spans="15:15" ht="14.25" customHeight="1" x14ac:dyDescent="0.35">
      <c r="O858" s="1"/>
    </row>
    <row r="859" spans="15:15" ht="14.25" customHeight="1" x14ac:dyDescent="0.35">
      <c r="O859" s="1"/>
    </row>
    <row r="860" spans="15:15" ht="14.25" customHeight="1" x14ac:dyDescent="0.35">
      <c r="O860" s="1"/>
    </row>
    <row r="861" spans="15:15" ht="14.25" customHeight="1" x14ac:dyDescent="0.35">
      <c r="O861" s="1"/>
    </row>
    <row r="862" spans="15:15" ht="14.25" customHeight="1" x14ac:dyDescent="0.35">
      <c r="O862" s="1"/>
    </row>
    <row r="863" spans="15:15" ht="14.25" customHeight="1" x14ac:dyDescent="0.35">
      <c r="O863" s="1"/>
    </row>
    <row r="864" spans="15:15" ht="14.25" customHeight="1" x14ac:dyDescent="0.35">
      <c r="O864" s="1"/>
    </row>
    <row r="865" spans="15:15" ht="14.25" customHeight="1" x14ac:dyDescent="0.35">
      <c r="O865" s="1"/>
    </row>
    <row r="866" spans="15:15" ht="14.25" customHeight="1" x14ac:dyDescent="0.35">
      <c r="O866" s="1"/>
    </row>
    <row r="867" spans="15:15" ht="14.25" customHeight="1" x14ac:dyDescent="0.35">
      <c r="O867" s="1"/>
    </row>
    <row r="868" spans="15:15" ht="14.25" customHeight="1" x14ac:dyDescent="0.35">
      <c r="O868" s="1"/>
    </row>
    <row r="869" spans="15:15" ht="14.25" customHeight="1" x14ac:dyDescent="0.35">
      <c r="O869" s="1"/>
    </row>
    <row r="870" spans="15:15" ht="14.25" customHeight="1" x14ac:dyDescent="0.35">
      <c r="O870" s="1"/>
    </row>
    <row r="871" spans="15:15" ht="14.25" customHeight="1" x14ac:dyDescent="0.35">
      <c r="O871" s="1"/>
    </row>
    <row r="872" spans="15:15" ht="14.25" customHeight="1" x14ac:dyDescent="0.35">
      <c r="O872" s="1"/>
    </row>
    <row r="873" spans="15:15" ht="14.25" customHeight="1" x14ac:dyDescent="0.35">
      <c r="O873" s="1"/>
    </row>
    <row r="874" spans="15:15" ht="14.25" customHeight="1" x14ac:dyDescent="0.35">
      <c r="O874" s="1"/>
    </row>
    <row r="875" spans="15:15" ht="14.25" customHeight="1" x14ac:dyDescent="0.35">
      <c r="O875" s="1"/>
    </row>
    <row r="876" spans="15:15" ht="14.25" customHeight="1" x14ac:dyDescent="0.35">
      <c r="O876" s="1"/>
    </row>
    <row r="877" spans="15:15" ht="14.25" customHeight="1" x14ac:dyDescent="0.35">
      <c r="O877" s="1"/>
    </row>
    <row r="878" spans="15:15" ht="14.25" customHeight="1" x14ac:dyDescent="0.35">
      <c r="O878" s="1"/>
    </row>
    <row r="879" spans="15:15" ht="14.25" customHeight="1" x14ac:dyDescent="0.35">
      <c r="O879" s="1"/>
    </row>
    <row r="880" spans="15:15" ht="14.25" customHeight="1" x14ac:dyDescent="0.35">
      <c r="O880" s="1"/>
    </row>
    <row r="881" spans="15:15" ht="14.25" customHeight="1" x14ac:dyDescent="0.35">
      <c r="O881" s="1"/>
    </row>
    <row r="882" spans="15:15" ht="14.25" customHeight="1" x14ac:dyDescent="0.35">
      <c r="O882" s="1"/>
    </row>
    <row r="883" spans="15:15" ht="14.25" customHeight="1" x14ac:dyDescent="0.35">
      <c r="O883" s="1"/>
    </row>
    <row r="884" spans="15:15" ht="14.25" customHeight="1" x14ac:dyDescent="0.35">
      <c r="O884" s="1"/>
    </row>
    <row r="885" spans="15:15" ht="14.25" customHeight="1" x14ac:dyDescent="0.35">
      <c r="O885" s="1"/>
    </row>
    <row r="886" spans="15:15" ht="14.25" customHeight="1" x14ac:dyDescent="0.35">
      <c r="O886" s="1"/>
    </row>
    <row r="887" spans="15:15" ht="14.25" customHeight="1" x14ac:dyDescent="0.35">
      <c r="O887" s="1"/>
    </row>
    <row r="888" spans="15:15" ht="14.25" customHeight="1" x14ac:dyDescent="0.35">
      <c r="O888" s="1"/>
    </row>
    <row r="889" spans="15:15" ht="14.25" customHeight="1" x14ac:dyDescent="0.35">
      <c r="O889" s="1"/>
    </row>
    <row r="890" spans="15:15" ht="14.25" customHeight="1" x14ac:dyDescent="0.35">
      <c r="O890" s="1"/>
    </row>
    <row r="891" spans="15:15" ht="14.25" customHeight="1" x14ac:dyDescent="0.35">
      <c r="O891" s="1"/>
    </row>
    <row r="892" spans="15:15" ht="14.25" customHeight="1" x14ac:dyDescent="0.35">
      <c r="O892" s="1"/>
    </row>
    <row r="893" spans="15:15" ht="14.25" customHeight="1" x14ac:dyDescent="0.35">
      <c r="O893" s="1"/>
    </row>
    <row r="894" spans="15:15" ht="14.25" customHeight="1" x14ac:dyDescent="0.35">
      <c r="O894" s="1"/>
    </row>
    <row r="895" spans="15:15" ht="14.25" customHeight="1" x14ac:dyDescent="0.35">
      <c r="O895" s="1"/>
    </row>
    <row r="896" spans="15:15" ht="14.25" customHeight="1" x14ac:dyDescent="0.35">
      <c r="O896" s="1"/>
    </row>
    <row r="897" spans="15:15" ht="14.25" customHeight="1" x14ac:dyDescent="0.35">
      <c r="O897" s="1"/>
    </row>
    <row r="898" spans="15:15" ht="14.25" customHeight="1" x14ac:dyDescent="0.35">
      <c r="O898" s="1"/>
    </row>
    <row r="899" spans="15:15" ht="14.25" customHeight="1" x14ac:dyDescent="0.35">
      <c r="O899" s="1"/>
    </row>
    <row r="900" spans="15:15" ht="14.25" customHeight="1" x14ac:dyDescent="0.35">
      <c r="O900" s="1"/>
    </row>
    <row r="901" spans="15:15" ht="14.25" customHeight="1" x14ac:dyDescent="0.35">
      <c r="O901" s="1"/>
    </row>
    <row r="902" spans="15:15" ht="14.25" customHeight="1" x14ac:dyDescent="0.35">
      <c r="O902" s="1"/>
    </row>
    <row r="903" spans="15:15" ht="14.25" customHeight="1" x14ac:dyDescent="0.35">
      <c r="O903" s="1"/>
    </row>
    <row r="904" spans="15:15" ht="14.25" customHeight="1" x14ac:dyDescent="0.35">
      <c r="O904" s="1"/>
    </row>
    <row r="905" spans="15:15" ht="14.25" customHeight="1" x14ac:dyDescent="0.35">
      <c r="O905" s="1"/>
    </row>
    <row r="906" spans="15:15" ht="14.25" customHeight="1" x14ac:dyDescent="0.35">
      <c r="O906" s="1"/>
    </row>
    <row r="907" spans="15:15" ht="14.25" customHeight="1" x14ac:dyDescent="0.35">
      <c r="O907" s="1"/>
    </row>
    <row r="908" spans="15:15" ht="14.25" customHeight="1" x14ac:dyDescent="0.35">
      <c r="O908" s="1"/>
    </row>
    <row r="909" spans="15:15" ht="14.25" customHeight="1" x14ac:dyDescent="0.35">
      <c r="O909" s="1"/>
    </row>
    <row r="910" spans="15:15" ht="14.25" customHeight="1" x14ac:dyDescent="0.35">
      <c r="O910" s="1"/>
    </row>
    <row r="911" spans="15:15" ht="14.25" customHeight="1" x14ac:dyDescent="0.35">
      <c r="O911" s="1"/>
    </row>
    <row r="912" spans="15:15" ht="14.25" customHeight="1" x14ac:dyDescent="0.35">
      <c r="O912" s="1"/>
    </row>
    <row r="913" spans="15:15" ht="14.25" customHeight="1" x14ac:dyDescent="0.35">
      <c r="O913" s="1"/>
    </row>
    <row r="914" spans="15:15" ht="14.25" customHeight="1" x14ac:dyDescent="0.35">
      <c r="O914" s="1"/>
    </row>
    <row r="915" spans="15:15" ht="14.25" customHeight="1" x14ac:dyDescent="0.35">
      <c r="O915" s="1"/>
    </row>
    <row r="916" spans="15:15" ht="14.25" customHeight="1" x14ac:dyDescent="0.35">
      <c r="O916" s="1"/>
    </row>
    <row r="917" spans="15:15" ht="14.25" customHeight="1" x14ac:dyDescent="0.35">
      <c r="O917" s="1"/>
    </row>
    <row r="918" spans="15:15" ht="14.25" customHeight="1" x14ac:dyDescent="0.35">
      <c r="O918" s="1"/>
    </row>
    <row r="919" spans="15:15" ht="14.25" customHeight="1" x14ac:dyDescent="0.35">
      <c r="O919" s="1"/>
    </row>
    <row r="920" spans="15:15" ht="14.25" customHeight="1" x14ac:dyDescent="0.35">
      <c r="O920" s="1"/>
    </row>
    <row r="921" spans="15:15" ht="14.25" customHeight="1" x14ac:dyDescent="0.35">
      <c r="O921" s="1"/>
    </row>
    <row r="922" spans="15:15" ht="14.25" customHeight="1" x14ac:dyDescent="0.35">
      <c r="O922" s="1"/>
    </row>
    <row r="923" spans="15:15" ht="14.25" customHeight="1" x14ac:dyDescent="0.35">
      <c r="O923" s="1"/>
    </row>
    <row r="924" spans="15:15" ht="14.25" customHeight="1" x14ac:dyDescent="0.35">
      <c r="O924" s="1"/>
    </row>
    <row r="925" spans="15:15" ht="14.25" customHeight="1" x14ac:dyDescent="0.35">
      <c r="O925" s="1"/>
    </row>
    <row r="926" spans="15:15" ht="14.25" customHeight="1" x14ac:dyDescent="0.35">
      <c r="O926" s="1"/>
    </row>
    <row r="927" spans="15:15" ht="14.25" customHeight="1" x14ac:dyDescent="0.35">
      <c r="O927" s="1"/>
    </row>
    <row r="928" spans="15:15" ht="14.25" customHeight="1" x14ac:dyDescent="0.35">
      <c r="O928" s="1"/>
    </row>
    <row r="929" spans="15:15" ht="14.25" customHeight="1" x14ac:dyDescent="0.35">
      <c r="O929" s="1"/>
    </row>
    <row r="930" spans="15:15" ht="14.25" customHeight="1" x14ac:dyDescent="0.35">
      <c r="O930" s="1"/>
    </row>
    <row r="931" spans="15:15" ht="14.25" customHeight="1" x14ac:dyDescent="0.35">
      <c r="O931" s="1"/>
    </row>
    <row r="932" spans="15:15" ht="14.25" customHeight="1" x14ac:dyDescent="0.35">
      <c r="O932" s="1"/>
    </row>
    <row r="933" spans="15:15" ht="14.25" customHeight="1" x14ac:dyDescent="0.35">
      <c r="O933" s="1"/>
    </row>
    <row r="934" spans="15:15" ht="14.25" customHeight="1" x14ac:dyDescent="0.35">
      <c r="O934" s="1"/>
    </row>
    <row r="935" spans="15:15" ht="14.25" customHeight="1" x14ac:dyDescent="0.35">
      <c r="O935" s="1"/>
    </row>
    <row r="936" spans="15:15" ht="14.25" customHeight="1" x14ac:dyDescent="0.35">
      <c r="O936" s="1"/>
    </row>
    <row r="937" spans="15:15" ht="14.25" customHeight="1" x14ac:dyDescent="0.35">
      <c r="O937" s="1"/>
    </row>
    <row r="938" spans="15:15" ht="14.25" customHeight="1" x14ac:dyDescent="0.35">
      <c r="O938" s="1"/>
    </row>
    <row r="939" spans="15:15" ht="14.25" customHeight="1" x14ac:dyDescent="0.35">
      <c r="O939" s="1"/>
    </row>
    <row r="940" spans="15:15" ht="14.25" customHeight="1" x14ac:dyDescent="0.35">
      <c r="O940" s="1"/>
    </row>
    <row r="941" spans="15:15" ht="14.25" customHeight="1" x14ac:dyDescent="0.35">
      <c r="O941" s="1"/>
    </row>
    <row r="942" spans="15:15" ht="14.25" customHeight="1" x14ac:dyDescent="0.35">
      <c r="O942" s="1"/>
    </row>
    <row r="943" spans="15:15" ht="14.25" customHeight="1" x14ac:dyDescent="0.35">
      <c r="O943" s="1"/>
    </row>
    <row r="944" spans="15:15" ht="14.25" customHeight="1" x14ac:dyDescent="0.35">
      <c r="O944" s="1"/>
    </row>
    <row r="945" spans="15:15" ht="14.25" customHeight="1" x14ac:dyDescent="0.35">
      <c r="O945" s="1"/>
    </row>
    <row r="946" spans="15:15" ht="14.25" customHeight="1" x14ac:dyDescent="0.35">
      <c r="O946" s="1"/>
    </row>
    <row r="947" spans="15:15" ht="14.25" customHeight="1" x14ac:dyDescent="0.35">
      <c r="O947" s="1"/>
    </row>
    <row r="948" spans="15:15" ht="14.25" customHeight="1" x14ac:dyDescent="0.35">
      <c r="O948" s="1"/>
    </row>
    <row r="949" spans="15:15" ht="14.25" customHeight="1" x14ac:dyDescent="0.35">
      <c r="O949" s="1"/>
    </row>
    <row r="950" spans="15:15" ht="14.25" customHeight="1" x14ac:dyDescent="0.35">
      <c r="O950" s="1"/>
    </row>
    <row r="951" spans="15:15" ht="14.25" customHeight="1" x14ac:dyDescent="0.35">
      <c r="O951" s="1"/>
    </row>
    <row r="952" spans="15:15" ht="14.25" customHeight="1" x14ac:dyDescent="0.35">
      <c r="O952" s="1"/>
    </row>
    <row r="953" spans="15:15" ht="14.25" customHeight="1" x14ac:dyDescent="0.35">
      <c r="O953" s="1"/>
    </row>
    <row r="954" spans="15:15" ht="14.25" customHeight="1" x14ac:dyDescent="0.35">
      <c r="O954" s="1"/>
    </row>
    <row r="955" spans="15:15" ht="14.25" customHeight="1" x14ac:dyDescent="0.35">
      <c r="O955" s="1"/>
    </row>
    <row r="956" spans="15:15" ht="14.25" customHeight="1" x14ac:dyDescent="0.35">
      <c r="O956" s="1"/>
    </row>
    <row r="957" spans="15:15" ht="14.25" customHeight="1" x14ac:dyDescent="0.35">
      <c r="O957" s="1"/>
    </row>
    <row r="958" spans="15:15" ht="14.25" customHeight="1" x14ac:dyDescent="0.35">
      <c r="O958" s="1"/>
    </row>
    <row r="959" spans="15:15" ht="14.25" customHeight="1" x14ac:dyDescent="0.35">
      <c r="O959" s="1"/>
    </row>
    <row r="960" spans="15:15" ht="14.25" customHeight="1" x14ac:dyDescent="0.35">
      <c r="O960" s="1"/>
    </row>
    <row r="961" spans="15:15" ht="14.25" customHeight="1" x14ac:dyDescent="0.35">
      <c r="O961" s="1"/>
    </row>
    <row r="962" spans="15:15" ht="14.25" customHeight="1" x14ac:dyDescent="0.35">
      <c r="O962" s="1"/>
    </row>
    <row r="963" spans="15:15" ht="14.25" customHeight="1" x14ac:dyDescent="0.35">
      <c r="O963" s="1"/>
    </row>
    <row r="964" spans="15:15" ht="14.25" customHeight="1" x14ac:dyDescent="0.35">
      <c r="O964" s="1"/>
    </row>
    <row r="965" spans="15:15" ht="14.25" customHeight="1" x14ac:dyDescent="0.35">
      <c r="O965" s="1"/>
    </row>
    <row r="966" spans="15:15" ht="14.25" customHeight="1" x14ac:dyDescent="0.35">
      <c r="O966" s="1"/>
    </row>
    <row r="967" spans="15:15" ht="14.25" customHeight="1" x14ac:dyDescent="0.35">
      <c r="O967" s="1"/>
    </row>
    <row r="968" spans="15:15" ht="14.25" customHeight="1" x14ac:dyDescent="0.35">
      <c r="O968" s="1"/>
    </row>
    <row r="969" spans="15:15" ht="14.25" customHeight="1" x14ac:dyDescent="0.35">
      <c r="O969" s="1"/>
    </row>
    <row r="970" spans="15:15" ht="14.25" customHeight="1" x14ac:dyDescent="0.35">
      <c r="O970" s="1"/>
    </row>
    <row r="971" spans="15:15" ht="14.25" customHeight="1" x14ac:dyDescent="0.35">
      <c r="O971" s="1"/>
    </row>
    <row r="972" spans="15:15" ht="14.25" customHeight="1" x14ac:dyDescent="0.35">
      <c r="O972" s="1"/>
    </row>
    <row r="973" spans="15:15" ht="14.25" customHeight="1" x14ac:dyDescent="0.35">
      <c r="O973" s="1"/>
    </row>
    <row r="974" spans="15:15" ht="14.25" customHeight="1" x14ac:dyDescent="0.35">
      <c r="O974" s="1"/>
    </row>
    <row r="975" spans="15:15" ht="14.25" customHeight="1" x14ac:dyDescent="0.35">
      <c r="O975" s="1"/>
    </row>
    <row r="976" spans="15:15" ht="14.25" customHeight="1" x14ac:dyDescent="0.35">
      <c r="O976" s="1"/>
    </row>
    <row r="977" spans="15:15" ht="14.25" customHeight="1" x14ac:dyDescent="0.35">
      <c r="O977" s="1"/>
    </row>
    <row r="978" spans="15:15" ht="14.25" customHeight="1" x14ac:dyDescent="0.35">
      <c r="O978" s="1"/>
    </row>
    <row r="979" spans="15:15" ht="14.25" customHeight="1" x14ac:dyDescent="0.35">
      <c r="O979" s="1"/>
    </row>
    <row r="980" spans="15:15" ht="14.25" customHeight="1" x14ac:dyDescent="0.35">
      <c r="O980" s="1"/>
    </row>
    <row r="981" spans="15:15" ht="14.25" customHeight="1" x14ac:dyDescent="0.35">
      <c r="O981" s="1"/>
    </row>
    <row r="982" spans="15:15" ht="14.25" customHeight="1" x14ac:dyDescent="0.35">
      <c r="O982" s="1"/>
    </row>
    <row r="983" spans="15:15" ht="14.25" customHeight="1" x14ac:dyDescent="0.35">
      <c r="O983" s="1"/>
    </row>
    <row r="984" spans="15:15" ht="14.25" customHeight="1" x14ac:dyDescent="0.35">
      <c r="O984" s="1"/>
    </row>
    <row r="985" spans="15:15" ht="14.25" customHeight="1" x14ac:dyDescent="0.35">
      <c r="O985" s="1"/>
    </row>
    <row r="986" spans="15:15" ht="14.25" customHeight="1" x14ac:dyDescent="0.35">
      <c r="O986" s="1"/>
    </row>
    <row r="987" spans="15:15" ht="14.25" customHeight="1" x14ac:dyDescent="0.35">
      <c r="O987" s="1"/>
    </row>
    <row r="988" spans="15:15" ht="14.25" customHeight="1" x14ac:dyDescent="0.35">
      <c r="O988" s="1"/>
    </row>
    <row r="989" spans="15:15" ht="14.25" customHeight="1" x14ac:dyDescent="0.35">
      <c r="O989" s="1"/>
    </row>
    <row r="990" spans="15:15" ht="14.25" customHeight="1" x14ac:dyDescent="0.35">
      <c r="O990" s="1"/>
    </row>
    <row r="991" spans="15:15" ht="14.25" customHeight="1" x14ac:dyDescent="0.35">
      <c r="O991" s="1"/>
    </row>
    <row r="992" spans="15:15" ht="14.25" customHeight="1" x14ac:dyDescent="0.35">
      <c r="O992" s="1"/>
    </row>
    <row r="993" spans="15:15" ht="14.25" customHeight="1" x14ac:dyDescent="0.35">
      <c r="O993" s="1"/>
    </row>
    <row r="994" spans="15:15" ht="14.25" customHeight="1" x14ac:dyDescent="0.35">
      <c r="O994" s="1"/>
    </row>
    <row r="995" spans="15:15" ht="14.25" customHeight="1" x14ac:dyDescent="0.35">
      <c r="O995" s="1"/>
    </row>
    <row r="996" spans="15:15" ht="14.25" customHeight="1" x14ac:dyDescent="0.35">
      <c r="O996" s="1"/>
    </row>
    <row r="997" spans="15:15" ht="14.25" customHeight="1" x14ac:dyDescent="0.35">
      <c r="O997" s="1"/>
    </row>
    <row r="998" spans="15:15" ht="14.25" customHeight="1" x14ac:dyDescent="0.35">
      <c r="O998" s="1"/>
    </row>
    <row r="999" spans="15:15" ht="14.25" customHeight="1" x14ac:dyDescent="0.35">
      <c r="O999" s="1"/>
    </row>
    <row r="1000" spans="15:15" ht="14.25" customHeight="1" x14ac:dyDescent="0.35">
      <c r="O1000" s="1"/>
    </row>
  </sheetData>
  <mergeCells count="16">
    <mergeCell ref="B7:C7"/>
    <mergeCell ref="B2:C2"/>
    <mergeCell ref="B3:C3"/>
    <mergeCell ref="B4:C4"/>
    <mergeCell ref="B5:C5"/>
    <mergeCell ref="B6:C6"/>
    <mergeCell ref="B21:B23"/>
    <mergeCell ref="B24:B25"/>
    <mergeCell ref="B8:C8"/>
    <mergeCell ref="I8:J8"/>
    <mergeCell ref="B9:C9"/>
    <mergeCell ref="I9:J9"/>
    <mergeCell ref="F11:K11"/>
    <mergeCell ref="B13:B20"/>
    <mergeCell ref="C13:C16"/>
    <mergeCell ref="C17:C19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1B7E-F030-41F6-8420-7D8F47219B9B}">
  <sheetPr>
    <tabColor rgb="FFE2EFD9"/>
  </sheetPr>
  <dimension ref="B1:P1000"/>
  <sheetViews>
    <sheetView topLeftCell="B1" zoomScale="70" zoomScaleNormal="70" workbookViewId="0">
      <selection activeCell="L26" sqref="L26"/>
    </sheetView>
  </sheetViews>
  <sheetFormatPr defaultColWidth="14.453125" defaultRowHeight="15" customHeight="1" x14ac:dyDescent="0.35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 thickBot="1" x14ac:dyDescent="0.4">
      <c r="O1" s="1"/>
    </row>
    <row r="2" spans="2:16" ht="14.25" customHeight="1" x14ac:dyDescent="0.45">
      <c r="B2" s="199" t="s">
        <v>0</v>
      </c>
      <c r="C2" s="200"/>
      <c r="D2" s="2" t="s">
        <v>1</v>
      </c>
      <c r="E2" s="3"/>
      <c r="I2" s="4"/>
      <c r="O2" s="1"/>
    </row>
    <row r="3" spans="2:16" ht="14.25" customHeight="1" x14ac:dyDescent="0.45">
      <c r="B3" s="198" t="s">
        <v>2</v>
      </c>
      <c r="C3" s="186"/>
      <c r="D3" s="5">
        <f ca="1">TODAY()</f>
        <v>45853</v>
      </c>
      <c r="I3" s="4"/>
      <c r="O3" s="1"/>
    </row>
    <row r="4" spans="2:16" ht="14.25" customHeight="1" x14ac:dyDescent="0.45">
      <c r="B4" s="198" t="s">
        <v>3</v>
      </c>
      <c r="C4" s="186"/>
      <c r="D4" s="6">
        <v>3</v>
      </c>
      <c r="E4" s="3"/>
      <c r="O4" s="1"/>
    </row>
    <row r="5" spans="2:16" ht="14.25" customHeight="1" x14ac:dyDescent="0.45">
      <c r="B5" s="198" t="s">
        <v>4</v>
      </c>
      <c r="C5" s="186"/>
      <c r="D5" s="7">
        <v>0.1</v>
      </c>
      <c r="E5" s="3"/>
      <c r="O5" s="1"/>
    </row>
    <row r="6" spans="2:16" ht="14.25" customHeight="1" x14ac:dyDescent="0.45">
      <c r="B6" s="198" t="s">
        <v>5</v>
      </c>
      <c r="C6" s="186"/>
      <c r="D6" s="8">
        <v>0.05</v>
      </c>
      <c r="E6" s="3"/>
      <c r="O6" s="1"/>
    </row>
    <row r="7" spans="2:16" ht="14.25" customHeight="1" x14ac:dyDescent="0.45">
      <c r="B7" s="198" t="s">
        <v>6</v>
      </c>
      <c r="C7" s="186"/>
      <c r="D7" s="9">
        <v>40000</v>
      </c>
      <c r="E7" s="3"/>
      <c r="O7" s="10"/>
      <c r="P7" s="11"/>
    </row>
    <row r="8" spans="2:16" ht="14.25" customHeight="1" x14ac:dyDescent="0.45">
      <c r="B8" s="185"/>
      <c r="C8" s="186"/>
      <c r="D8" s="12"/>
      <c r="E8" s="3"/>
      <c r="I8" s="187"/>
      <c r="J8" s="186"/>
      <c r="K8" s="13"/>
      <c r="O8" s="10"/>
      <c r="P8" s="11"/>
    </row>
    <row r="9" spans="2:16" ht="14.25" customHeight="1" thickBot="1" x14ac:dyDescent="0.5">
      <c r="B9" s="188" t="s">
        <v>7</v>
      </c>
      <c r="C9" s="189"/>
      <c r="D9" s="14">
        <v>0</v>
      </c>
      <c r="E9" s="3"/>
      <c r="F9" s="15"/>
      <c r="G9" s="16"/>
      <c r="H9" s="16"/>
      <c r="I9" s="187"/>
      <c r="J9" s="186"/>
      <c r="K9" s="17"/>
      <c r="O9" s="1"/>
      <c r="P9" s="11"/>
    </row>
    <row r="10" spans="2:16" ht="14.25" customHeight="1" thickBot="1" x14ac:dyDescent="0.4">
      <c r="O10" s="1"/>
      <c r="P10" s="11"/>
    </row>
    <row r="11" spans="2:16" ht="43.5" customHeight="1" thickBot="1" x14ac:dyDescent="0.4">
      <c r="B11" s="4"/>
      <c r="C11" s="4"/>
      <c r="D11" s="4"/>
      <c r="E11" s="4"/>
      <c r="F11" s="190" t="s">
        <v>8</v>
      </c>
      <c r="G11" s="191"/>
      <c r="H11" s="191"/>
      <c r="I11" s="191"/>
      <c r="J11" s="191"/>
      <c r="K11" s="192"/>
      <c r="O11" s="1"/>
    </row>
    <row r="12" spans="2:16" ht="49.5" customHeight="1" thickBot="1" x14ac:dyDescent="0.4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 x14ac:dyDescent="0.35">
      <c r="B13" s="193" t="s">
        <v>19</v>
      </c>
      <c r="C13" s="194" t="s">
        <v>20</v>
      </c>
      <c r="D13" s="24" t="s">
        <v>20</v>
      </c>
      <c r="E13" s="25" t="s">
        <v>21</v>
      </c>
      <c r="F13" s="26">
        <f>'Hardware List-RFID'!D30</f>
        <v>1107200</v>
      </c>
      <c r="G13" s="27"/>
      <c r="H13" s="28">
        <f>F13</f>
        <v>1107200</v>
      </c>
      <c r="I13" s="29">
        <v>0.25</v>
      </c>
      <c r="J13" s="30">
        <f>H13/(1-I13)</f>
        <v>1476266.6666666667</v>
      </c>
      <c r="K13" s="28">
        <f t="shared" ref="K13:K15" si="0">H13/(1-I13)</f>
        <v>1476266.6666666667</v>
      </c>
      <c r="O13" s="1"/>
    </row>
    <row r="14" spans="2:16" ht="18" customHeight="1" x14ac:dyDescent="0.35">
      <c r="B14" s="182"/>
      <c r="C14" s="195"/>
      <c r="D14" s="31" t="s">
        <v>22</v>
      </c>
      <c r="E14" s="32" t="s">
        <v>21</v>
      </c>
      <c r="F14" s="33">
        <v>0</v>
      </c>
      <c r="G14" s="27"/>
      <c r="H14" s="34">
        <v>0</v>
      </c>
      <c r="I14" s="29">
        <v>0.25</v>
      </c>
      <c r="J14" s="30">
        <f t="shared" ref="J14" si="1">H14/(1-I14)</f>
        <v>0</v>
      </c>
      <c r="K14" s="34">
        <f t="shared" si="0"/>
        <v>0</v>
      </c>
      <c r="O14" s="1"/>
    </row>
    <row r="15" spans="2:16" ht="18" customHeight="1" x14ac:dyDescent="0.35">
      <c r="B15" s="182"/>
      <c r="C15" s="195"/>
      <c r="D15" s="35" t="s">
        <v>23</v>
      </c>
      <c r="E15" s="36" t="s">
        <v>21</v>
      </c>
      <c r="F15" s="34">
        <f>(SUM(F13:F14)*$D$6)</f>
        <v>55360</v>
      </c>
      <c r="G15" s="37"/>
      <c r="H15" s="34">
        <f>(SUM(H13:H14)*$D$6)</f>
        <v>55360</v>
      </c>
      <c r="I15" s="29">
        <v>0.25</v>
      </c>
      <c r="J15" s="30">
        <f>H15/(1-I15)</f>
        <v>73813.333333333328</v>
      </c>
      <c r="K15" s="34">
        <f t="shared" si="0"/>
        <v>73813.333333333328</v>
      </c>
      <c r="O15" s="1"/>
    </row>
    <row r="16" spans="2:16" ht="18" customHeight="1" x14ac:dyDescent="0.35">
      <c r="B16" s="182"/>
      <c r="C16" s="196"/>
      <c r="D16" s="38" t="s">
        <v>24</v>
      </c>
      <c r="E16" s="39"/>
      <c r="F16" s="38"/>
      <c r="G16" s="38"/>
      <c r="H16" s="40">
        <f>SUM(H13:H15)</f>
        <v>1162560</v>
      </c>
      <c r="I16" s="39"/>
      <c r="J16" s="39"/>
      <c r="K16" s="40">
        <f>SUM(K13:K15)</f>
        <v>1550080</v>
      </c>
      <c r="O16" s="1"/>
    </row>
    <row r="17" spans="2:16" ht="18" customHeight="1" x14ac:dyDescent="0.35">
      <c r="B17" s="182"/>
      <c r="C17" s="197" t="s">
        <v>25</v>
      </c>
      <c r="D17" s="35" t="s">
        <v>26</v>
      </c>
      <c r="E17" s="36" t="s">
        <v>21</v>
      </c>
      <c r="F17" s="41">
        <v>400000</v>
      </c>
      <c r="G17" s="37"/>
      <c r="H17" s="34">
        <f t="shared" ref="H17:H18" si="2">F17</f>
        <v>400000</v>
      </c>
      <c r="I17" s="29">
        <v>0.25</v>
      </c>
      <c r="J17" s="30">
        <f t="shared" ref="J17:J18" si="3">H17/(1-I17)</f>
        <v>533333.33333333337</v>
      </c>
      <c r="K17" s="34">
        <f t="shared" ref="K17:K18" si="4">H17/(1-I17)</f>
        <v>533333.33333333337</v>
      </c>
      <c r="O17" s="1"/>
    </row>
    <row r="18" spans="2:16" ht="18" customHeight="1" x14ac:dyDescent="0.35">
      <c r="B18" s="182"/>
      <c r="C18" s="195"/>
      <c r="D18" s="43" t="s">
        <v>7</v>
      </c>
      <c r="E18" s="32" t="s">
        <v>21</v>
      </c>
      <c r="F18" s="44">
        <f>D9</f>
        <v>0</v>
      </c>
      <c r="G18" s="37"/>
      <c r="H18" s="34">
        <f t="shared" si="2"/>
        <v>0</v>
      </c>
      <c r="I18" s="29">
        <v>0.25</v>
      </c>
      <c r="J18" s="30">
        <f t="shared" si="3"/>
        <v>0</v>
      </c>
      <c r="K18" s="34">
        <f t="shared" si="4"/>
        <v>0</v>
      </c>
      <c r="O18" s="1"/>
    </row>
    <row r="19" spans="2:16" ht="18" customHeight="1" x14ac:dyDescent="0.35">
      <c r="B19" s="182"/>
      <c r="C19" s="196"/>
      <c r="D19" s="38" t="s">
        <v>27</v>
      </c>
      <c r="E19" s="39"/>
      <c r="F19" s="38"/>
      <c r="G19" s="38"/>
      <c r="H19" s="40">
        <f>SUM(H17:H18)</f>
        <v>400000</v>
      </c>
      <c r="I19" s="39"/>
      <c r="J19" s="45"/>
      <c r="K19" s="40">
        <f>SUM(K17:K18)</f>
        <v>533333.33333333337</v>
      </c>
      <c r="O19" s="1"/>
    </row>
    <row r="20" spans="2:16" ht="18" customHeight="1" x14ac:dyDescent="0.35">
      <c r="B20" s="183"/>
      <c r="D20" s="46"/>
      <c r="E20" s="47"/>
      <c r="F20" s="46"/>
      <c r="G20" s="48" t="s">
        <v>28</v>
      </c>
      <c r="H20" s="49">
        <f>H16+H19</f>
        <v>1562560</v>
      </c>
      <c r="I20" s="50"/>
      <c r="J20" s="51"/>
      <c r="K20" s="49">
        <f>K16+K19</f>
        <v>2083413.3333333335</v>
      </c>
      <c r="N20" s="11"/>
      <c r="O20" s="1"/>
      <c r="P20" s="52"/>
    </row>
    <row r="21" spans="2:16" ht="18" customHeight="1" x14ac:dyDescent="0.35">
      <c r="B21" s="181" t="s">
        <v>29</v>
      </c>
      <c r="C21" s="36" t="s">
        <v>30</v>
      </c>
      <c r="D21" s="43" t="s">
        <v>31</v>
      </c>
      <c r="E21" s="32" t="s">
        <v>32</v>
      </c>
      <c r="F21" s="34">
        <v>0</v>
      </c>
      <c r="G21" s="53">
        <f t="shared" ref="G21:G22" si="5">$D$4</f>
        <v>3</v>
      </c>
      <c r="H21" s="34">
        <f>F21</f>
        <v>0</v>
      </c>
      <c r="I21" s="42">
        <v>0</v>
      </c>
      <c r="J21" s="30">
        <f>H21</f>
        <v>0</v>
      </c>
      <c r="K21" s="34">
        <f>J21</f>
        <v>0</v>
      </c>
      <c r="L21" s="52"/>
      <c r="N21" s="11"/>
      <c r="O21" s="1"/>
      <c r="P21" s="52"/>
    </row>
    <row r="22" spans="2:16" ht="18" customHeight="1" x14ac:dyDescent="0.35">
      <c r="B22" s="182"/>
      <c r="C22" s="36" t="s">
        <v>33</v>
      </c>
      <c r="D22" s="54" t="s">
        <v>34</v>
      </c>
      <c r="E22" s="32" t="s">
        <v>32</v>
      </c>
      <c r="F22" s="34">
        <f>D7*12</f>
        <v>480000</v>
      </c>
      <c r="G22" s="53">
        <f t="shared" si="5"/>
        <v>3</v>
      </c>
      <c r="H22" s="34">
        <f>F22*G22</f>
        <v>1440000</v>
      </c>
      <c r="I22" s="42"/>
      <c r="J22" s="55">
        <v>0</v>
      </c>
      <c r="K22" s="34">
        <f>H22</f>
        <v>1440000</v>
      </c>
      <c r="N22" s="11"/>
      <c r="O22" s="1"/>
      <c r="P22" s="52"/>
    </row>
    <row r="23" spans="2:16" ht="18" customHeight="1" x14ac:dyDescent="0.35">
      <c r="B23" s="183"/>
      <c r="D23" s="46"/>
      <c r="E23" s="47"/>
      <c r="F23" s="56"/>
      <c r="G23" s="48" t="s">
        <v>35</v>
      </c>
      <c r="H23" s="49">
        <f>SUM(H21:H22)</f>
        <v>1440000</v>
      </c>
      <c r="I23" s="50"/>
      <c r="J23" s="51"/>
      <c r="K23" s="136">
        <f>SUM(K21:K22)</f>
        <v>1440000</v>
      </c>
      <c r="L23" s="52"/>
      <c r="O23" s="1"/>
    </row>
    <row r="24" spans="2:16" ht="18" customHeight="1" x14ac:dyDescent="0.35">
      <c r="B24" s="184" t="s">
        <v>36</v>
      </c>
      <c r="C24" s="36" t="s">
        <v>36</v>
      </c>
      <c r="D24" s="54" t="s">
        <v>37</v>
      </c>
      <c r="E24" s="32" t="s">
        <v>32</v>
      </c>
      <c r="F24" s="34">
        <f>('Hardware List-RFID'!D28+'Hardware List-RFID'!D29)*D5</f>
        <v>88000</v>
      </c>
      <c r="G24" s="53">
        <f>G21-1</f>
        <v>2</v>
      </c>
      <c r="H24" s="34">
        <f>F24*G24</f>
        <v>176000</v>
      </c>
      <c r="I24" s="29">
        <v>0.25</v>
      </c>
      <c r="J24" s="30">
        <f>H24/(1-I24)</f>
        <v>234666.66666666666</v>
      </c>
      <c r="K24" s="34">
        <f>J24</f>
        <v>234666.66666666666</v>
      </c>
      <c r="N24" s="11"/>
      <c r="O24" s="1"/>
      <c r="P24" s="52"/>
    </row>
    <row r="25" spans="2:16" ht="18" customHeight="1" x14ac:dyDescent="0.35">
      <c r="B25" s="183"/>
      <c r="C25" s="57" t="s">
        <v>38</v>
      </c>
      <c r="D25" s="46"/>
      <c r="E25" s="46"/>
      <c r="F25" s="46"/>
      <c r="G25" s="48" t="s">
        <v>38</v>
      </c>
      <c r="H25" s="49">
        <f>SUM(H24)</f>
        <v>176000</v>
      </c>
      <c r="I25" s="50"/>
      <c r="J25" s="51"/>
      <c r="K25" s="49">
        <f>K24</f>
        <v>234666.66666666666</v>
      </c>
      <c r="O25" s="1"/>
      <c r="P25" s="52"/>
    </row>
    <row r="26" spans="2:16" ht="38.25" customHeight="1" thickBot="1" x14ac:dyDescent="0.4">
      <c r="B26" s="58"/>
      <c r="C26" s="59"/>
      <c r="D26" s="59"/>
      <c r="E26" s="59"/>
      <c r="F26" s="59"/>
      <c r="G26" s="60" t="s">
        <v>142</v>
      </c>
      <c r="H26" s="61">
        <f>H20+H23+H25</f>
        <v>3178560</v>
      </c>
      <c r="I26" s="62">
        <f>1-H26/K26</f>
        <v>0.15420640326975477</v>
      </c>
      <c r="J26" s="63"/>
      <c r="K26" s="61">
        <f>K20+K23+K25</f>
        <v>3758080</v>
      </c>
      <c r="O26" s="1"/>
    </row>
    <row r="27" spans="2:16" ht="14.25" customHeight="1" x14ac:dyDescent="0.35">
      <c r="H27" s="52"/>
      <c r="K27">
        <f>'Commercials-RFID Phase II'!K26</f>
        <v>3190746.6666666665</v>
      </c>
      <c r="O27" s="1"/>
    </row>
    <row r="28" spans="2:16" ht="14.25" customHeight="1" x14ac:dyDescent="0.35">
      <c r="K28">
        <f>'Commercials Full-RFID Phase I'!K26</f>
        <v>4596506.666666667</v>
      </c>
      <c r="L28" s="11"/>
      <c r="O28" s="1"/>
    </row>
    <row r="29" spans="2:16" ht="14.25" customHeight="1" x14ac:dyDescent="0.35">
      <c r="D29" s="52"/>
      <c r="L29" s="64"/>
      <c r="M29" s="64"/>
      <c r="O29" s="1"/>
    </row>
    <row r="30" spans="2:16" ht="14.25" customHeight="1" x14ac:dyDescent="0.35">
      <c r="L30" s="64"/>
      <c r="M30" s="64"/>
      <c r="O30" s="1"/>
    </row>
    <row r="31" spans="2:16" ht="14.25" customHeight="1" x14ac:dyDescent="0.35">
      <c r="O31" s="1"/>
    </row>
    <row r="32" spans="2:16" ht="14.25" customHeight="1" x14ac:dyDescent="0.35">
      <c r="H32" s="52"/>
      <c r="O32" s="1"/>
    </row>
    <row r="33" spans="15:15" ht="14.25" customHeight="1" x14ac:dyDescent="0.35">
      <c r="O33" s="1"/>
    </row>
    <row r="34" spans="15:15" ht="14.25" customHeight="1" x14ac:dyDescent="0.35">
      <c r="O34" s="1"/>
    </row>
    <row r="35" spans="15:15" ht="14.25" customHeight="1" x14ac:dyDescent="0.35">
      <c r="O35" s="1"/>
    </row>
    <row r="36" spans="15:15" ht="14.25" customHeight="1" x14ac:dyDescent="0.35">
      <c r="O36" s="1"/>
    </row>
    <row r="37" spans="15:15" ht="14.25" customHeight="1" x14ac:dyDescent="0.35">
      <c r="O37" s="1"/>
    </row>
    <row r="38" spans="15:15" ht="14.25" customHeight="1" x14ac:dyDescent="0.35">
      <c r="O38" s="1"/>
    </row>
    <row r="39" spans="15:15" ht="14.25" customHeight="1" x14ac:dyDescent="0.35">
      <c r="O39" s="1"/>
    </row>
    <row r="40" spans="15:15" ht="14.25" customHeight="1" x14ac:dyDescent="0.35">
      <c r="O40" s="1"/>
    </row>
    <row r="41" spans="15:15" ht="14.25" customHeight="1" x14ac:dyDescent="0.35">
      <c r="O41" s="1"/>
    </row>
    <row r="42" spans="15:15" ht="14.25" customHeight="1" x14ac:dyDescent="0.35">
      <c r="O42" s="1"/>
    </row>
    <row r="43" spans="15:15" ht="14.25" customHeight="1" x14ac:dyDescent="0.35">
      <c r="O43" s="1"/>
    </row>
    <row r="44" spans="15:15" ht="14.25" customHeight="1" x14ac:dyDescent="0.35">
      <c r="O44" s="1"/>
    </row>
    <row r="45" spans="15:15" ht="14.25" customHeight="1" x14ac:dyDescent="0.35">
      <c r="O45" s="1"/>
    </row>
    <row r="46" spans="15:15" ht="14.25" customHeight="1" x14ac:dyDescent="0.35">
      <c r="O46" s="1"/>
    </row>
    <row r="47" spans="15:15" ht="14.25" customHeight="1" x14ac:dyDescent="0.35">
      <c r="O47" s="1"/>
    </row>
    <row r="48" spans="15:15" ht="14.25" customHeight="1" x14ac:dyDescent="0.35">
      <c r="O48" s="1"/>
    </row>
    <row r="49" spans="15:15" ht="14.25" customHeight="1" x14ac:dyDescent="0.35">
      <c r="O49" s="1"/>
    </row>
    <row r="50" spans="15:15" ht="14.25" customHeight="1" x14ac:dyDescent="0.35">
      <c r="O50" s="1"/>
    </row>
    <row r="51" spans="15:15" ht="14.25" customHeight="1" x14ac:dyDescent="0.35">
      <c r="O51" s="1"/>
    </row>
    <row r="52" spans="15:15" ht="14.25" customHeight="1" x14ac:dyDescent="0.35">
      <c r="O52" s="1"/>
    </row>
    <row r="53" spans="15:15" ht="14.25" customHeight="1" x14ac:dyDescent="0.35">
      <c r="O53" s="1"/>
    </row>
    <row r="54" spans="15:15" ht="14.25" customHeight="1" x14ac:dyDescent="0.35">
      <c r="O54" s="1"/>
    </row>
    <row r="55" spans="15:15" ht="14.25" customHeight="1" x14ac:dyDescent="0.35">
      <c r="O55" s="1"/>
    </row>
    <row r="56" spans="15:15" ht="14.25" customHeight="1" x14ac:dyDescent="0.35">
      <c r="O56" s="1"/>
    </row>
    <row r="57" spans="15:15" ht="14.25" customHeight="1" x14ac:dyDescent="0.35">
      <c r="O57" s="1"/>
    </row>
    <row r="58" spans="15:15" ht="14.25" customHeight="1" x14ac:dyDescent="0.35">
      <c r="O58" s="1"/>
    </row>
    <row r="59" spans="15:15" ht="14.25" customHeight="1" x14ac:dyDescent="0.35">
      <c r="O59" s="1"/>
    </row>
    <row r="60" spans="15:15" ht="14.25" customHeight="1" x14ac:dyDescent="0.35">
      <c r="O60" s="1"/>
    </row>
    <row r="61" spans="15:15" ht="14.25" customHeight="1" x14ac:dyDescent="0.35">
      <c r="O61" s="1"/>
    </row>
    <row r="62" spans="15:15" ht="14.25" customHeight="1" x14ac:dyDescent="0.35">
      <c r="O62" s="1"/>
    </row>
    <row r="63" spans="15:15" ht="14.25" customHeight="1" x14ac:dyDescent="0.35">
      <c r="O63" s="1"/>
    </row>
    <row r="64" spans="15:15" ht="14.25" customHeight="1" x14ac:dyDescent="0.35">
      <c r="O64" s="1"/>
    </row>
    <row r="65" spans="15:15" ht="14.25" customHeight="1" x14ac:dyDescent="0.35">
      <c r="O65" s="1"/>
    </row>
    <row r="66" spans="15:15" ht="14.25" customHeight="1" x14ac:dyDescent="0.35">
      <c r="O66" s="1"/>
    </row>
    <row r="67" spans="15:15" ht="14.25" customHeight="1" x14ac:dyDescent="0.35">
      <c r="O67" s="1"/>
    </row>
    <row r="68" spans="15:15" ht="14.25" customHeight="1" x14ac:dyDescent="0.35">
      <c r="O68" s="1"/>
    </row>
    <row r="69" spans="15:15" ht="14.25" customHeight="1" x14ac:dyDescent="0.35">
      <c r="O69" s="1"/>
    </row>
    <row r="70" spans="15:15" ht="14.25" customHeight="1" x14ac:dyDescent="0.35">
      <c r="O70" s="1"/>
    </row>
    <row r="71" spans="15:15" ht="14.25" customHeight="1" x14ac:dyDescent="0.35">
      <c r="O71" s="1"/>
    </row>
    <row r="72" spans="15:15" ht="14.25" customHeight="1" x14ac:dyDescent="0.35">
      <c r="O72" s="1"/>
    </row>
    <row r="73" spans="15:15" ht="14.25" customHeight="1" x14ac:dyDescent="0.35">
      <c r="O73" s="1"/>
    </row>
    <row r="74" spans="15:15" ht="14.25" customHeight="1" x14ac:dyDescent="0.35">
      <c r="O74" s="1"/>
    </row>
    <row r="75" spans="15:15" ht="14.25" customHeight="1" x14ac:dyDescent="0.35">
      <c r="O75" s="1"/>
    </row>
    <row r="76" spans="15:15" ht="14.25" customHeight="1" x14ac:dyDescent="0.35">
      <c r="O76" s="1"/>
    </row>
    <row r="77" spans="15:15" ht="14.25" customHeight="1" x14ac:dyDescent="0.35">
      <c r="O77" s="1"/>
    </row>
    <row r="78" spans="15:15" ht="14.25" customHeight="1" x14ac:dyDescent="0.35">
      <c r="O78" s="1"/>
    </row>
    <row r="79" spans="15:15" ht="14.25" customHeight="1" x14ac:dyDescent="0.35">
      <c r="O79" s="1"/>
    </row>
    <row r="80" spans="15:15" ht="14.25" customHeight="1" x14ac:dyDescent="0.35">
      <c r="O80" s="1"/>
    </row>
    <row r="81" spans="15:15" ht="14.25" customHeight="1" x14ac:dyDescent="0.35">
      <c r="O81" s="1"/>
    </row>
    <row r="82" spans="15:15" ht="14.25" customHeight="1" x14ac:dyDescent="0.35">
      <c r="O82" s="1"/>
    </row>
    <row r="83" spans="15:15" ht="14.25" customHeight="1" x14ac:dyDescent="0.35">
      <c r="O83" s="1"/>
    </row>
    <row r="84" spans="15:15" ht="14.25" customHeight="1" x14ac:dyDescent="0.35">
      <c r="O84" s="1"/>
    </row>
    <row r="85" spans="15:15" ht="14.25" customHeight="1" x14ac:dyDescent="0.35">
      <c r="O85" s="1"/>
    </row>
    <row r="86" spans="15:15" ht="14.25" customHeight="1" x14ac:dyDescent="0.35">
      <c r="O86" s="1"/>
    </row>
    <row r="87" spans="15:15" ht="14.25" customHeight="1" x14ac:dyDescent="0.35">
      <c r="O87" s="1"/>
    </row>
    <row r="88" spans="15:15" ht="14.25" customHeight="1" x14ac:dyDescent="0.35">
      <c r="O88" s="1"/>
    </row>
    <row r="89" spans="15:15" ht="14.25" customHeight="1" x14ac:dyDescent="0.35">
      <c r="O89" s="1"/>
    </row>
    <row r="90" spans="15:15" ht="14.25" customHeight="1" x14ac:dyDescent="0.35">
      <c r="O90" s="1"/>
    </row>
    <row r="91" spans="15:15" ht="14.25" customHeight="1" x14ac:dyDescent="0.35">
      <c r="O91" s="1"/>
    </row>
    <row r="92" spans="15:15" ht="14.25" customHeight="1" x14ac:dyDescent="0.35">
      <c r="O92" s="1"/>
    </row>
    <row r="93" spans="15:15" ht="14.25" customHeight="1" x14ac:dyDescent="0.35">
      <c r="O93" s="1"/>
    </row>
    <row r="94" spans="15:15" ht="14.25" customHeight="1" x14ac:dyDescent="0.35">
      <c r="O94" s="1"/>
    </row>
    <row r="95" spans="15:15" ht="14.25" customHeight="1" x14ac:dyDescent="0.35">
      <c r="O95" s="1"/>
    </row>
    <row r="96" spans="15:15" ht="14.25" customHeight="1" x14ac:dyDescent="0.35">
      <c r="O96" s="1"/>
    </row>
    <row r="97" spans="15:15" ht="14.25" customHeight="1" x14ac:dyDescent="0.35">
      <c r="O97" s="1"/>
    </row>
    <row r="98" spans="15:15" ht="14.25" customHeight="1" x14ac:dyDescent="0.35">
      <c r="O98" s="1"/>
    </row>
    <row r="99" spans="15:15" ht="14.25" customHeight="1" x14ac:dyDescent="0.35">
      <c r="O99" s="1"/>
    </row>
    <row r="100" spans="15:15" ht="14.25" customHeight="1" x14ac:dyDescent="0.35">
      <c r="O100" s="1"/>
    </row>
    <row r="101" spans="15:15" ht="14.25" customHeight="1" x14ac:dyDescent="0.35">
      <c r="O101" s="1"/>
    </row>
    <row r="102" spans="15:15" ht="14.25" customHeight="1" x14ac:dyDescent="0.35">
      <c r="O102" s="1"/>
    </row>
    <row r="103" spans="15:15" ht="14.25" customHeight="1" x14ac:dyDescent="0.35">
      <c r="O103" s="1"/>
    </row>
    <row r="104" spans="15:15" ht="14.25" customHeight="1" x14ac:dyDescent="0.35">
      <c r="O104" s="1"/>
    </row>
    <row r="105" spans="15:15" ht="14.25" customHeight="1" x14ac:dyDescent="0.35">
      <c r="O105" s="1"/>
    </row>
    <row r="106" spans="15:15" ht="14.25" customHeight="1" x14ac:dyDescent="0.35">
      <c r="O106" s="1"/>
    </row>
    <row r="107" spans="15:15" ht="14.25" customHeight="1" x14ac:dyDescent="0.35">
      <c r="O107" s="1"/>
    </row>
    <row r="108" spans="15:15" ht="14.25" customHeight="1" x14ac:dyDescent="0.35">
      <c r="O108" s="1"/>
    </row>
    <row r="109" spans="15:15" ht="14.25" customHeight="1" x14ac:dyDescent="0.35">
      <c r="O109" s="1"/>
    </row>
    <row r="110" spans="15:15" ht="14.25" customHeight="1" x14ac:dyDescent="0.35">
      <c r="O110" s="1"/>
    </row>
    <row r="111" spans="15:15" ht="14.25" customHeight="1" x14ac:dyDescent="0.35">
      <c r="O111" s="1"/>
    </row>
    <row r="112" spans="15:15" ht="14.25" customHeight="1" x14ac:dyDescent="0.35">
      <c r="O112" s="1"/>
    </row>
    <row r="113" spans="15:15" ht="14.25" customHeight="1" x14ac:dyDescent="0.35">
      <c r="O113" s="1"/>
    </row>
    <row r="114" spans="15:15" ht="14.25" customHeight="1" x14ac:dyDescent="0.35">
      <c r="O114" s="1"/>
    </row>
    <row r="115" spans="15:15" ht="14.25" customHeight="1" x14ac:dyDescent="0.35">
      <c r="O115" s="1"/>
    </row>
    <row r="116" spans="15:15" ht="14.25" customHeight="1" x14ac:dyDescent="0.35">
      <c r="O116" s="1"/>
    </row>
    <row r="117" spans="15:15" ht="14.25" customHeight="1" x14ac:dyDescent="0.35">
      <c r="O117" s="1"/>
    </row>
    <row r="118" spans="15:15" ht="14.25" customHeight="1" x14ac:dyDescent="0.35">
      <c r="O118" s="1"/>
    </row>
    <row r="119" spans="15:15" ht="14.25" customHeight="1" x14ac:dyDescent="0.35">
      <c r="O119" s="1"/>
    </row>
    <row r="120" spans="15:15" ht="14.25" customHeight="1" x14ac:dyDescent="0.35">
      <c r="O120" s="1"/>
    </row>
    <row r="121" spans="15:15" ht="14.25" customHeight="1" x14ac:dyDescent="0.35">
      <c r="O121" s="1"/>
    </row>
    <row r="122" spans="15:15" ht="14.25" customHeight="1" x14ac:dyDescent="0.35">
      <c r="O122" s="1"/>
    </row>
    <row r="123" spans="15:15" ht="14.25" customHeight="1" x14ac:dyDescent="0.35">
      <c r="O123" s="1"/>
    </row>
    <row r="124" spans="15:15" ht="14.25" customHeight="1" x14ac:dyDescent="0.35">
      <c r="O124" s="1"/>
    </row>
    <row r="125" spans="15:15" ht="14.25" customHeight="1" x14ac:dyDescent="0.35">
      <c r="O125" s="1"/>
    </row>
    <row r="126" spans="15:15" ht="14.25" customHeight="1" x14ac:dyDescent="0.35">
      <c r="O126" s="1"/>
    </row>
    <row r="127" spans="15:15" ht="14.25" customHeight="1" x14ac:dyDescent="0.35">
      <c r="O127" s="1"/>
    </row>
    <row r="128" spans="15:15" ht="14.25" customHeight="1" x14ac:dyDescent="0.35">
      <c r="O128" s="1"/>
    </row>
    <row r="129" spans="15:15" ht="14.25" customHeight="1" x14ac:dyDescent="0.35">
      <c r="O129" s="1"/>
    </row>
    <row r="130" spans="15:15" ht="14.25" customHeight="1" x14ac:dyDescent="0.35">
      <c r="O130" s="1"/>
    </row>
    <row r="131" spans="15:15" ht="14.25" customHeight="1" x14ac:dyDescent="0.35">
      <c r="O131" s="1"/>
    </row>
    <row r="132" spans="15:15" ht="14.25" customHeight="1" x14ac:dyDescent="0.35">
      <c r="O132" s="1"/>
    </row>
    <row r="133" spans="15:15" ht="14.25" customHeight="1" x14ac:dyDescent="0.35">
      <c r="O133" s="1"/>
    </row>
    <row r="134" spans="15:15" ht="14.25" customHeight="1" x14ac:dyDescent="0.35">
      <c r="O134" s="1"/>
    </row>
    <row r="135" spans="15:15" ht="14.25" customHeight="1" x14ac:dyDescent="0.35">
      <c r="O135" s="1"/>
    </row>
    <row r="136" spans="15:15" ht="14.25" customHeight="1" x14ac:dyDescent="0.35">
      <c r="O136" s="1"/>
    </row>
    <row r="137" spans="15:15" ht="14.25" customHeight="1" x14ac:dyDescent="0.35">
      <c r="O137" s="1"/>
    </row>
    <row r="138" spans="15:15" ht="14.25" customHeight="1" x14ac:dyDescent="0.35">
      <c r="O138" s="1"/>
    </row>
    <row r="139" spans="15:15" ht="14.25" customHeight="1" x14ac:dyDescent="0.35">
      <c r="O139" s="1"/>
    </row>
    <row r="140" spans="15:15" ht="14.25" customHeight="1" x14ac:dyDescent="0.35">
      <c r="O140" s="1"/>
    </row>
    <row r="141" spans="15:15" ht="14.25" customHeight="1" x14ac:dyDescent="0.35">
      <c r="O141" s="1"/>
    </row>
    <row r="142" spans="15:15" ht="14.25" customHeight="1" x14ac:dyDescent="0.35">
      <c r="O142" s="1"/>
    </row>
    <row r="143" spans="15:15" ht="14.25" customHeight="1" x14ac:dyDescent="0.35">
      <c r="O143" s="1"/>
    </row>
    <row r="144" spans="15:15" ht="14.25" customHeight="1" x14ac:dyDescent="0.35">
      <c r="O144" s="1"/>
    </row>
    <row r="145" spans="15:15" ht="14.25" customHeight="1" x14ac:dyDescent="0.35">
      <c r="O145" s="1"/>
    </row>
    <row r="146" spans="15:15" ht="14.25" customHeight="1" x14ac:dyDescent="0.35">
      <c r="O146" s="1"/>
    </row>
    <row r="147" spans="15:15" ht="14.25" customHeight="1" x14ac:dyDescent="0.35">
      <c r="O147" s="1"/>
    </row>
    <row r="148" spans="15:15" ht="14.25" customHeight="1" x14ac:dyDescent="0.35">
      <c r="O148" s="1"/>
    </row>
    <row r="149" spans="15:15" ht="14.25" customHeight="1" x14ac:dyDescent="0.35">
      <c r="O149" s="1"/>
    </row>
    <row r="150" spans="15:15" ht="14.25" customHeight="1" x14ac:dyDescent="0.35">
      <c r="O150" s="1"/>
    </row>
    <row r="151" spans="15:15" ht="14.25" customHeight="1" x14ac:dyDescent="0.35">
      <c r="O151" s="1"/>
    </row>
    <row r="152" spans="15:15" ht="14.25" customHeight="1" x14ac:dyDescent="0.35">
      <c r="O152" s="1"/>
    </row>
    <row r="153" spans="15:15" ht="14.25" customHeight="1" x14ac:dyDescent="0.35">
      <c r="O153" s="1"/>
    </row>
    <row r="154" spans="15:15" ht="14.25" customHeight="1" x14ac:dyDescent="0.35">
      <c r="O154" s="1"/>
    </row>
    <row r="155" spans="15:15" ht="14.25" customHeight="1" x14ac:dyDescent="0.35">
      <c r="O155" s="1"/>
    </row>
    <row r="156" spans="15:15" ht="14.25" customHeight="1" x14ac:dyDescent="0.35">
      <c r="O156" s="1"/>
    </row>
    <row r="157" spans="15:15" ht="14.25" customHeight="1" x14ac:dyDescent="0.35">
      <c r="O157" s="1"/>
    </row>
    <row r="158" spans="15:15" ht="14.25" customHeight="1" x14ac:dyDescent="0.35">
      <c r="O158" s="1"/>
    </row>
    <row r="159" spans="15:15" ht="14.25" customHeight="1" x14ac:dyDescent="0.35">
      <c r="O159" s="1"/>
    </row>
    <row r="160" spans="15:15" ht="14.25" customHeight="1" x14ac:dyDescent="0.35">
      <c r="O160" s="1"/>
    </row>
    <row r="161" spans="15:15" ht="14.25" customHeight="1" x14ac:dyDescent="0.35">
      <c r="O161" s="1"/>
    </row>
    <row r="162" spans="15:15" ht="14.25" customHeight="1" x14ac:dyDescent="0.35">
      <c r="O162" s="1"/>
    </row>
    <row r="163" spans="15:15" ht="14.25" customHeight="1" x14ac:dyDescent="0.35">
      <c r="O163" s="1"/>
    </row>
    <row r="164" spans="15:15" ht="14.25" customHeight="1" x14ac:dyDescent="0.35">
      <c r="O164" s="1"/>
    </row>
    <row r="165" spans="15:15" ht="14.25" customHeight="1" x14ac:dyDescent="0.35">
      <c r="O165" s="1"/>
    </row>
    <row r="166" spans="15:15" ht="14.25" customHeight="1" x14ac:dyDescent="0.35">
      <c r="O166" s="1"/>
    </row>
    <row r="167" spans="15:15" ht="14.25" customHeight="1" x14ac:dyDescent="0.35">
      <c r="O167" s="1"/>
    </row>
    <row r="168" spans="15:15" ht="14.25" customHeight="1" x14ac:dyDescent="0.35">
      <c r="O168" s="1"/>
    </row>
    <row r="169" spans="15:15" ht="14.25" customHeight="1" x14ac:dyDescent="0.35">
      <c r="O169" s="1"/>
    </row>
    <row r="170" spans="15:15" ht="14.25" customHeight="1" x14ac:dyDescent="0.35">
      <c r="O170" s="1"/>
    </row>
    <row r="171" spans="15:15" ht="14.25" customHeight="1" x14ac:dyDescent="0.35">
      <c r="O171" s="1"/>
    </row>
    <row r="172" spans="15:15" ht="14.25" customHeight="1" x14ac:dyDescent="0.35">
      <c r="O172" s="1"/>
    </row>
    <row r="173" spans="15:15" ht="14.25" customHeight="1" x14ac:dyDescent="0.35">
      <c r="O173" s="1"/>
    </row>
    <row r="174" spans="15:15" ht="14.25" customHeight="1" x14ac:dyDescent="0.35">
      <c r="O174" s="1"/>
    </row>
    <row r="175" spans="15:15" ht="14.25" customHeight="1" x14ac:dyDescent="0.35">
      <c r="O175" s="1"/>
    </row>
    <row r="176" spans="15:15" ht="14.25" customHeight="1" x14ac:dyDescent="0.35">
      <c r="O176" s="1"/>
    </row>
    <row r="177" spans="15:15" ht="14.25" customHeight="1" x14ac:dyDescent="0.35">
      <c r="O177" s="1"/>
    </row>
    <row r="178" spans="15:15" ht="14.25" customHeight="1" x14ac:dyDescent="0.35">
      <c r="O178" s="1"/>
    </row>
    <row r="179" spans="15:15" ht="14.25" customHeight="1" x14ac:dyDescent="0.35">
      <c r="O179" s="1"/>
    </row>
    <row r="180" spans="15:15" ht="14.25" customHeight="1" x14ac:dyDescent="0.35">
      <c r="O180" s="1"/>
    </row>
    <row r="181" spans="15:15" ht="14.25" customHeight="1" x14ac:dyDescent="0.35">
      <c r="O181" s="1"/>
    </row>
    <row r="182" spans="15:15" ht="14.25" customHeight="1" x14ac:dyDescent="0.35">
      <c r="O182" s="1"/>
    </row>
    <row r="183" spans="15:15" ht="14.25" customHeight="1" x14ac:dyDescent="0.35">
      <c r="O183" s="1"/>
    </row>
    <row r="184" spans="15:15" ht="14.25" customHeight="1" x14ac:dyDescent="0.35">
      <c r="O184" s="1"/>
    </row>
    <row r="185" spans="15:15" ht="14.25" customHeight="1" x14ac:dyDescent="0.35">
      <c r="O185" s="1"/>
    </row>
    <row r="186" spans="15:15" ht="14.25" customHeight="1" x14ac:dyDescent="0.35">
      <c r="O186" s="1"/>
    </row>
    <row r="187" spans="15:15" ht="14.25" customHeight="1" x14ac:dyDescent="0.35">
      <c r="O187" s="1"/>
    </row>
    <row r="188" spans="15:15" ht="14.25" customHeight="1" x14ac:dyDescent="0.35">
      <c r="O188" s="1"/>
    </row>
    <row r="189" spans="15:15" ht="14.25" customHeight="1" x14ac:dyDescent="0.35">
      <c r="O189" s="1"/>
    </row>
    <row r="190" spans="15:15" ht="14.25" customHeight="1" x14ac:dyDescent="0.35">
      <c r="O190" s="1"/>
    </row>
    <row r="191" spans="15:15" ht="14.25" customHeight="1" x14ac:dyDescent="0.35">
      <c r="O191" s="1"/>
    </row>
    <row r="192" spans="15:15" ht="14.25" customHeight="1" x14ac:dyDescent="0.35">
      <c r="O192" s="1"/>
    </row>
    <row r="193" spans="15:15" ht="14.25" customHeight="1" x14ac:dyDescent="0.35">
      <c r="O193" s="1"/>
    </row>
    <row r="194" spans="15:15" ht="14.25" customHeight="1" x14ac:dyDescent="0.35">
      <c r="O194" s="1"/>
    </row>
    <row r="195" spans="15:15" ht="14.25" customHeight="1" x14ac:dyDescent="0.35">
      <c r="O195" s="1"/>
    </row>
    <row r="196" spans="15:15" ht="14.25" customHeight="1" x14ac:dyDescent="0.35">
      <c r="O196" s="1"/>
    </row>
    <row r="197" spans="15:15" ht="14.25" customHeight="1" x14ac:dyDescent="0.35">
      <c r="O197" s="1"/>
    </row>
    <row r="198" spans="15:15" ht="14.25" customHeight="1" x14ac:dyDescent="0.35">
      <c r="O198" s="1"/>
    </row>
    <row r="199" spans="15:15" ht="14.25" customHeight="1" x14ac:dyDescent="0.35">
      <c r="O199" s="1"/>
    </row>
    <row r="200" spans="15:15" ht="14.25" customHeight="1" x14ac:dyDescent="0.35">
      <c r="O200" s="1"/>
    </row>
    <row r="201" spans="15:15" ht="14.25" customHeight="1" x14ac:dyDescent="0.35">
      <c r="O201" s="1"/>
    </row>
    <row r="202" spans="15:15" ht="14.25" customHeight="1" x14ac:dyDescent="0.35">
      <c r="O202" s="1"/>
    </row>
    <row r="203" spans="15:15" ht="14.25" customHeight="1" x14ac:dyDescent="0.35">
      <c r="O203" s="1"/>
    </row>
    <row r="204" spans="15:15" ht="14.25" customHeight="1" x14ac:dyDescent="0.35">
      <c r="O204" s="1"/>
    </row>
    <row r="205" spans="15:15" ht="14.25" customHeight="1" x14ac:dyDescent="0.35">
      <c r="O205" s="1"/>
    </row>
    <row r="206" spans="15:15" ht="14.25" customHeight="1" x14ac:dyDescent="0.35">
      <c r="O206" s="1"/>
    </row>
    <row r="207" spans="15:15" ht="14.25" customHeight="1" x14ac:dyDescent="0.35">
      <c r="O207" s="1"/>
    </row>
    <row r="208" spans="15:15" ht="14.25" customHeight="1" x14ac:dyDescent="0.35">
      <c r="O208" s="1"/>
    </row>
    <row r="209" spans="15:15" ht="14.25" customHeight="1" x14ac:dyDescent="0.35">
      <c r="O209" s="1"/>
    </row>
    <row r="210" spans="15:15" ht="14.25" customHeight="1" x14ac:dyDescent="0.35">
      <c r="O210" s="1"/>
    </row>
    <row r="211" spans="15:15" ht="14.25" customHeight="1" x14ac:dyDescent="0.35">
      <c r="O211" s="1"/>
    </row>
    <row r="212" spans="15:15" ht="14.25" customHeight="1" x14ac:dyDescent="0.35">
      <c r="O212" s="1"/>
    </row>
    <row r="213" spans="15:15" ht="14.25" customHeight="1" x14ac:dyDescent="0.35">
      <c r="O213" s="1"/>
    </row>
    <row r="214" spans="15:15" ht="14.25" customHeight="1" x14ac:dyDescent="0.35">
      <c r="O214" s="1"/>
    </row>
    <row r="215" spans="15:15" ht="14.25" customHeight="1" x14ac:dyDescent="0.35">
      <c r="O215" s="1"/>
    </row>
    <row r="216" spans="15:15" ht="14.25" customHeight="1" x14ac:dyDescent="0.35">
      <c r="O216" s="1"/>
    </row>
    <row r="217" spans="15:15" ht="14.25" customHeight="1" x14ac:dyDescent="0.35">
      <c r="O217" s="1"/>
    </row>
    <row r="218" spans="15:15" ht="14.25" customHeight="1" x14ac:dyDescent="0.35">
      <c r="O218" s="1"/>
    </row>
    <row r="219" spans="15:15" ht="14.25" customHeight="1" x14ac:dyDescent="0.35">
      <c r="O219" s="1"/>
    </row>
    <row r="220" spans="15:15" ht="14.25" customHeight="1" x14ac:dyDescent="0.35">
      <c r="O220" s="1"/>
    </row>
    <row r="221" spans="15:15" ht="14.25" customHeight="1" x14ac:dyDescent="0.35">
      <c r="O221" s="1"/>
    </row>
    <row r="222" spans="15:15" ht="14.25" customHeight="1" x14ac:dyDescent="0.35">
      <c r="O222" s="1"/>
    </row>
    <row r="223" spans="15:15" ht="14.25" customHeight="1" x14ac:dyDescent="0.35">
      <c r="O223" s="1"/>
    </row>
    <row r="224" spans="15:15" ht="14.25" customHeight="1" x14ac:dyDescent="0.35">
      <c r="O224" s="1"/>
    </row>
    <row r="225" spans="15:15" ht="14.25" customHeight="1" x14ac:dyDescent="0.35">
      <c r="O225" s="1"/>
    </row>
    <row r="226" spans="15:15" ht="14.25" customHeight="1" x14ac:dyDescent="0.35">
      <c r="O226" s="1"/>
    </row>
    <row r="227" spans="15:15" ht="14.25" customHeight="1" x14ac:dyDescent="0.35">
      <c r="O227" s="1"/>
    </row>
    <row r="228" spans="15:15" ht="14.25" customHeight="1" x14ac:dyDescent="0.35">
      <c r="O228" s="1"/>
    </row>
    <row r="229" spans="15:15" ht="14.25" customHeight="1" x14ac:dyDescent="0.35">
      <c r="O229" s="1"/>
    </row>
    <row r="230" spans="15:15" ht="14.25" customHeight="1" x14ac:dyDescent="0.35">
      <c r="O230" s="1"/>
    </row>
    <row r="231" spans="15:15" ht="14.25" customHeight="1" x14ac:dyDescent="0.35">
      <c r="O231" s="1"/>
    </row>
    <row r="232" spans="15:15" ht="14.25" customHeight="1" x14ac:dyDescent="0.35">
      <c r="O232" s="1"/>
    </row>
    <row r="233" spans="15:15" ht="14.25" customHeight="1" x14ac:dyDescent="0.35">
      <c r="O233" s="1"/>
    </row>
    <row r="234" spans="15:15" ht="14.25" customHeight="1" x14ac:dyDescent="0.35">
      <c r="O234" s="1"/>
    </row>
    <row r="235" spans="15:15" ht="14.25" customHeight="1" x14ac:dyDescent="0.35">
      <c r="O235" s="1"/>
    </row>
    <row r="236" spans="15:15" ht="14.25" customHeight="1" x14ac:dyDescent="0.35">
      <c r="O236" s="1"/>
    </row>
    <row r="237" spans="15:15" ht="14.25" customHeight="1" x14ac:dyDescent="0.35">
      <c r="O237" s="1"/>
    </row>
    <row r="238" spans="15:15" ht="14.25" customHeight="1" x14ac:dyDescent="0.35">
      <c r="O238" s="1"/>
    </row>
    <row r="239" spans="15:15" ht="14.25" customHeight="1" x14ac:dyDescent="0.35">
      <c r="O239" s="1"/>
    </row>
    <row r="240" spans="15:15" ht="14.25" customHeight="1" x14ac:dyDescent="0.35">
      <c r="O240" s="1"/>
    </row>
    <row r="241" spans="15:15" ht="14.25" customHeight="1" x14ac:dyDescent="0.35">
      <c r="O241" s="1"/>
    </row>
    <row r="242" spans="15:15" ht="14.25" customHeight="1" x14ac:dyDescent="0.35">
      <c r="O242" s="1"/>
    </row>
    <row r="243" spans="15:15" ht="14.25" customHeight="1" x14ac:dyDescent="0.35">
      <c r="O243" s="1"/>
    </row>
    <row r="244" spans="15:15" ht="14.25" customHeight="1" x14ac:dyDescent="0.35">
      <c r="O244" s="1"/>
    </row>
    <row r="245" spans="15:15" ht="14.25" customHeight="1" x14ac:dyDescent="0.35">
      <c r="O245" s="1"/>
    </row>
    <row r="246" spans="15:15" ht="14.25" customHeight="1" x14ac:dyDescent="0.35">
      <c r="O246" s="1"/>
    </row>
    <row r="247" spans="15:15" ht="14.25" customHeight="1" x14ac:dyDescent="0.35">
      <c r="O247" s="1"/>
    </row>
    <row r="248" spans="15:15" ht="14.25" customHeight="1" x14ac:dyDescent="0.35">
      <c r="O248" s="1"/>
    </row>
    <row r="249" spans="15:15" ht="14.25" customHeight="1" x14ac:dyDescent="0.35">
      <c r="O249" s="1"/>
    </row>
    <row r="250" spans="15:15" ht="14.25" customHeight="1" x14ac:dyDescent="0.35">
      <c r="O250" s="1"/>
    </row>
    <row r="251" spans="15:15" ht="14.25" customHeight="1" x14ac:dyDescent="0.35">
      <c r="O251" s="1"/>
    </row>
    <row r="252" spans="15:15" ht="14.25" customHeight="1" x14ac:dyDescent="0.35">
      <c r="O252" s="1"/>
    </row>
    <row r="253" spans="15:15" ht="14.25" customHeight="1" x14ac:dyDescent="0.35">
      <c r="O253" s="1"/>
    </row>
    <row r="254" spans="15:15" ht="14.25" customHeight="1" x14ac:dyDescent="0.35">
      <c r="O254" s="1"/>
    </row>
    <row r="255" spans="15:15" ht="14.25" customHeight="1" x14ac:dyDescent="0.35">
      <c r="O255" s="1"/>
    </row>
    <row r="256" spans="15:15" ht="14.25" customHeight="1" x14ac:dyDescent="0.35">
      <c r="O256" s="1"/>
    </row>
    <row r="257" spans="15:15" ht="14.25" customHeight="1" x14ac:dyDescent="0.35">
      <c r="O257" s="1"/>
    </row>
    <row r="258" spans="15:15" ht="14.25" customHeight="1" x14ac:dyDescent="0.35">
      <c r="O258" s="1"/>
    </row>
    <row r="259" spans="15:15" ht="14.25" customHeight="1" x14ac:dyDescent="0.35">
      <c r="O259" s="1"/>
    </row>
    <row r="260" spans="15:15" ht="14.25" customHeight="1" x14ac:dyDescent="0.35">
      <c r="O260" s="1"/>
    </row>
    <row r="261" spans="15:15" ht="14.25" customHeight="1" x14ac:dyDescent="0.35">
      <c r="O261" s="1"/>
    </row>
    <row r="262" spans="15:15" ht="14.25" customHeight="1" x14ac:dyDescent="0.35">
      <c r="O262" s="1"/>
    </row>
    <row r="263" spans="15:15" ht="14.25" customHeight="1" x14ac:dyDescent="0.35">
      <c r="O263" s="1"/>
    </row>
    <row r="264" spans="15:15" ht="14.25" customHeight="1" x14ac:dyDescent="0.35">
      <c r="O264" s="1"/>
    </row>
    <row r="265" spans="15:15" ht="14.25" customHeight="1" x14ac:dyDescent="0.35">
      <c r="O265" s="1"/>
    </row>
    <row r="266" spans="15:15" ht="14.25" customHeight="1" x14ac:dyDescent="0.35">
      <c r="O266" s="1"/>
    </row>
    <row r="267" spans="15:15" ht="14.25" customHeight="1" x14ac:dyDescent="0.35">
      <c r="O267" s="1"/>
    </row>
    <row r="268" spans="15:15" ht="14.25" customHeight="1" x14ac:dyDescent="0.35">
      <c r="O268" s="1"/>
    </row>
    <row r="269" spans="15:15" ht="14.25" customHeight="1" x14ac:dyDescent="0.35">
      <c r="O269" s="1"/>
    </row>
    <row r="270" spans="15:15" ht="14.25" customHeight="1" x14ac:dyDescent="0.35">
      <c r="O270" s="1"/>
    </row>
    <row r="271" spans="15:15" ht="14.25" customHeight="1" x14ac:dyDescent="0.35">
      <c r="O271" s="1"/>
    </row>
    <row r="272" spans="15:15" ht="14.25" customHeight="1" x14ac:dyDescent="0.35">
      <c r="O272" s="1"/>
    </row>
    <row r="273" spans="15:15" ht="14.25" customHeight="1" x14ac:dyDescent="0.35">
      <c r="O273" s="1"/>
    </row>
    <row r="274" spans="15:15" ht="14.25" customHeight="1" x14ac:dyDescent="0.35">
      <c r="O274" s="1"/>
    </row>
    <row r="275" spans="15:15" ht="14.25" customHeight="1" x14ac:dyDescent="0.35">
      <c r="O275" s="1"/>
    </row>
    <row r="276" spans="15:15" ht="14.25" customHeight="1" x14ac:dyDescent="0.35">
      <c r="O276" s="1"/>
    </row>
    <row r="277" spans="15:15" ht="14.25" customHeight="1" x14ac:dyDescent="0.35">
      <c r="O277" s="1"/>
    </row>
    <row r="278" spans="15:15" ht="14.25" customHeight="1" x14ac:dyDescent="0.35">
      <c r="O278" s="1"/>
    </row>
    <row r="279" spans="15:15" ht="14.25" customHeight="1" x14ac:dyDescent="0.35">
      <c r="O279" s="1"/>
    </row>
    <row r="280" spans="15:15" ht="14.25" customHeight="1" x14ac:dyDescent="0.35">
      <c r="O280" s="1"/>
    </row>
    <row r="281" spans="15:15" ht="14.25" customHeight="1" x14ac:dyDescent="0.35">
      <c r="O281" s="1"/>
    </row>
    <row r="282" spans="15:15" ht="14.25" customHeight="1" x14ac:dyDescent="0.35">
      <c r="O282" s="1"/>
    </row>
    <row r="283" spans="15:15" ht="14.25" customHeight="1" x14ac:dyDescent="0.35">
      <c r="O283" s="1"/>
    </row>
    <row r="284" spans="15:15" ht="14.25" customHeight="1" x14ac:dyDescent="0.35">
      <c r="O284" s="1"/>
    </row>
    <row r="285" spans="15:15" ht="14.25" customHeight="1" x14ac:dyDescent="0.35">
      <c r="O285" s="1"/>
    </row>
    <row r="286" spans="15:15" ht="14.25" customHeight="1" x14ac:dyDescent="0.35">
      <c r="O286" s="1"/>
    </row>
    <row r="287" spans="15:15" ht="14.25" customHeight="1" x14ac:dyDescent="0.35">
      <c r="O287" s="1"/>
    </row>
    <row r="288" spans="15:15" ht="14.25" customHeight="1" x14ac:dyDescent="0.35">
      <c r="O288" s="1"/>
    </row>
    <row r="289" spans="15:15" ht="14.25" customHeight="1" x14ac:dyDescent="0.35">
      <c r="O289" s="1"/>
    </row>
    <row r="290" spans="15:15" ht="14.25" customHeight="1" x14ac:dyDescent="0.35">
      <c r="O290" s="1"/>
    </row>
    <row r="291" spans="15:15" ht="14.25" customHeight="1" x14ac:dyDescent="0.35">
      <c r="O291" s="1"/>
    </row>
    <row r="292" spans="15:15" ht="14.25" customHeight="1" x14ac:dyDescent="0.35">
      <c r="O292" s="1"/>
    </row>
    <row r="293" spans="15:15" ht="14.25" customHeight="1" x14ac:dyDescent="0.35">
      <c r="O293" s="1"/>
    </row>
    <row r="294" spans="15:15" ht="14.25" customHeight="1" x14ac:dyDescent="0.35">
      <c r="O294" s="1"/>
    </row>
    <row r="295" spans="15:15" ht="14.25" customHeight="1" x14ac:dyDescent="0.35">
      <c r="O295" s="1"/>
    </row>
    <row r="296" spans="15:15" ht="14.25" customHeight="1" x14ac:dyDescent="0.35">
      <c r="O296" s="1"/>
    </row>
    <row r="297" spans="15:15" ht="14.25" customHeight="1" x14ac:dyDescent="0.35">
      <c r="O297" s="1"/>
    </row>
    <row r="298" spans="15:15" ht="14.25" customHeight="1" x14ac:dyDescent="0.35">
      <c r="O298" s="1"/>
    </row>
    <row r="299" spans="15:15" ht="14.25" customHeight="1" x14ac:dyDescent="0.35">
      <c r="O299" s="1"/>
    </row>
    <row r="300" spans="15:15" ht="14.25" customHeight="1" x14ac:dyDescent="0.35">
      <c r="O300" s="1"/>
    </row>
    <row r="301" spans="15:15" ht="14.25" customHeight="1" x14ac:dyDescent="0.35">
      <c r="O301" s="1"/>
    </row>
    <row r="302" spans="15:15" ht="14.25" customHeight="1" x14ac:dyDescent="0.35">
      <c r="O302" s="1"/>
    </row>
    <row r="303" spans="15:15" ht="14.25" customHeight="1" x14ac:dyDescent="0.35">
      <c r="O303" s="1"/>
    </row>
    <row r="304" spans="15:15" ht="14.25" customHeight="1" x14ac:dyDescent="0.35">
      <c r="O304" s="1"/>
    </row>
    <row r="305" spans="15:15" ht="14.25" customHeight="1" x14ac:dyDescent="0.35">
      <c r="O305" s="1"/>
    </row>
    <row r="306" spans="15:15" ht="14.25" customHeight="1" x14ac:dyDescent="0.35">
      <c r="O306" s="1"/>
    </row>
    <row r="307" spans="15:15" ht="14.25" customHeight="1" x14ac:dyDescent="0.35">
      <c r="O307" s="1"/>
    </row>
    <row r="308" spans="15:15" ht="14.25" customHeight="1" x14ac:dyDescent="0.35">
      <c r="O308" s="1"/>
    </row>
    <row r="309" spans="15:15" ht="14.25" customHeight="1" x14ac:dyDescent="0.35">
      <c r="O309" s="1"/>
    </row>
    <row r="310" spans="15:15" ht="14.25" customHeight="1" x14ac:dyDescent="0.35">
      <c r="O310" s="1"/>
    </row>
    <row r="311" spans="15:15" ht="14.25" customHeight="1" x14ac:dyDescent="0.35">
      <c r="O311" s="1"/>
    </row>
    <row r="312" spans="15:15" ht="14.25" customHeight="1" x14ac:dyDescent="0.35">
      <c r="O312" s="1"/>
    </row>
    <row r="313" spans="15:15" ht="14.25" customHeight="1" x14ac:dyDescent="0.35">
      <c r="O313" s="1"/>
    </row>
    <row r="314" spans="15:15" ht="14.25" customHeight="1" x14ac:dyDescent="0.35">
      <c r="O314" s="1"/>
    </row>
    <row r="315" spans="15:15" ht="14.25" customHeight="1" x14ac:dyDescent="0.35">
      <c r="O315" s="1"/>
    </row>
    <row r="316" spans="15:15" ht="14.25" customHeight="1" x14ac:dyDescent="0.35">
      <c r="O316" s="1"/>
    </row>
    <row r="317" spans="15:15" ht="14.25" customHeight="1" x14ac:dyDescent="0.35">
      <c r="O317" s="1"/>
    </row>
    <row r="318" spans="15:15" ht="14.25" customHeight="1" x14ac:dyDescent="0.35">
      <c r="O318" s="1"/>
    </row>
    <row r="319" spans="15:15" ht="14.25" customHeight="1" x14ac:dyDescent="0.35">
      <c r="O319" s="1"/>
    </row>
    <row r="320" spans="15:15" ht="14.25" customHeight="1" x14ac:dyDescent="0.35">
      <c r="O320" s="1"/>
    </row>
    <row r="321" spans="15:15" ht="14.25" customHeight="1" x14ac:dyDescent="0.35">
      <c r="O321" s="1"/>
    </row>
    <row r="322" spans="15:15" ht="14.25" customHeight="1" x14ac:dyDescent="0.35">
      <c r="O322" s="1"/>
    </row>
    <row r="323" spans="15:15" ht="14.25" customHeight="1" x14ac:dyDescent="0.35">
      <c r="O323" s="1"/>
    </row>
    <row r="324" spans="15:15" ht="14.25" customHeight="1" x14ac:dyDescent="0.35">
      <c r="O324" s="1"/>
    </row>
    <row r="325" spans="15:15" ht="14.25" customHeight="1" x14ac:dyDescent="0.35">
      <c r="O325" s="1"/>
    </row>
    <row r="326" spans="15:15" ht="14.25" customHeight="1" x14ac:dyDescent="0.35">
      <c r="O326" s="1"/>
    </row>
    <row r="327" spans="15:15" ht="14.25" customHeight="1" x14ac:dyDescent="0.35">
      <c r="O327" s="1"/>
    </row>
    <row r="328" spans="15:15" ht="14.25" customHeight="1" x14ac:dyDescent="0.35">
      <c r="O328" s="1"/>
    </row>
    <row r="329" spans="15:15" ht="14.25" customHeight="1" x14ac:dyDescent="0.35">
      <c r="O329" s="1"/>
    </row>
    <row r="330" spans="15:15" ht="14.25" customHeight="1" x14ac:dyDescent="0.35">
      <c r="O330" s="1"/>
    </row>
    <row r="331" spans="15:15" ht="14.25" customHeight="1" x14ac:dyDescent="0.35">
      <c r="O331" s="1"/>
    </row>
    <row r="332" spans="15:15" ht="14.25" customHeight="1" x14ac:dyDescent="0.35">
      <c r="O332" s="1"/>
    </row>
    <row r="333" spans="15:15" ht="14.25" customHeight="1" x14ac:dyDescent="0.35">
      <c r="O333" s="1"/>
    </row>
    <row r="334" spans="15:15" ht="14.25" customHeight="1" x14ac:dyDescent="0.35">
      <c r="O334" s="1"/>
    </row>
    <row r="335" spans="15:15" ht="14.25" customHeight="1" x14ac:dyDescent="0.35">
      <c r="O335" s="1"/>
    </row>
    <row r="336" spans="15:15" ht="14.25" customHeight="1" x14ac:dyDescent="0.35">
      <c r="O336" s="1"/>
    </row>
    <row r="337" spans="15:15" ht="14.25" customHeight="1" x14ac:dyDescent="0.35">
      <c r="O337" s="1"/>
    </row>
    <row r="338" spans="15:15" ht="14.25" customHeight="1" x14ac:dyDescent="0.35">
      <c r="O338" s="1"/>
    </row>
    <row r="339" spans="15:15" ht="14.25" customHeight="1" x14ac:dyDescent="0.35">
      <c r="O339" s="1"/>
    </row>
    <row r="340" spans="15:15" ht="14.25" customHeight="1" x14ac:dyDescent="0.35">
      <c r="O340" s="1"/>
    </row>
    <row r="341" spans="15:15" ht="14.25" customHeight="1" x14ac:dyDescent="0.35">
      <c r="O341" s="1"/>
    </row>
    <row r="342" spans="15:15" ht="14.25" customHeight="1" x14ac:dyDescent="0.35">
      <c r="O342" s="1"/>
    </row>
    <row r="343" spans="15:15" ht="14.25" customHeight="1" x14ac:dyDescent="0.35">
      <c r="O343" s="1"/>
    </row>
    <row r="344" spans="15:15" ht="14.25" customHeight="1" x14ac:dyDescent="0.35">
      <c r="O344" s="1"/>
    </row>
    <row r="345" spans="15:15" ht="14.25" customHeight="1" x14ac:dyDescent="0.35">
      <c r="O345" s="1"/>
    </row>
    <row r="346" spans="15:15" ht="14.25" customHeight="1" x14ac:dyDescent="0.35">
      <c r="O346" s="1"/>
    </row>
    <row r="347" spans="15:15" ht="14.25" customHeight="1" x14ac:dyDescent="0.35">
      <c r="O347" s="1"/>
    </row>
    <row r="348" spans="15:15" ht="14.25" customHeight="1" x14ac:dyDescent="0.35">
      <c r="O348" s="1"/>
    </row>
    <row r="349" spans="15:15" ht="14.25" customHeight="1" x14ac:dyDescent="0.35">
      <c r="O349" s="1"/>
    </row>
    <row r="350" spans="15:15" ht="14.25" customHeight="1" x14ac:dyDescent="0.35">
      <c r="O350" s="1"/>
    </row>
    <row r="351" spans="15:15" ht="14.25" customHeight="1" x14ac:dyDescent="0.35">
      <c r="O351" s="1"/>
    </row>
    <row r="352" spans="15:15" ht="14.25" customHeight="1" x14ac:dyDescent="0.35">
      <c r="O352" s="1"/>
    </row>
    <row r="353" spans="15:15" ht="14.25" customHeight="1" x14ac:dyDescent="0.35">
      <c r="O353" s="1"/>
    </row>
    <row r="354" spans="15:15" ht="14.25" customHeight="1" x14ac:dyDescent="0.35">
      <c r="O354" s="1"/>
    </row>
    <row r="355" spans="15:15" ht="14.25" customHeight="1" x14ac:dyDescent="0.35">
      <c r="O355" s="1"/>
    </row>
    <row r="356" spans="15:15" ht="14.25" customHeight="1" x14ac:dyDescent="0.35">
      <c r="O356" s="1"/>
    </row>
    <row r="357" spans="15:15" ht="14.25" customHeight="1" x14ac:dyDescent="0.35">
      <c r="O357" s="1"/>
    </row>
    <row r="358" spans="15:15" ht="14.25" customHeight="1" x14ac:dyDescent="0.35">
      <c r="O358" s="1"/>
    </row>
    <row r="359" spans="15:15" ht="14.25" customHeight="1" x14ac:dyDescent="0.35">
      <c r="O359" s="1"/>
    </row>
    <row r="360" spans="15:15" ht="14.25" customHeight="1" x14ac:dyDescent="0.35">
      <c r="O360" s="1"/>
    </row>
    <row r="361" spans="15:15" ht="14.25" customHeight="1" x14ac:dyDescent="0.35">
      <c r="O361" s="1"/>
    </row>
    <row r="362" spans="15:15" ht="14.25" customHeight="1" x14ac:dyDescent="0.35">
      <c r="O362" s="1"/>
    </row>
    <row r="363" spans="15:15" ht="14.25" customHeight="1" x14ac:dyDescent="0.35">
      <c r="O363" s="1"/>
    </row>
    <row r="364" spans="15:15" ht="14.25" customHeight="1" x14ac:dyDescent="0.35">
      <c r="O364" s="1"/>
    </row>
    <row r="365" spans="15:15" ht="14.25" customHeight="1" x14ac:dyDescent="0.35">
      <c r="O365" s="1"/>
    </row>
    <row r="366" spans="15:15" ht="14.25" customHeight="1" x14ac:dyDescent="0.35">
      <c r="O366" s="1"/>
    </row>
    <row r="367" spans="15:15" ht="14.25" customHeight="1" x14ac:dyDescent="0.35">
      <c r="O367" s="1"/>
    </row>
    <row r="368" spans="15:15" ht="14.25" customHeight="1" x14ac:dyDescent="0.35">
      <c r="O368" s="1"/>
    </row>
    <row r="369" spans="15:15" ht="14.25" customHeight="1" x14ac:dyDescent="0.35">
      <c r="O369" s="1"/>
    </row>
    <row r="370" spans="15:15" ht="14.25" customHeight="1" x14ac:dyDescent="0.35">
      <c r="O370" s="1"/>
    </row>
    <row r="371" spans="15:15" ht="14.25" customHeight="1" x14ac:dyDescent="0.35">
      <c r="O371" s="1"/>
    </row>
    <row r="372" spans="15:15" ht="14.25" customHeight="1" x14ac:dyDescent="0.35">
      <c r="O372" s="1"/>
    </row>
    <row r="373" spans="15:15" ht="14.25" customHeight="1" x14ac:dyDescent="0.35">
      <c r="O373" s="1"/>
    </row>
    <row r="374" spans="15:15" ht="14.25" customHeight="1" x14ac:dyDescent="0.35">
      <c r="O374" s="1"/>
    </row>
    <row r="375" spans="15:15" ht="14.25" customHeight="1" x14ac:dyDescent="0.35">
      <c r="O375" s="1"/>
    </row>
    <row r="376" spans="15:15" ht="14.25" customHeight="1" x14ac:dyDescent="0.35">
      <c r="O376" s="1"/>
    </row>
    <row r="377" spans="15:15" ht="14.25" customHeight="1" x14ac:dyDescent="0.35">
      <c r="O377" s="1"/>
    </row>
    <row r="378" spans="15:15" ht="14.25" customHeight="1" x14ac:dyDescent="0.35">
      <c r="O378" s="1"/>
    </row>
    <row r="379" spans="15:15" ht="14.25" customHeight="1" x14ac:dyDescent="0.35">
      <c r="O379" s="1"/>
    </row>
    <row r="380" spans="15:15" ht="14.25" customHeight="1" x14ac:dyDescent="0.35">
      <c r="O380" s="1"/>
    </row>
    <row r="381" spans="15:15" ht="14.25" customHeight="1" x14ac:dyDescent="0.35">
      <c r="O381" s="1"/>
    </row>
    <row r="382" spans="15:15" ht="14.25" customHeight="1" x14ac:dyDescent="0.35">
      <c r="O382" s="1"/>
    </row>
    <row r="383" spans="15:15" ht="14.25" customHeight="1" x14ac:dyDescent="0.35">
      <c r="O383" s="1"/>
    </row>
    <row r="384" spans="15:15" ht="14.25" customHeight="1" x14ac:dyDescent="0.35">
      <c r="O384" s="1"/>
    </row>
    <row r="385" spans="15:15" ht="14.25" customHeight="1" x14ac:dyDescent="0.35">
      <c r="O385" s="1"/>
    </row>
    <row r="386" spans="15:15" ht="14.25" customHeight="1" x14ac:dyDescent="0.35">
      <c r="O386" s="1"/>
    </row>
    <row r="387" spans="15:15" ht="14.25" customHeight="1" x14ac:dyDescent="0.35">
      <c r="O387" s="1"/>
    </row>
    <row r="388" spans="15:15" ht="14.25" customHeight="1" x14ac:dyDescent="0.35">
      <c r="O388" s="1"/>
    </row>
    <row r="389" spans="15:15" ht="14.25" customHeight="1" x14ac:dyDescent="0.35">
      <c r="O389" s="1"/>
    </row>
    <row r="390" spans="15:15" ht="14.25" customHeight="1" x14ac:dyDescent="0.35">
      <c r="O390" s="1"/>
    </row>
    <row r="391" spans="15:15" ht="14.25" customHeight="1" x14ac:dyDescent="0.35">
      <c r="O391" s="1"/>
    </row>
    <row r="392" spans="15:15" ht="14.25" customHeight="1" x14ac:dyDescent="0.35">
      <c r="O392" s="1"/>
    </row>
    <row r="393" spans="15:15" ht="14.25" customHeight="1" x14ac:dyDescent="0.35">
      <c r="O393" s="1"/>
    </row>
    <row r="394" spans="15:15" ht="14.25" customHeight="1" x14ac:dyDescent="0.35">
      <c r="O394" s="1"/>
    </row>
    <row r="395" spans="15:15" ht="14.25" customHeight="1" x14ac:dyDescent="0.35">
      <c r="O395" s="1"/>
    </row>
    <row r="396" spans="15:15" ht="14.25" customHeight="1" x14ac:dyDescent="0.35">
      <c r="O396" s="1"/>
    </row>
    <row r="397" spans="15:15" ht="14.25" customHeight="1" x14ac:dyDescent="0.35">
      <c r="O397" s="1"/>
    </row>
    <row r="398" spans="15:15" ht="14.25" customHeight="1" x14ac:dyDescent="0.35">
      <c r="O398" s="1"/>
    </row>
    <row r="399" spans="15:15" ht="14.25" customHeight="1" x14ac:dyDescent="0.35">
      <c r="O399" s="1"/>
    </row>
    <row r="400" spans="15:15" ht="14.25" customHeight="1" x14ac:dyDescent="0.35">
      <c r="O400" s="1"/>
    </row>
    <row r="401" spans="15:15" ht="14.25" customHeight="1" x14ac:dyDescent="0.35">
      <c r="O401" s="1"/>
    </row>
    <row r="402" spans="15:15" ht="14.25" customHeight="1" x14ac:dyDescent="0.35">
      <c r="O402" s="1"/>
    </row>
    <row r="403" spans="15:15" ht="14.25" customHeight="1" x14ac:dyDescent="0.35">
      <c r="O403" s="1"/>
    </row>
    <row r="404" spans="15:15" ht="14.25" customHeight="1" x14ac:dyDescent="0.35">
      <c r="O404" s="1"/>
    </row>
    <row r="405" spans="15:15" ht="14.25" customHeight="1" x14ac:dyDescent="0.35">
      <c r="O405" s="1"/>
    </row>
    <row r="406" spans="15:15" ht="14.25" customHeight="1" x14ac:dyDescent="0.35">
      <c r="O406" s="1"/>
    </row>
    <row r="407" spans="15:15" ht="14.25" customHeight="1" x14ac:dyDescent="0.35">
      <c r="O407" s="1"/>
    </row>
    <row r="408" spans="15:15" ht="14.25" customHeight="1" x14ac:dyDescent="0.35">
      <c r="O408" s="1"/>
    </row>
    <row r="409" spans="15:15" ht="14.25" customHeight="1" x14ac:dyDescent="0.35">
      <c r="O409" s="1"/>
    </row>
    <row r="410" spans="15:15" ht="14.25" customHeight="1" x14ac:dyDescent="0.35">
      <c r="O410" s="1"/>
    </row>
    <row r="411" spans="15:15" ht="14.25" customHeight="1" x14ac:dyDescent="0.35">
      <c r="O411" s="1"/>
    </row>
    <row r="412" spans="15:15" ht="14.25" customHeight="1" x14ac:dyDescent="0.35">
      <c r="O412" s="1"/>
    </row>
    <row r="413" spans="15:15" ht="14.25" customHeight="1" x14ac:dyDescent="0.35">
      <c r="O413" s="1"/>
    </row>
    <row r="414" spans="15:15" ht="14.25" customHeight="1" x14ac:dyDescent="0.35">
      <c r="O414" s="1"/>
    </row>
    <row r="415" spans="15:15" ht="14.25" customHeight="1" x14ac:dyDescent="0.35">
      <c r="O415" s="1"/>
    </row>
    <row r="416" spans="15:15" ht="14.25" customHeight="1" x14ac:dyDescent="0.35">
      <c r="O416" s="1"/>
    </row>
    <row r="417" spans="15:15" ht="14.25" customHeight="1" x14ac:dyDescent="0.35">
      <c r="O417" s="1"/>
    </row>
    <row r="418" spans="15:15" ht="14.25" customHeight="1" x14ac:dyDescent="0.35">
      <c r="O418" s="1"/>
    </row>
    <row r="419" spans="15:15" ht="14.25" customHeight="1" x14ac:dyDescent="0.35">
      <c r="O419" s="1"/>
    </row>
    <row r="420" spans="15:15" ht="14.25" customHeight="1" x14ac:dyDescent="0.35">
      <c r="O420" s="1"/>
    </row>
    <row r="421" spans="15:15" ht="14.25" customHeight="1" x14ac:dyDescent="0.35">
      <c r="O421" s="1"/>
    </row>
    <row r="422" spans="15:15" ht="14.25" customHeight="1" x14ac:dyDescent="0.35">
      <c r="O422" s="1"/>
    </row>
    <row r="423" spans="15:15" ht="14.25" customHeight="1" x14ac:dyDescent="0.35">
      <c r="O423" s="1"/>
    </row>
    <row r="424" spans="15:15" ht="14.25" customHeight="1" x14ac:dyDescent="0.35">
      <c r="O424" s="1"/>
    </row>
    <row r="425" spans="15:15" ht="14.25" customHeight="1" x14ac:dyDescent="0.35">
      <c r="O425" s="1"/>
    </row>
    <row r="426" spans="15:15" ht="14.25" customHeight="1" x14ac:dyDescent="0.35">
      <c r="O426" s="1"/>
    </row>
    <row r="427" spans="15:15" ht="14.25" customHeight="1" x14ac:dyDescent="0.35">
      <c r="O427" s="1"/>
    </row>
    <row r="428" spans="15:15" ht="14.25" customHeight="1" x14ac:dyDescent="0.35">
      <c r="O428" s="1"/>
    </row>
    <row r="429" spans="15:15" ht="14.25" customHeight="1" x14ac:dyDescent="0.35">
      <c r="O429" s="1"/>
    </row>
    <row r="430" spans="15:15" ht="14.25" customHeight="1" x14ac:dyDescent="0.35">
      <c r="O430" s="1"/>
    </row>
    <row r="431" spans="15:15" ht="14.25" customHeight="1" x14ac:dyDescent="0.35">
      <c r="O431" s="1"/>
    </row>
    <row r="432" spans="15:15" ht="14.25" customHeight="1" x14ac:dyDescent="0.35">
      <c r="O432" s="1"/>
    </row>
    <row r="433" spans="15:15" ht="14.25" customHeight="1" x14ac:dyDescent="0.35">
      <c r="O433" s="1"/>
    </row>
    <row r="434" spans="15:15" ht="14.25" customHeight="1" x14ac:dyDescent="0.35">
      <c r="O434" s="1"/>
    </row>
    <row r="435" spans="15:15" ht="14.25" customHeight="1" x14ac:dyDescent="0.35">
      <c r="O435" s="1"/>
    </row>
    <row r="436" spans="15:15" ht="14.25" customHeight="1" x14ac:dyDescent="0.35">
      <c r="O436" s="1"/>
    </row>
    <row r="437" spans="15:15" ht="14.25" customHeight="1" x14ac:dyDescent="0.35">
      <c r="O437" s="1"/>
    </row>
    <row r="438" spans="15:15" ht="14.25" customHeight="1" x14ac:dyDescent="0.35">
      <c r="O438" s="1"/>
    </row>
    <row r="439" spans="15:15" ht="14.25" customHeight="1" x14ac:dyDescent="0.35">
      <c r="O439" s="1"/>
    </row>
    <row r="440" spans="15:15" ht="14.25" customHeight="1" x14ac:dyDescent="0.35">
      <c r="O440" s="1"/>
    </row>
    <row r="441" spans="15:15" ht="14.25" customHeight="1" x14ac:dyDescent="0.35">
      <c r="O441" s="1"/>
    </row>
    <row r="442" spans="15:15" ht="14.25" customHeight="1" x14ac:dyDescent="0.35">
      <c r="O442" s="1"/>
    </row>
    <row r="443" spans="15:15" ht="14.25" customHeight="1" x14ac:dyDescent="0.35">
      <c r="O443" s="1"/>
    </row>
    <row r="444" spans="15:15" ht="14.25" customHeight="1" x14ac:dyDescent="0.35">
      <c r="O444" s="1"/>
    </row>
    <row r="445" spans="15:15" ht="14.25" customHeight="1" x14ac:dyDescent="0.35">
      <c r="O445" s="1"/>
    </row>
    <row r="446" spans="15:15" ht="14.25" customHeight="1" x14ac:dyDescent="0.35">
      <c r="O446" s="1"/>
    </row>
    <row r="447" spans="15:15" ht="14.25" customHeight="1" x14ac:dyDescent="0.35">
      <c r="O447" s="1"/>
    </row>
    <row r="448" spans="15:15" ht="14.25" customHeight="1" x14ac:dyDescent="0.35">
      <c r="O448" s="1"/>
    </row>
    <row r="449" spans="15:15" ht="14.25" customHeight="1" x14ac:dyDescent="0.35">
      <c r="O449" s="1"/>
    </row>
    <row r="450" spans="15:15" ht="14.25" customHeight="1" x14ac:dyDescent="0.35">
      <c r="O450" s="1"/>
    </row>
    <row r="451" spans="15:15" ht="14.25" customHeight="1" x14ac:dyDescent="0.35">
      <c r="O451" s="1"/>
    </row>
    <row r="452" spans="15:15" ht="14.25" customHeight="1" x14ac:dyDescent="0.35">
      <c r="O452" s="1"/>
    </row>
    <row r="453" spans="15:15" ht="14.25" customHeight="1" x14ac:dyDescent="0.35">
      <c r="O453" s="1"/>
    </row>
    <row r="454" spans="15:15" ht="14.25" customHeight="1" x14ac:dyDescent="0.35">
      <c r="O454" s="1"/>
    </row>
    <row r="455" spans="15:15" ht="14.25" customHeight="1" x14ac:dyDescent="0.35">
      <c r="O455" s="1"/>
    </row>
    <row r="456" spans="15:15" ht="14.25" customHeight="1" x14ac:dyDescent="0.35">
      <c r="O456" s="1"/>
    </row>
    <row r="457" spans="15:15" ht="14.25" customHeight="1" x14ac:dyDescent="0.35">
      <c r="O457" s="1"/>
    </row>
    <row r="458" spans="15:15" ht="14.25" customHeight="1" x14ac:dyDescent="0.35">
      <c r="O458" s="1"/>
    </row>
    <row r="459" spans="15:15" ht="14.25" customHeight="1" x14ac:dyDescent="0.35">
      <c r="O459" s="1"/>
    </row>
    <row r="460" spans="15:15" ht="14.25" customHeight="1" x14ac:dyDescent="0.35">
      <c r="O460" s="1"/>
    </row>
    <row r="461" spans="15:15" ht="14.25" customHeight="1" x14ac:dyDescent="0.35">
      <c r="O461" s="1"/>
    </row>
    <row r="462" spans="15:15" ht="14.25" customHeight="1" x14ac:dyDescent="0.35">
      <c r="O462" s="1"/>
    </row>
    <row r="463" spans="15:15" ht="14.25" customHeight="1" x14ac:dyDescent="0.35">
      <c r="O463" s="1"/>
    </row>
    <row r="464" spans="15:15" ht="14.25" customHeight="1" x14ac:dyDescent="0.35">
      <c r="O464" s="1"/>
    </row>
    <row r="465" spans="15:15" ht="14.25" customHeight="1" x14ac:dyDescent="0.35">
      <c r="O465" s="1"/>
    </row>
    <row r="466" spans="15:15" ht="14.25" customHeight="1" x14ac:dyDescent="0.35">
      <c r="O466" s="1"/>
    </row>
    <row r="467" spans="15:15" ht="14.25" customHeight="1" x14ac:dyDescent="0.35">
      <c r="O467" s="1"/>
    </row>
    <row r="468" spans="15:15" ht="14.25" customHeight="1" x14ac:dyDescent="0.35">
      <c r="O468" s="1"/>
    </row>
    <row r="469" spans="15:15" ht="14.25" customHeight="1" x14ac:dyDescent="0.35">
      <c r="O469" s="1"/>
    </row>
    <row r="470" spans="15:15" ht="14.25" customHeight="1" x14ac:dyDescent="0.35">
      <c r="O470" s="1"/>
    </row>
    <row r="471" spans="15:15" ht="14.25" customHeight="1" x14ac:dyDescent="0.35">
      <c r="O471" s="1"/>
    </row>
    <row r="472" spans="15:15" ht="14.25" customHeight="1" x14ac:dyDescent="0.35">
      <c r="O472" s="1"/>
    </row>
    <row r="473" spans="15:15" ht="14.25" customHeight="1" x14ac:dyDescent="0.35">
      <c r="O473" s="1"/>
    </row>
    <row r="474" spans="15:15" ht="14.25" customHeight="1" x14ac:dyDescent="0.35">
      <c r="O474" s="1"/>
    </row>
    <row r="475" spans="15:15" ht="14.25" customHeight="1" x14ac:dyDescent="0.35">
      <c r="O475" s="1"/>
    </row>
    <row r="476" spans="15:15" ht="14.25" customHeight="1" x14ac:dyDescent="0.35">
      <c r="O476" s="1"/>
    </row>
    <row r="477" spans="15:15" ht="14.25" customHeight="1" x14ac:dyDescent="0.35">
      <c r="O477" s="1"/>
    </row>
    <row r="478" spans="15:15" ht="14.25" customHeight="1" x14ac:dyDescent="0.35">
      <c r="O478" s="1"/>
    </row>
    <row r="479" spans="15:15" ht="14.25" customHeight="1" x14ac:dyDescent="0.35">
      <c r="O479" s="1"/>
    </row>
    <row r="480" spans="15:15" ht="14.25" customHeight="1" x14ac:dyDescent="0.35">
      <c r="O480" s="1"/>
    </row>
    <row r="481" spans="15:15" ht="14.25" customHeight="1" x14ac:dyDescent="0.35">
      <c r="O481" s="1"/>
    </row>
    <row r="482" spans="15:15" ht="14.25" customHeight="1" x14ac:dyDescent="0.35">
      <c r="O482" s="1"/>
    </row>
    <row r="483" spans="15:15" ht="14.25" customHeight="1" x14ac:dyDescent="0.35">
      <c r="O483" s="1"/>
    </row>
    <row r="484" spans="15:15" ht="14.25" customHeight="1" x14ac:dyDescent="0.35">
      <c r="O484" s="1"/>
    </row>
    <row r="485" spans="15:15" ht="14.25" customHeight="1" x14ac:dyDescent="0.35">
      <c r="O485" s="1"/>
    </row>
    <row r="486" spans="15:15" ht="14.25" customHeight="1" x14ac:dyDescent="0.35">
      <c r="O486" s="1"/>
    </row>
    <row r="487" spans="15:15" ht="14.25" customHeight="1" x14ac:dyDescent="0.35">
      <c r="O487" s="1"/>
    </row>
    <row r="488" spans="15:15" ht="14.25" customHeight="1" x14ac:dyDescent="0.35">
      <c r="O488" s="1"/>
    </row>
    <row r="489" spans="15:15" ht="14.25" customHeight="1" x14ac:dyDescent="0.35">
      <c r="O489" s="1"/>
    </row>
    <row r="490" spans="15:15" ht="14.25" customHeight="1" x14ac:dyDescent="0.35">
      <c r="O490" s="1"/>
    </row>
    <row r="491" spans="15:15" ht="14.25" customHeight="1" x14ac:dyDescent="0.35">
      <c r="O491" s="1"/>
    </row>
    <row r="492" spans="15:15" ht="14.25" customHeight="1" x14ac:dyDescent="0.35">
      <c r="O492" s="1"/>
    </row>
    <row r="493" spans="15:15" ht="14.25" customHeight="1" x14ac:dyDescent="0.35">
      <c r="O493" s="1"/>
    </row>
    <row r="494" spans="15:15" ht="14.25" customHeight="1" x14ac:dyDescent="0.35">
      <c r="O494" s="1"/>
    </row>
    <row r="495" spans="15:15" ht="14.25" customHeight="1" x14ac:dyDescent="0.35">
      <c r="O495" s="1"/>
    </row>
    <row r="496" spans="15:15" ht="14.25" customHeight="1" x14ac:dyDescent="0.35">
      <c r="O496" s="1"/>
    </row>
    <row r="497" spans="15:15" ht="14.25" customHeight="1" x14ac:dyDescent="0.35">
      <c r="O497" s="1"/>
    </row>
    <row r="498" spans="15:15" ht="14.25" customHeight="1" x14ac:dyDescent="0.35">
      <c r="O498" s="1"/>
    </row>
    <row r="499" spans="15:15" ht="14.25" customHeight="1" x14ac:dyDescent="0.35">
      <c r="O499" s="1"/>
    </row>
    <row r="500" spans="15:15" ht="14.25" customHeight="1" x14ac:dyDescent="0.35">
      <c r="O500" s="1"/>
    </row>
    <row r="501" spans="15:15" ht="14.25" customHeight="1" x14ac:dyDescent="0.35">
      <c r="O501" s="1"/>
    </row>
    <row r="502" spans="15:15" ht="14.25" customHeight="1" x14ac:dyDescent="0.35">
      <c r="O502" s="1"/>
    </row>
    <row r="503" spans="15:15" ht="14.25" customHeight="1" x14ac:dyDescent="0.35">
      <c r="O503" s="1"/>
    </row>
    <row r="504" spans="15:15" ht="14.25" customHeight="1" x14ac:dyDescent="0.35">
      <c r="O504" s="1"/>
    </row>
    <row r="505" spans="15:15" ht="14.25" customHeight="1" x14ac:dyDescent="0.35">
      <c r="O505" s="1"/>
    </row>
    <row r="506" spans="15:15" ht="14.25" customHeight="1" x14ac:dyDescent="0.35">
      <c r="O506" s="1"/>
    </row>
    <row r="507" spans="15:15" ht="14.25" customHeight="1" x14ac:dyDescent="0.35">
      <c r="O507" s="1"/>
    </row>
    <row r="508" spans="15:15" ht="14.25" customHeight="1" x14ac:dyDescent="0.35">
      <c r="O508" s="1"/>
    </row>
    <row r="509" spans="15:15" ht="14.25" customHeight="1" x14ac:dyDescent="0.35">
      <c r="O509" s="1"/>
    </row>
    <row r="510" spans="15:15" ht="14.25" customHeight="1" x14ac:dyDescent="0.35">
      <c r="O510" s="1"/>
    </row>
    <row r="511" spans="15:15" ht="14.25" customHeight="1" x14ac:dyDescent="0.35">
      <c r="O511" s="1"/>
    </row>
    <row r="512" spans="15:15" ht="14.25" customHeight="1" x14ac:dyDescent="0.35">
      <c r="O512" s="1"/>
    </row>
    <row r="513" spans="15:15" ht="14.25" customHeight="1" x14ac:dyDescent="0.35">
      <c r="O513" s="1"/>
    </row>
    <row r="514" spans="15:15" ht="14.25" customHeight="1" x14ac:dyDescent="0.35">
      <c r="O514" s="1"/>
    </row>
    <row r="515" spans="15:15" ht="14.25" customHeight="1" x14ac:dyDescent="0.35">
      <c r="O515" s="1"/>
    </row>
    <row r="516" spans="15:15" ht="14.25" customHeight="1" x14ac:dyDescent="0.35">
      <c r="O516" s="1"/>
    </row>
    <row r="517" spans="15:15" ht="14.25" customHeight="1" x14ac:dyDescent="0.35">
      <c r="O517" s="1"/>
    </row>
    <row r="518" spans="15:15" ht="14.25" customHeight="1" x14ac:dyDescent="0.35">
      <c r="O518" s="1"/>
    </row>
    <row r="519" spans="15:15" ht="14.25" customHeight="1" x14ac:dyDescent="0.35">
      <c r="O519" s="1"/>
    </row>
    <row r="520" spans="15:15" ht="14.25" customHeight="1" x14ac:dyDescent="0.35">
      <c r="O520" s="1"/>
    </row>
    <row r="521" spans="15:15" ht="14.25" customHeight="1" x14ac:dyDescent="0.35">
      <c r="O521" s="1"/>
    </row>
    <row r="522" spans="15:15" ht="14.25" customHeight="1" x14ac:dyDescent="0.35">
      <c r="O522" s="1"/>
    </row>
    <row r="523" spans="15:15" ht="14.25" customHeight="1" x14ac:dyDescent="0.35">
      <c r="O523" s="1"/>
    </row>
    <row r="524" spans="15:15" ht="14.25" customHeight="1" x14ac:dyDescent="0.35">
      <c r="O524" s="1"/>
    </row>
    <row r="525" spans="15:15" ht="14.25" customHeight="1" x14ac:dyDescent="0.35">
      <c r="O525" s="1"/>
    </row>
    <row r="526" spans="15:15" ht="14.25" customHeight="1" x14ac:dyDescent="0.35">
      <c r="O526" s="1"/>
    </row>
    <row r="527" spans="15:15" ht="14.25" customHeight="1" x14ac:dyDescent="0.35">
      <c r="O527" s="1"/>
    </row>
    <row r="528" spans="15:15" ht="14.25" customHeight="1" x14ac:dyDescent="0.35">
      <c r="O528" s="1"/>
    </row>
    <row r="529" spans="15:15" ht="14.25" customHeight="1" x14ac:dyDescent="0.35">
      <c r="O529" s="1"/>
    </row>
    <row r="530" spans="15:15" ht="14.25" customHeight="1" x14ac:dyDescent="0.35">
      <c r="O530" s="1"/>
    </row>
    <row r="531" spans="15:15" ht="14.25" customHeight="1" x14ac:dyDescent="0.35">
      <c r="O531" s="1"/>
    </row>
    <row r="532" spans="15:15" ht="14.25" customHeight="1" x14ac:dyDescent="0.35">
      <c r="O532" s="1"/>
    </row>
    <row r="533" spans="15:15" ht="14.25" customHeight="1" x14ac:dyDescent="0.35">
      <c r="O533" s="1"/>
    </row>
    <row r="534" spans="15:15" ht="14.25" customHeight="1" x14ac:dyDescent="0.35">
      <c r="O534" s="1"/>
    </row>
    <row r="535" spans="15:15" ht="14.25" customHeight="1" x14ac:dyDescent="0.35">
      <c r="O535" s="1"/>
    </row>
    <row r="536" spans="15:15" ht="14.25" customHeight="1" x14ac:dyDescent="0.35">
      <c r="O536" s="1"/>
    </row>
    <row r="537" spans="15:15" ht="14.25" customHeight="1" x14ac:dyDescent="0.35">
      <c r="O537" s="1"/>
    </row>
    <row r="538" spans="15:15" ht="14.25" customHeight="1" x14ac:dyDescent="0.35">
      <c r="O538" s="1"/>
    </row>
    <row r="539" spans="15:15" ht="14.25" customHeight="1" x14ac:dyDescent="0.35">
      <c r="O539" s="1"/>
    </row>
    <row r="540" spans="15:15" ht="14.25" customHeight="1" x14ac:dyDescent="0.35">
      <c r="O540" s="1"/>
    </row>
    <row r="541" spans="15:15" ht="14.25" customHeight="1" x14ac:dyDescent="0.35">
      <c r="O541" s="1"/>
    </row>
    <row r="542" spans="15:15" ht="14.25" customHeight="1" x14ac:dyDescent="0.35">
      <c r="O542" s="1"/>
    </row>
    <row r="543" spans="15:15" ht="14.25" customHeight="1" x14ac:dyDescent="0.35">
      <c r="O543" s="1"/>
    </row>
    <row r="544" spans="15:15" ht="14.25" customHeight="1" x14ac:dyDescent="0.35">
      <c r="O544" s="1"/>
    </row>
    <row r="545" spans="15:15" ht="14.25" customHeight="1" x14ac:dyDescent="0.35">
      <c r="O545" s="1"/>
    </row>
    <row r="546" spans="15:15" ht="14.25" customHeight="1" x14ac:dyDescent="0.35">
      <c r="O546" s="1"/>
    </row>
    <row r="547" spans="15:15" ht="14.25" customHeight="1" x14ac:dyDescent="0.35">
      <c r="O547" s="1"/>
    </row>
    <row r="548" spans="15:15" ht="14.25" customHeight="1" x14ac:dyDescent="0.35">
      <c r="O548" s="1"/>
    </row>
    <row r="549" spans="15:15" ht="14.25" customHeight="1" x14ac:dyDescent="0.35">
      <c r="O549" s="1"/>
    </row>
    <row r="550" spans="15:15" ht="14.25" customHeight="1" x14ac:dyDescent="0.35">
      <c r="O550" s="1"/>
    </row>
    <row r="551" spans="15:15" ht="14.25" customHeight="1" x14ac:dyDescent="0.35">
      <c r="O551" s="1"/>
    </row>
    <row r="552" spans="15:15" ht="14.25" customHeight="1" x14ac:dyDescent="0.35">
      <c r="O552" s="1"/>
    </row>
    <row r="553" spans="15:15" ht="14.25" customHeight="1" x14ac:dyDescent="0.35">
      <c r="O553" s="1"/>
    </row>
    <row r="554" spans="15:15" ht="14.25" customHeight="1" x14ac:dyDescent="0.35">
      <c r="O554" s="1"/>
    </row>
    <row r="555" spans="15:15" ht="14.25" customHeight="1" x14ac:dyDescent="0.35">
      <c r="O555" s="1"/>
    </row>
    <row r="556" spans="15:15" ht="14.25" customHeight="1" x14ac:dyDescent="0.35">
      <c r="O556" s="1"/>
    </row>
    <row r="557" spans="15:15" ht="14.25" customHeight="1" x14ac:dyDescent="0.35">
      <c r="O557" s="1"/>
    </row>
    <row r="558" spans="15:15" ht="14.25" customHeight="1" x14ac:dyDescent="0.35">
      <c r="O558" s="1"/>
    </row>
    <row r="559" spans="15:15" ht="14.25" customHeight="1" x14ac:dyDescent="0.35">
      <c r="O559" s="1"/>
    </row>
    <row r="560" spans="15:15" ht="14.25" customHeight="1" x14ac:dyDescent="0.35">
      <c r="O560" s="1"/>
    </row>
    <row r="561" spans="15:15" ht="14.25" customHeight="1" x14ac:dyDescent="0.35">
      <c r="O561" s="1"/>
    </row>
    <row r="562" spans="15:15" ht="14.25" customHeight="1" x14ac:dyDescent="0.35">
      <c r="O562" s="1"/>
    </row>
    <row r="563" spans="15:15" ht="14.25" customHeight="1" x14ac:dyDescent="0.35">
      <c r="O563" s="1"/>
    </row>
    <row r="564" spans="15:15" ht="14.25" customHeight="1" x14ac:dyDescent="0.35">
      <c r="O564" s="1"/>
    </row>
    <row r="565" spans="15:15" ht="14.25" customHeight="1" x14ac:dyDescent="0.35">
      <c r="O565" s="1"/>
    </row>
    <row r="566" spans="15:15" ht="14.25" customHeight="1" x14ac:dyDescent="0.35">
      <c r="O566" s="1"/>
    </row>
    <row r="567" spans="15:15" ht="14.25" customHeight="1" x14ac:dyDescent="0.35">
      <c r="O567" s="1"/>
    </row>
    <row r="568" spans="15:15" ht="14.25" customHeight="1" x14ac:dyDescent="0.35">
      <c r="O568" s="1"/>
    </row>
    <row r="569" spans="15:15" ht="14.25" customHeight="1" x14ac:dyDescent="0.35">
      <c r="O569" s="1"/>
    </row>
    <row r="570" spans="15:15" ht="14.25" customHeight="1" x14ac:dyDescent="0.35">
      <c r="O570" s="1"/>
    </row>
    <row r="571" spans="15:15" ht="14.25" customHeight="1" x14ac:dyDescent="0.35">
      <c r="O571" s="1"/>
    </row>
    <row r="572" spans="15:15" ht="14.25" customHeight="1" x14ac:dyDescent="0.35">
      <c r="O572" s="1"/>
    </row>
    <row r="573" spans="15:15" ht="14.25" customHeight="1" x14ac:dyDescent="0.35">
      <c r="O573" s="1"/>
    </row>
    <row r="574" spans="15:15" ht="14.25" customHeight="1" x14ac:dyDescent="0.35">
      <c r="O574" s="1"/>
    </row>
    <row r="575" spans="15:15" ht="14.25" customHeight="1" x14ac:dyDescent="0.35">
      <c r="O575" s="1"/>
    </row>
    <row r="576" spans="15:15" ht="14.25" customHeight="1" x14ac:dyDescent="0.35">
      <c r="O576" s="1"/>
    </row>
    <row r="577" spans="15:15" ht="14.25" customHeight="1" x14ac:dyDescent="0.35">
      <c r="O577" s="1"/>
    </row>
    <row r="578" spans="15:15" ht="14.25" customHeight="1" x14ac:dyDescent="0.35">
      <c r="O578" s="1"/>
    </row>
    <row r="579" spans="15:15" ht="14.25" customHeight="1" x14ac:dyDescent="0.35">
      <c r="O579" s="1"/>
    </row>
    <row r="580" spans="15:15" ht="14.25" customHeight="1" x14ac:dyDescent="0.35">
      <c r="O580" s="1"/>
    </row>
    <row r="581" spans="15:15" ht="14.25" customHeight="1" x14ac:dyDescent="0.35">
      <c r="O581" s="1"/>
    </row>
    <row r="582" spans="15:15" ht="14.25" customHeight="1" x14ac:dyDescent="0.35">
      <c r="O582" s="1"/>
    </row>
    <row r="583" spans="15:15" ht="14.25" customHeight="1" x14ac:dyDescent="0.35">
      <c r="O583" s="1"/>
    </row>
    <row r="584" spans="15:15" ht="14.25" customHeight="1" x14ac:dyDescent="0.35">
      <c r="O584" s="1"/>
    </row>
    <row r="585" spans="15:15" ht="14.25" customHeight="1" x14ac:dyDescent="0.35">
      <c r="O585" s="1"/>
    </row>
    <row r="586" spans="15:15" ht="14.25" customHeight="1" x14ac:dyDescent="0.35">
      <c r="O586" s="1"/>
    </row>
    <row r="587" spans="15:15" ht="14.25" customHeight="1" x14ac:dyDescent="0.35">
      <c r="O587" s="1"/>
    </row>
    <row r="588" spans="15:15" ht="14.25" customHeight="1" x14ac:dyDescent="0.35">
      <c r="O588" s="1"/>
    </row>
    <row r="589" spans="15:15" ht="14.25" customHeight="1" x14ac:dyDescent="0.35">
      <c r="O589" s="1"/>
    </row>
    <row r="590" spans="15:15" ht="14.25" customHeight="1" x14ac:dyDescent="0.35">
      <c r="O590" s="1"/>
    </row>
    <row r="591" spans="15:15" ht="14.25" customHeight="1" x14ac:dyDescent="0.35">
      <c r="O591" s="1"/>
    </row>
    <row r="592" spans="15:15" ht="14.25" customHeight="1" x14ac:dyDescent="0.35">
      <c r="O592" s="1"/>
    </row>
    <row r="593" spans="15:15" ht="14.25" customHeight="1" x14ac:dyDescent="0.35">
      <c r="O593" s="1"/>
    </row>
    <row r="594" spans="15:15" ht="14.25" customHeight="1" x14ac:dyDescent="0.35">
      <c r="O594" s="1"/>
    </row>
    <row r="595" spans="15:15" ht="14.25" customHeight="1" x14ac:dyDescent="0.35">
      <c r="O595" s="1"/>
    </row>
    <row r="596" spans="15:15" ht="14.25" customHeight="1" x14ac:dyDescent="0.35">
      <c r="O596" s="1"/>
    </row>
    <row r="597" spans="15:15" ht="14.25" customHeight="1" x14ac:dyDescent="0.35">
      <c r="O597" s="1"/>
    </row>
    <row r="598" spans="15:15" ht="14.25" customHeight="1" x14ac:dyDescent="0.35">
      <c r="O598" s="1"/>
    </row>
    <row r="599" spans="15:15" ht="14.25" customHeight="1" x14ac:dyDescent="0.35">
      <c r="O599" s="1"/>
    </row>
    <row r="600" spans="15:15" ht="14.25" customHeight="1" x14ac:dyDescent="0.35">
      <c r="O600" s="1"/>
    </row>
    <row r="601" spans="15:15" ht="14.25" customHeight="1" x14ac:dyDescent="0.35">
      <c r="O601" s="1"/>
    </row>
    <row r="602" spans="15:15" ht="14.25" customHeight="1" x14ac:dyDescent="0.35">
      <c r="O602" s="1"/>
    </row>
    <row r="603" spans="15:15" ht="14.25" customHeight="1" x14ac:dyDescent="0.35">
      <c r="O603" s="1"/>
    </row>
    <row r="604" spans="15:15" ht="14.25" customHeight="1" x14ac:dyDescent="0.35">
      <c r="O604" s="1"/>
    </row>
    <row r="605" spans="15:15" ht="14.25" customHeight="1" x14ac:dyDescent="0.35">
      <c r="O605" s="1"/>
    </row>
    <row r="606" spans="15:15" ht="14.25" customHeight="1" x14ac:dyDescent="0.35">
      <c r="O606" s="1"/>
    </row>
    <row r="607" spans="15:15" ht="14.25" customHeight="1" x14ac:dyDescent="0.35">
      <c r="O607" s="1"/>
    </row>
    <row r="608" spans="15:15" ht="14.25" customHeight="1" x14ac:dyDescent="0.35">
      <c r="O608" s="1"/>
    </row>
    <row r="609" spans="15:15" ht="14.25" customHeight="1" x14ac:dyDescent="0.35">
      <c r="O609" s="1"/>
    </row>
    <row r="610" spans="15:15" ht="14.25" customHeight="1" x14ac:dyDescent="0.35">
      <c r="O610" s="1"/>
    </row>
    <row r="611" spans="15:15" ht="14.25" customHeight="1" x14ac:dyDescent="0.35">
      <c r="O611" s="1"/>
    </row>
    <row r="612" spans="15:15" ht="14.25" customHeight="1" x14ac:dyDescent="0.35">
      <c r="O612" s="1"/>
    </row>
    <row r="613" spans="15:15" ht="14.25" customHeight="1" x14ac:dyDescent="0.35">
      <c r="O613" s="1"/>
    </row>
    <row r="614" spans="15:15" ht="14.25" customHeight="1" x14ac:dyDescent="0.35">
      <c r="O614" s="1"/>
    </row>
    <row r="615" spans="15:15" ht="14.25" customHeight="1" x14ac:dyDescent="0.35">
      <c r="O615" s="1"/>
    </row>
    <row r="616" spans="15:15" ht="14.25" customHeight="1" x14ac:dyDescent="0.35">
      <c r="O616" s="1"/>
    </row>
    <row r="617" spans="15:15" ht="14.25" customHeight="1" x14ac:dyDescent="0.35">
      <c r="O617" s="1"/>
    </row>
    <row r="618" spans="15:15" ht="14.25" customHeight="1" x14ac:dyDescent="0.35">
      <c r="O618" s="1"/>
    </row>
    <row r="619" spans="15:15" ht="14.25" customHeight="1" x14ac:dyDescent="0.35">
      <c r="O619" s="1"/>
    </row>
    <row r="620" spans="15:15" ht="14.25" customHeight="1" x14ac:dyDescent="0.35">
      <c r="O620" s="1"/>
    </row>
    <row r="621" spans="15:15" ht="14.25" customHeight="1" x14ac:dyDescent="0.35">
      <c r="O621" s="1"/>
    </row>
    <row r="622" spans="15:15" ht="14.25" customHeight="1" x14ac:dyDescent="0.35">
      <c r="O622" s="1"/>
    </row>
    <row r="623" spans="15:15" ht="14.25" customHeight="1" x14ac:dyDescent="0.35">
      <c r="O623" s="1"/>
    </row>
    <row r="624" spans="15:15" ht="14.25" customHeight="1" x14ac:dyDescent="0.35">
      <c r="O624" s="1"/>
    </row>
    <row r="625" spans="15:15" ht="14.25" customHeight="1" x14ac:dyDescent="0.35">
      <c r="O625" s="1"/>
    </row>
    <row r="626" spans="15:15" ht="14.25" customHeight="1" x14ac:dyDescent="0.35">
      <c r="O626" s="1"/>
    </row>
    <row r="627" spans="15:15" ht="14.25" customHeight="1" x14ac:dyDescent="0.35">
      <c r="O627" s="1"/>
    </row>
    <row r="628" spans="15:15" ht="14.25" customHeight="1" x14ac:dyDescent="0.35">
      <c r="O628" s="1"/>
    </row>
    <row r="629" spans="15:15" ht="14.25" customHeight="1" x14ac:dyDescent="0.35">
      <c r="O629" s="1"/>
    </row>
    <row r="630" spans="15:15" ht="14.25" customHeight="1" x14ac:dyDescent="0.35">
      <c r="O630" s="1"/>
    </row>
    <row r="631" spans="15:15" ht="14.25" customHeight="1" x14ac:dyDescent="0.35">
      <c r="O631" s="1"/>
    </row>
    <row r="632" spans="15:15" ht="14.25" customHeight="1" x14ac:dyDescent="0.35">
      <c r="O632" s="1"/>
    </row>
    <row r="633" spans="15:15" ht="14.25" customHeight="1" x14ac:dyDescent="0.35">
      <c r="O633" s="1"/>
    </row>
    <row r="634" spans="15:15" ht="14.25" customHeight="1" x14ac:dyDescent="0.35">
      <c r="O634" s="1"/>
    </row>
    <row r="635" spans="15:15" ht="14.25" customHeight="1" x14ac:dyDescent="0.35">
      <c r="O635" s="1"/>
    </row>
    <row r="636" spans="15:15" ht="14.25" customHeight="1" x14ac:dyDescent="0.35">
      <c r="O636" s="1"/>
    </row>
    <row r="637" spans="15:15" ht="14.25" customHeight="1" x14ac:dyDescent="0.35">
      <c r="O637" s="1"/>
    </row>
    <row r="638" spans="15:15" ht="14.25" customHeight="1" x14ac:dyDescent="0.35">
      <c r="O638" s="1"/>
    </row>
    <row r="639" spans="15:15" ht="14.25" customHeight="1" x14ac:dyDescent="0.35">
      <c r="O639" s="1"/>
    </row>
    <row r="640" spans="15:15" ht="14.25" customHeight="1" x14ac:dyDescent="0.35">
      <c r="O640" s="1"/>
    </row>
    <row r="641" spans="15:15" ht="14.25" customHeight="1" x14ac:dyDescent="0.35">
      <c r="O641" s="1"/>
    </row>
    <row r="642" spans="15:15" ht="14.25" customHeight="1" x14ac:dyDescent="0.35">
      <c r="O642" s="1"/>
    </row>
    <row r="643" spans="15:15" ht="14.25" customHeight="1" x14ac:dyDescent="0.35">
      <c r="O643" s="1"/>
    </row>
    <row r="644" spans="15:15" ht="14.25" customHeight="1" x14ac:dyDescent="0.35">
      <c r="O644" s="1"/>
    </row>
    <row r="645" spans="15:15" ht="14.25" customHeight="1" x14ac:dyDescent="0.35">
      <c r="O645" s="1"/>
    </row>
    <row r="646" spans="15:15" ht="14.25" customHeight="1" x14ac:dyDescent="0.35">
      <c r="O646" s="1"/>
    </row>
    <row r="647" spans="15:15" ht="14.25" customHeight="1" x14ac:dyDescent="0.35">
      <c r="O647" s="1"/>
    </row>
    <row r="648" spans="15:15" ht="14.25" customHeight="1" x14ac:dyDescent="0.35">
      <c r="O648" s="1"/>
    </row>
    <row r="649" spans="15:15" ht="14.25" customHeight="1" x14ac:dyDescent="0.35">
      <c r="O649" s="1"/>
    </row>
    <row r="650" spans="15:15" ht="14.25" customHeight="1" x14ac:dyDescent="0.35">
      <c r="O650" s="1"/>
    </row>
    <row r="651" spans="15:15" ht="14.25" customHeight="1" x14ac:dyDescent="0.35">
      <c r="O651" s="1"/>
    </row>
    <row r="652" spans="15:15" ht="14.25" customHeight="1" x14ac:dyDescent="0.35">
      <c r="O652" s="1"/>
    </row>
    <row r="653" spans="15:15" ht="14.25" customHeight="1" x14ac:dyDescent="0.35">
      <c r="O653" s="1"/>
    </row>
    <row r="654" spans="15:15" ht="14.25" customHeight="1" x14ac:dyDescent="0.35">
      <c r="O654" s="1"/>
    </row>
    <row r="655" spans="15:15" ht="14.25" customHeight="1" x14ac:dyDescent="0.35">
      <c r="O655" s="1"/>
    </row>
    <row r="656" spans="15:15" ht="14.25" customHeight="1" x14ac:dyDescent="0.35">
      <c r="O656" s="1"/>
    </row>
    <row r="657" spans="15:15" ht="14.25" customHeight="1" x14ac:dyDescent="0.35">
      <c r="O657" s="1"/>
    </row>
    <row r="658" spans="15:15" ht="14.25" customHeight="1" x14ac:dyDescent="0.35">
      <c r="O658" s="1"/>
    </row>
    <row r="659" spans="15:15" ht="14.25" customHeight="1" x14ac:dyDescent="0.35">
      <c r="O659" s="1"/>
    </row>
    <row r="660" spans="15:15" ht="14.25" customHeight="1" x14ac:dyDescent="0.35">
      <c r="O660" s="1"/>
    </row>
    <row r="661" spans="15:15" ht="14.25" customHeight="1" x14ac:dyDescent="0.35">
      <c r="O661" s="1"/>
    </row>
    <row r="662" spans="15:15" ht="14.25" customHeight="1" x14ac:dyDescent="0.35">
      <c r="O662" s="1"/>
    </row>
    <row r="663" spans="15:15" ht="14.25" customHeight="1" x14ac:dyDescent="0.35">
      <c r="O663" s="1"/>
    </row>
    <row r="664" spans="15:15" ht="14.25" customHeight="1" x14ac:dyDescent="0.35">
      <c r="O664" s="1"/>
    </row>
    <row r="665" spans="15:15" ht="14.25" customHeight="1" x14ac:dyDescent="0.35">
      <c r="O665" s="1"/>
    </row>
    <row r="666" spans="15:15" ht="14.25" customHeight="1" x14ac:dyDescent="0.35">
      <c r="O666" s="1"/>
    </row>
    <row r="667" spans="15:15" ht="14.25" customHeight="1" x14ac:dyDescent="0.35">
      <c r="O667" s="1"/>
    </row>
    <row r="668" spans="15:15" ht="14.25" customHeight="1" x14ac:dyDescent="0.35">
      <c r="O668" s="1"/>
    </row>
    <row r="669" spans="15:15" ht="14.25" customHeight="1" x14ac:dyDescent="0.35">
      <c r="O669" s="1"/>
    </row>
    <row r="670" spans="15:15" ht="14.25" customHeight="1" x14ac:dyDescent="0.35">
      <c r="O670" s="1"/>
    </row>
    <row r="671" spans="15:15" ht="14.25" customHeight="1" x14ac:dyDescent="0.35">
      <c r="O671" s="1"/>
    </row>
    <row r="672" spans="15:15" ht="14.25" customHeight="1" x14ac:dyDescent="0.35">
      <c r="O672" s="1"/>
    </row>
    <row r="673" spans="15:15" ht="14.25" customHeight="1" x14ac:dyDescent="0.35">
      <c r="O673" s="1"/>
    </row>
    <row r="674" spans="15:15" ht="14.25" customHeight="1" x14ac:dyDescent="0.35">
      <c r="O674" s="1"/>
    </row>
    <row r="675" spans="15:15" ht="14.25" customHeight="1" x14ac:dyDescent="0.35">
      <c r="O675" s="1"/>
    </row>
    <row r="676" spans="15:15" ht="14.25" customHeight="1" x14ac:dyDescent="0.35">
      <c r="O676" s="1"/>
    </row>
    <row r="677" spans="15:15" ht="14.25" customHeight="1" x14ac:dyDescent="0.35">
      <c r="O677" s="1"/>
    </row>
    <row r="678" spans="15:15" ht="14.25" customHeight="1" x14ac:dyDescent="0.35">
      <c r="O678" s="1"/>
    </row>
    <row r="679" spans="15:15" ht="14.25" customHeight="1" x14ac:dyDescent="0.35">
      <c r="O679" s="1"/>
    </row>
    <row r="680" spans="15:15" ht="14.25" customHeight="1" x14ac:dyDescent="0.35">
      <c r="O680" s="1"/>
    </row>
    <row r="681" spans="15:15" ht="14.25" customHeight="1" x14ac:dyDescent="0.35">
      <c r="O681" s="1"/>
    </row>
    <row r="682" spans="15:15" ht="14.25" customHeight="1" x14ac:dyDescent="0.35">
      <c r="O682" s="1"/>
    </row>
    <row r="683" spans="15:15" ht="14.25" customHeight="1" x14ac:dyDescent="0.35">
      <c r="O683" s="1"/>
    </row>
    <row r="684" spans="15:15" ht="14.25" customHeight="1" x14ac:dyDescent="0.35">
      <c r="O684" s="1"/>
    </row>
    <row r="685" spans="15:15" ht="14.25" customHeight="1" x14ac:dyDescent="0.35">
      <c r="O685" s="1"/>
    </row>
    <row r="686" spans="15:15" ht="14.25" customHeight="1" x14ac:dyDescent="0.35">
      <c r="O686" s="1"/>
    </row>
    <row r="687" spans="15:15" ht="14.25" customHeight="1" x14ac:dyDescent="0.35">
      <c r="O687" s="1"/>
    </row>
    <row r="688" spans="15:15" ht="14.25" customHeight="1" x14ac:dyDescent="0.35">
      <c r="O688" s="1"/>
    </row>
    <row r="689" spans="15:15" ht="14.25" customHeight="1" x14ac:dyDescent="0.35">
      <c r="O689" s="1"/>
    </row>
    <row r="690" spans="15:15" ht="14.25" customHeight="1" x14ac:dyDescent="0.35">
      <c r="O690" s="1"/>
    </row>
    <row r="691" spans="15:15" ht="14.25" customHeight="1" x14ac:dyDescent="0.35">
      <c r="O691" s="1"/>
    </row>
    <row r="692" spans="15:15" ht="14.25" customHeight="1" x14ac:dyDescent="0.35">
      <c r="O692" s="1"/>
    </row>
    <row r="693" spans="15:15" ht="14.25" customHeight="1" x14ac:dyDescent="0.35">
      <c r="O693" s="1"/>
    </row>
    <row r="694" spans="15:15" ht="14.25" customHeight="1" x14ac:dyDescent="0.35">
      <c r="O694" s="1"/>
    </row>
    <row r="695" spans="15:15" ht="14.25" customHeight="1" x14ac:dyDescent="0.35">
      <c r="O695" s="1"/>
    </row>
    <row r="696" spans="15:15" ht="14.25" customHeight="1" x14ac:dyDescent="0.35">
      <c r="O696" s="1"/>
    </row>
    <row r="697" spans="15:15" ht="14.25" customHeight="1" x14ac:dyDescent="0.35">
      <c r="O697" s="1"/>
    </row>
    <row r="698" spans="15:15" ht="14.25" customHeight="1" x14ac:dyDescent="0.35">
      <c r="O698" s="1"/>
    </row>
    <row r="699" spans="15:15" ht="14.25" customHeight="1" x14ac:dyDescent="0.35">
      <c r="O699" s="1"/>
    </row>
    <row r="700" spans="15:15" ht="14.25" customHeight="1" x14ac:dyDescent="0.35">
      <c r="O700" s="1"/>
    </row>
    <row r="701" spans="15:15" ht="14.25" customHeight="1" x14ac:dyDescent="0.35">
      <c r="O701" s="1"/>
    </row>
    <row r="702" spans="15:15" ht="14.25" customHeight="1" x14ac:dyDescent="0.35">
      <c r="O702" s="1"/>
    </row>
    <row r="703" spans="15:15" ht="14.25" customHeight="1" x14ac:dyDescent="0.35">
      <c r="O703" s="1"/>
    </row>
    <row r="704" spans="15:15" ht="14.25" customHeight="1" x14ac:dyDescent="0.35">
      <c r="O704" s="1"/>
    </row>
    <row r="705" spans="15:15" ht="14.25" customHeight="1" x14ac:dyDescent="0.35">
      <c r="O705" s="1"/>
    </row>
    <row r="706" spans="15:15" ht="14.25" customHeight="1" x14ac:dyDescent="0.35">
      <c r="O706" s="1"/>
    </row>
    <row r="707" spans="15:15" ht="14.25" customHeight="1" x14ac:dyDescent="0.35">
      <c r="O707" s="1"/>
    </row>
    <row r="708" spans="15:15" ht="14.25" customHeight="1" x14ac:dyDescent="0.35">
      <c r="O708" s="1"/>
    </row>
    <row r="709" spans="15:15" ht="14.25" customHeight="1" x14ac:dyDescent="0.35">
      <c r="O709" s="1"/>
    </row>
    <row r="710" spans="15:15" ht="14.25" customHeight="1" x14ac:dyDescent="0.35">
      <c r="O710" s="1"/>
    </row>
    <row r="711" spans="15:15" ht="14.25" customHeight="1" x14ac:dyDescent="0.35">
      <c r="O711" s="1"/>
    </row>
    <row r="712" spans="15:15" ht="14.25" customHeight="1" x14ac:dyDescent="0.35">
      <c r="O712" s="1"/>
    </row>
    <row r="713" spans="15:15" ht="14.25" customHeight="1" x14ac:dyDescent="0.35">
      <c r="O713" s="1"/>
    </row>
    <row r="714" spans="15:15" ht="14.25" customHeight="1" x14ac:dyDescent="0.35">
      <c r="O714" s="1"/>
    </row>
    <row r="715" spans="15:15" ht="14.25" customHeight="1" x14ac:dyDescent="0.35">
      <c r="O715" s="1"/>
    </row>
    <row r="716" spans="15:15" ht="14.25" customHeight="1" x14ac:dyDescent="0.35">
      <c r="O716" s="1"/>
    </row>
    <row r="717" spans="15:15" ht="14.25" customHeight="1" x14ac:dyDescent="0.35">
      <c r="O717" s="1"/>
    </row>
    <row r="718" spans="15:15" ht="14.25" customHeight="1" x14ac:dyDescent="0.35">
      <c r="O718" s="1"/>
    </row>
    <row r="719" spans="15:15" ht="14.25" customHeight="1" x14ac:dyDescent="0.35">
      <c r="O719" s="1"/>
    </row>
    <row r="720" spans="15:15" ht="14.25" customHeight="1" x14ac:dyDescent="0.35">
      <c r="O720" s="1"/>
    </row>
    <row r="721" spans="15:15" ht="14.25" customHeight="1" x14ac:dyDescent="0.35">
      <c r="O721" s="1"/>
    </row>
    <row r="722" spans="15:15" ht="14.25" customHeight="1" x14ac:dyDescent="0.35">
      <c r="O722" s="1"/>
    </row>
    <row r="723" spans="15:15" ht="14.25" customHeight="1" x14ac:dyDescent="0.35">
      <c r="O723" s="1"/>
    </row>
    <row r="724" spans="15:15" ht="14.25" customHeight="1" x14ac:dyDescent="0.35">
      <c r="O724" s="1"/>
    </row>
    <row r="725" spans="15:15" ht="14.25" customHeight="1" x14ac:dyDescent="0.35">
      <c r="O725" s="1"/>
    </row>
    <row r="726" spans="15:15" ht="14.25" customHeight="1" x14ac:dyDescent="0.35">
      <c r="O726" s="1"/>
    </row>
    <row r="727" spans="15:15" ht="14.25" customHeight="1" x14ac:dyDescent="0.35">
      <c r="O727" s="1"/>
    </row>
    <row r="728" spans="15:15" ht="14.25" customHeight="1" x14ac:dyDescent="0.35">
      <c r="O728" s="1"/>
    </row>
    <row r="729" spans="15:15" ht="14.25" customHeight="1" x14ac:dyDescent="0.35">
      <c r="O729" s="1"/>
    </row>
    <row r="730" spans="15:15" ht="14.25" customHeight="1" x14ac:dyDescent="0.35">
      <c r="O730" s="1"/>
    </row>
    <row r="731" spans="15:15" ht="14.25" customHeight="1" x14ac:dyDescent="0.35">
      <c r="O731" s="1"/>
    </row>
    <row r="732" spans="15:15" ht="14.25" customHeight="1" x14ac:dyDescent="0.35">
      <c r="O732" s="1"/>
    </row>
    <row r="733" spans="15:15" ht="14.25" customHeight="1" x14ac:dyDescent="0.35">
      <c r="O733" s="1"/>
    </row>
    <row r="734" spans="15:15" ht="14.25" customHeight="1" x14ac:dyDescent="0.35">
      <c r="O734" s="1"/>
    </row>
    <row r="735" spans="15:15" ht="14.25" customHeight="1" x14ac:dyDescent="0.35">
      <c r="O735" s="1"/>
    </row>
    <row r="736" spans="15:15" ht="14.25" customHeight="1" x14ac:dyDescent="0.35">
      <c r="O736" s="1"/>
    </row>
    <row r="737" spans="15:15" ht="14.25" customHeight="1" x14ac:dyDescent="0.35">
      <c r="O737" s="1"/>
    </row>
    <row r="738" spans="15:15" ht="14.25" customHeight="1" x14ac:dyDescent="0.35">
      <c r="O738" s="1"/>
    </row>
    <row r="739" spans="15:15" ht="14.25" customHeight="1" x14ac:dyDescent="0.35">
      <c r="O739" s="1"/>
    </row>
    <row r="740" spans="15:15" ht="14.25" customHeight="1" x14ac:dyDescent="0.35">
      <c r="O740" s="1"/>
    </row>
    <row r="741" spans="15:15" ht="14.25" customHeight="1" x14ac:dyDescent="0.35">
      <c r="O741" s="1"/>
    </row>
    <row r="742" spans="15:15" ht="14.25" customHeight="1" x14ac:dyDescent="0.35">
      <c r="O742" s="1"/>
    </row>
    <row r="743" spans="15:15" ht="14.25" customHeight="1" x14ac:dyDescent="0.35">
      <c r="O743" s="1"/>
    </row>
    <row r="744" spans="15:15" ht="14.25" customHeight="1" x14ac:dyDescent="0.35">
      <c r="O744" s="1"/>
    </row>
    <row r="745" spans="15:15" ht="14.25" customHeight="1" x14ac:dyDescent="0.35">
      <c r="O745" s="1"/>
    </row>
    <row r="746" spans="15:15" ht="14.25" customHeight="1" x14ac:dyDescent="0.35">
      <c r="O746" s="1"/>
    </row>
    <row r="747" spans="15:15" ht="14.25" customHeight="1" x14ac:dyDescent="0.35">
      <c r="O747" s="1"/>
    </row>
    <row r="748" spans="15:15" ht="14.25" customHeight="1" x14ac:dyDescent="0.35">
      <c r="O748" s="1"/>
    </row>
    <row r="749" spans="15:15" ht="14.25" customHeight="1" x14ac:dyDescent="0.35">
      <c r="O749" s="1"/>
    </row>
    <row r="750" spans="15:15" ht="14.25" customHeight="1" x14ac:dyDescent="0.35">
      <c r="O750" s="1"/>
    </row>
    <row r="751" spans="15:15" ht="14.25" customHeight="1" x14ac:dyDescent="0.35">
      <c r="O751" s="1"/>
    </row>
    <row r="752" spans="15:15" ht="14.25" customHeight="1" x14ac:dyDescent="0.35">
      <c r="O752" s="1"/>
    </row>
    <row r="753" spans="15:15" ht="14.25" customHeight="1" x14ac:dyDescent="0.35">
      <c r="O753" s="1"/>
    </row>
    <row r="754" spans="15:15" ht="14.25" customHeight="1" x14ac:dyDescent="0.35">
      <c r="O754" s="1"/>
    </row>
    <row r="755" spans="15:15" ht="14.25" customHeight="1" x14ac:dyDescent="0.35">
      <c r="O755" s="1"/>
    </row>
    <row r="756" spans="15:15" ht="14.25" customHeight="1" x14ac:dyDescent="0.35">
      <c r="O756" s="1"/>
    </row>
    <row r="757" spans="15:15" ht="14.25" customHeight="1" x14ac:dyDescent="0.35">
      <c r="O757" s="1"/>
    </row>
    <row r="758" spans="15:15" ht="14.25" customHeight="1" x14ac:dyDescent="0.35">
      <c r="O758" s="1"/>
    </row>
    <row r="759" spans="15:15" ht="14.25" customHeight="1" x14ac:dyDescent="0.35">
      <c r="O759" s="1"/>
    </row>
    <row r="760" spans="15:15" ht="14.25" customHeight="1" x14ac:dyDescent="0.35">
      <c r="O760" s="1"/>
    </row>
    <row r="761" spans="15:15" ht="14.25" customHeight="1" x14ac:dyDescent="0.35">
      <c r="O761" s="1"/>
    </row>
    <row r="762" spans="15:15" ht="14.25" customHeight="1" x14ac:dyDescent="0.35">
      <c r="O762" s="1"/>
    </row>
    <row r="763" spans="15:15" ht="14.25" customHeight="1" x14ac:dyDescent="0.35">
      <c r="O763" s="1"/>
    </row>
    <row r="764" spans="15:15" ht="14.25" customHeight="1" x14ac:dyDescent="0.35">
      <c r="O764" s="1"/>
    </row>
    <row r="765" spans="15:15" ht="14.25" customHeight="1" x14ac:dyDescent="0.35">
      <c r="O765" s="1"/>
    </row>
    <row r="766" spans="15:15" ht="14.25" customHeight="1" x14ac:dyDescent="0.35">
      <c r="O766" s="1"/>
    </row>
    <row r="767" spans="15:15" ht="14.25" customHeight="1" x14ac:dyDescent="0.35">
      <c r="O767" s="1"/>
    </row>
    <row r="768" spans="15:15" ht="14.25" customHeight="1" x14ac:dyDescent="0.35">
      <c r="O768" s="1"/>
    </row>
    <row r="769" spans="15:15" ht="14.25" customHeight="1" x14ac:dyDescent="0.35">
      <c r="O769" s="1"/>
    </row>
    <row r="770" spans="15:15" ht="14.25" customHeight="1" x14ac:dyDescent="0.35">
      <c r="O770" s="1"/>
    </row>
    <row r="771" spans="15:15" ht="14.25" customHeight="1" x14ac:dyDescent="0.35">
      <c r="O771" s="1"/>
    </row>
    <row r="772" spans="15:15" ht="14.25" customHeight="1" x14ac:dyDescent="0.35">
      <c r="O772" s="1"/>
    </row>
    <row r="773" spans="15:15" ht="14.25" customHeight="1" x14ac:dyDescent="0.35">
      <c r="O773" s="1"/>
    </row>
    <row r="774" spans="15:15" ht="14.25" customHeight="1" x14ac:dyDescent="0.35">
      <c r="O774" s="1"/>
    </row>
    <row r="775" spans="15:15" ht="14.25" customHeight="1" x14ac:dyDescent="0.35">
      <c r="O775" s="1"/>
    </row>
    <row r="776" spans="15:15" ht="14.25" customHeight="1" x14ac:dyDescent="0.35">
      <c r="O776" s="1"/>
    </row>
    <row r="777" spans="15:15" ht="14.25" customHeight="1" x14ac:dyDescent="0.35">
      <c r="O777" s="1"/>
    </row>
    <row r="778" spans="15:15" ht="14.25" customHeight="1" x14ac:dyDescent="0.35">
      <c r="O778" s="1"/>
    </row>
    <row r="779" spans="15:15" ht="14.25" customHeight="1" x14ac:dyDescent="0.35">
      <c r="O779" s="1"/>
    </row>
    <row r="780" spans="15:15" ht="14.25" customHeight="1" x14ac:dyDescent="0.35">
      <c r="O780" s="1"/>
    </row>
    <row r="781" spans="15:15" ht="14.25" customHeight="1" x14ac:dyDescent="0.35">
      <c r="O781" s="1"/>
    </row>
    <row r="782" spans="15:15" ht="14.25" customHeight="1" x14ac:dyDescent="0.35">
      <c r="O782" s="1"/>
    </row>
    <row r="783" spans="15:15" ht="14.25" customHeight="1" x14ac:dyDescent="0.35">
      <c r="O783" s="1"/>
    </row>
    <row r="784" spans="15:15" ht="14.25" customHeight="1" x14ac:dyDescent="0.35">
      <c r="O784" s="1"/>
    </row>
    <row r="785" spans="15:15" ht="14.25" customHeight="1" x14ac:dyDescent="0.35">
      <c r="O785" s="1"/>
    </row>
    <row r="786" spans="15:15" ht="14.25" customHeight="1" x14ac:dyDescent="0.35">
      <c r="O786" s="1"/>
    </row>
    <row r="787" spans="15:15" ht="14.25" customHeight="1" x14ac:dyDescent="0.35">
      <c r="O787" s="1"/>
    </row>
    <row r="788" spans="15:15" ht="14.25" customHeight="1" x14ac:dyDescent="0.35">
      <c r="O788" s="1"/>
    </row>
    <row r="789" spans="15:15" ht="14.25" customHeight="1" x14ac:dyDescent="0.35">
      <c r="O789" s="1"/>
    </row>
    <row r="790" spans="15:15" ht="14.25" customHeight="1" x14ac:dyDescent="0.35">
      <c r="O790" s="1"/>
    </row>
    <row r="791" spans="15:15" ht="14.25" customHeight="1" x14ac:dyDescent="0.35">
      <c r="O791" s="1"/>
    </row>
    <row r="792" spans="15:15" ht="14.25" customHeight="1" x14ac:dyDescent="0.35">
      <c r="O792" s="1"/>
    </row>
    <row r="793" spans="15:15" ht="14.25" customHeight="1" x14ac:dyDescent="0.35">
      <c r="O793" s="1"/>
    </row>
    <row r="794" spans="15:15" ht="14.25" customHeight="1" x14ac:dyDescent="0.35">
      <c r="O794" s="1"/>
    </row>
    <row r="795" spans="15:15" ht="14.25" customHeight="1" x14ac:dyDescent="0.35">
      <c r="O795" s="1"/>
    </row>
    <row r="796" spans="15:15" ht="14.25" customHeight="1" x14ac:dyDescent="0.35">
      <c r="O796" s="1"/>
    </row>
    <row r="797" spans="15:15" ht="14.25" customHeight="1" x14ac:dyDescent="0.35">
      <c r="O797" s="1"/>
    </row>
    <row r="798" spans="15:15" ht="14.25" customHeight="1" x14ac:dyDescent="0.35">
      <c r="O798" s="1"/>
    </row>
    <row r="799" spans="15:15" ht="14.25" customHeight="1" x14ac:dyDescent="0.35">
      <c r="O799" s="1"/>
    </row>
    <row r="800" spans="15:15" ht="14.25" customHeight="1" x14ac:dyDescent="0.35">
      <c r="O800" s="1"/>
    </row>
    <row r="801" spans="15:15" ht="14.25" customHeight="1" x14ac:dyDescent="0.35">
      <c r="O801" s="1"/>
    </row>
    <row r="802" spans="15:15" ht="14.25" customHeight="1" x14ac:dyDescent="0.35">
      <c r="O802" s="1"/>
    </row>
    <row r="803" spans="15:15" ht="14.25" customHeight="1" x14ac:dyDescent="0.35">
      <c r="O803" s="1"/>
    </row>
    <row r="804" spans="15:15" ht="14.25" customHeight="1" x14ac:dyDescent="0.35">
      <c r="O804" s="1"/>
    </row>
    <row r="805" spans="15:15" ht="14.25" customHeight="1" x14ac:dyDescent="0.35">
      <c r="O805" s="1"/>
    </row>
    <row r="806" spans="15:15" ht="14.25" customHeight="1" x14ac:dyDescent="0.35">
      <c r="O806" s="1"/>
    </row>
    <row r="807" spans="15:15" ht="14.25" customHeight="1" x14ac:dyDescent="0.35">
      <c r="O807" s="1"/>
    </row>
    <row r="808" spans="15:15" ht="14.25" customHeight="1" x14ac:dyDescent="0.35">
      <c r="O808" s="1"/>
    </row>
    <row r="809" spans="15:15" ht="14.25" customHeight="1" x14ac:dyDescent="0.35">
      <c r="O809" s="1"/>
    </row>
    <row r="810" spans="15:15" ht="14.25" customHeight="1" x14ac:dyDescent="0.35">
      <c r="O810" s="1"/>
    </row>
    <row r="811" spans="15:15" ht="14.25" customHeight="1" x14ac:dyDescent="0.35">
      <c r="O811" s="1"/>
    </row>
    <row r="812" spans="15:15" ht="14.25" customHeight="1" x14ac:dyDescent="0.35">
      <c r="O812" s="1"/>
    </row>
    <row r="813" spans="15:15" ht="14.25" customHeight="1" x14ac:dyDescent="0.35">
      <c r="O813" s="1"/>
    </row>
    <row r="814" spans="15:15" ht="14.25" customHeight="1" x14ac:dyDescent="0.35">
      <c r="O814" s="1"/>
    </row>
    <row r="815" spans="15:15" ht="14.25" customHeight="1" x14ac:dyDescent="0.35">
      <c r="O815" s="1"/>
    </row>
    <row r="816" spans="15:15" ht="14.25" customHeight="1" x14ac:dyDescent="0.35">
      <c r="O816" s="1"/>
    </row>
    <row r="817" spans="15:15" ht="14.25" customHeight="1" x14ac:dyDescent="0.35">
      <c r="O817" s="1"/>
    </row>
    <row r="818" spans="15:15" ht="14.25" customHeight="1" x14ac:dyDescent="0.35">
      <c r="O818" s="1"/>
    </row>
    <row r="819" spans="15:15" ht="14.25" customHeight="1" x14ac:dyDescent="0.35">
      <c r="O819" s="1"/>
    </row>
    <row r="820" spans="15:15" ht="14.25" customHeight="1" x14ac:dyDescent="0.35">
      <c r="O820" s="1"/>
    </row>
    <row r="821" spans="15:15" ht="14.25" customHeight="1" x14ac:dyDescent="0.35">
      <c r="O821" s="1"/>
    </row>
    <row r="822" spans="15:15" ht="14.25" customHeight="1" x14ac:dyDescent="0.35">
      <c r="O822" s="1"/>
    </row>
    <row r="823" spans="15:15" ht="14.25" customHeight="1" x14ac:dyDescent="0.35">
      <c r="O823" s="1"/>
    </row>
    <row r="824" spans="15:15" ht="14.25" customHeight="1" x14ac:dyDescent="0.35">
      <c r="O824" s="1"/>
    </row>
    <row r="825" spans="15:15" ht="14.25" customHeight="1" x14ac:dyDescent="0.35">
      <c r="O825" s="1"/>
    </row>
    <row r="826" spans="15:15" ht="14.25" customHeight="1" x14ac:dyDescent="0.35">
      <c r="O826" s="1"/>
    </row>
    <row r="827" spans="15:15" ht="14.25" customHeight="1" x14ac:dyDescent="0.35">
      <c r="O827" s="1"/>
    </row>
    <row r="828" spans="15:15" ht="14.25" customHeight="1" x14ac:dyDescent="0.35">
      <c r="O828" s="1"/>
    </row>
    <row r="829" spans="15:15" ht="14.25" customHeight="1" x14ac:dyDescent="0.35">
      <c r="O829" s="1"/>
    </row>
    <row r="830" spans="15:15" ht="14.25" customHeight="1" x14ac:dyDescent="0.35">
      <c r="O830" s="1"/>
    </row>
    <row r="831" spans="15:15" ht="14.25" customHeight="1" x14ac:dyDescent="0.35">
      <c r="O831" s="1"/>
    </row>
    <row r="832" spans="15:15" ht="14.25" customHeight="1" x14ac:dyDescent="0.35">
      <c r="O832" s="1"/>
    </row>
    <row r="833" spans="15:15" ht="14.25" customHeight="1" x14ac:dyDescent="0.35">
      <c r="O833" s="1"/>
    </row>
    <row r="834" spans="15:15" ht="14.25" customHeight="1" x14ac:dyDescent="0.35">
      <c r="O834" s="1"/>
    </row>
    <row r="835" spans="15:15" ht="14.25" customHeight="1" x14ac:dyDescent="0.35">
      <c r="O835" s="1"/>
    </row>
    <row r="836" spans="15:15" ht="14.25" customHeight="1" x14ac:dyDescent="0.35">
      <c r="O836" s="1"/>
    </row>
    <row r="837" spans="15:15" ht="14.25" customHeight="1" x14ac:dyDescent="0.35">
      <c r="O837" s="1"/>
    </row>
    <row r="838" spans="15:15" ht="14.25" customHeight="1" x14ac:dyDescent="0.35">
      <c r="O838" s="1"/>
    </row>
    <row r="839" spans="15:15" ht="14.25" customHeight="1" x14ac:dyDescent="0.35">
      <c r="O839" s="1"/>
    </row>
    <row r="840" spans="15:15" ht="14.25" customHeight="1" x14ac:dyDescent="0.35">
      <c r="O840" s="1"/>
    </row>
    <row r="841" spans="15:15" ht="14.25" customHeight="1" x14ac:dyDescent="0.35">
      <c r="O841" s="1"/>
    </row>
    <row r="842" spans="15:15" ht="14.25" customHeight="1" x14ac:dyDescent="0.35">
      <c r="O842" s="1"/>
    </row>
    <row r="843" spans="15:15" ht="14.25" customHeight="1" x14ac:dyDescent="0.35">
      <c r="O843" s="1"/>
    </row>
    <row r="844" spans="15:15" ht="14.25" customHeight="1" x14ac:dyDescent="0.35">
      <c r="O844" s="1"/>
    </row>
    <row r="845" spans="15:15" ht="14.25" customHeight="1" x14ac:dyDescent="0.35">
      <c r="O845" s="1"/>
    </row>
    <row r="846" spans="15:15" ht="14.25" customHeight="1" x14ac:dyDescent="0.35">
      <c r="O846" s="1"/>
    </row>
    <row r="847" spans="15:15" ht="14.25" customHeight="1" x14ac:dyDescent="0.35">
      <c r="O847" s="1"/>
    </row>
    <row r="848" spans="15:15" ht="14.25" customHeight="1" x14ac:dyDescent="0.35">
      <c r="O848" s="1"/>
    </row>
    <row r="849" spans="15:15" ht="14.25" customHeight="1" x14ac:dyDescent="0.35">
      <c r="O849" s="1"/>
    </row>
    <row r="850" spans="15:15" ht="14.25" customHeight="1" x14ac:dyDescent="0.35">
      <c r="O850" s="1"/>
    </row>
    <row r="851" spans="15:15" ht="14.25" customHeight="1" x14ac:dyDescent="0.35">
      <c r="O851" s="1"/>
    </row>
    <row r="852" spans="15:15" ht="14.25" customHeight="1" x14ac:dyDescent="0.35">
      <c r="O852" s="1"/>
    </row>
    <row r="853" spans="15:15" ht="14.25" customHeight="1" x14ac:dyDescent="0.35">
      <c r="O853" s="1"/>
    </row>
    <row r="854" spans="15:15" ht="14.25" customHeight="1" x14ac:dyDescent="0.35">
      <c r="O854" s="1"/>
    </row>
    <row r="855" spans="15:15" ht="14.25" customHeight="1" x14ac:dyDescent="0.35">
      <c r="O855" s="1"/>
    </row>
    <row r="856" spans="15:15" ht="14.25" customHeight="1" x14ac:dyDescent="0.35">
      <c r="O856" s="1"/>
    </row>
    <row r="857" spans="15:15" ht="14.25" customHeight="1" x14ac:dyDescent="0.35">
      <c r="O857" s="1"/>
    </row>
    <row r="858" spans="15:15" ht="14.25" customHeight="1" x14ac:dyDescent="0.35">
      <c r="O858" s="1"/>
    </row>
    <row r="859" spans="15:15" ht="14.25" customHeight="1" x14ac:dyDescent="0.35">
      <c r="O859" s="1"/>
    </row>
    <row r="860" spans="15:15" ht="14.25" customHeight="1" x14ac:dyDescent="0.35">
      <c r="O860" s="1"/>
    </row>
    <row r="861" spans="15:15" ht="14.25" customHeight="1" x14ac:dyDescent="0.35">
      <c r="O861" s="1"/>
    </row>
    <row r="862" spans="15:15" ht="14.25" customHeight="1" x14ac:dyDescent="0.35">
      <c r="O862" s="1"/>
    </row>
    <row r="863" spans="15:15" ht="14.25" customHeight="1" x14ac:dyDescent="0.35">
      <c r="O863" s="1"/>
    </row>
    <row r="864" spans="15:15" ht="14.25" customHeight="1" x14ac:dyDescent="0.35">
      <c r="O864" s="1"/>
    </row>
    <row r="865" spans="15:15" ht="14.25" customHeight="1" x14ac:dyDescent="0.35">
      <c r="O865" s="1"/>
    </row>
    <row r="866" spans="15:15" ht="14.25" customHeight="1" x14ac:dyDescent="0.35">
      <c r="O866" s="1"/>
    </row>
    <row r="867" spans="15:15" ht="14.25" customHeight="1" x14ac:dyDescent="0.35">
      <c r="O867" s="1"/>
    </row>
    <row r="868" spans="15:15" ht="14.25" customHeight="1" x14ac:dyDescent="0.35">
      <c r="O868" s="1"/>
    </row>
    <row r="869" spans="15:15" ht="14.25" customHeight="1" x14ac:dyDescent="0.35">
      <c r="O869" s="1"/>
    </row>
    <row r="870" spans="15:15" ht="14.25" customHeight="1" x14ac:dyDescent="0.35">
      <c r="O870" s="1"/>
    </row>
    <row r="871" spans="15:15" ht="14.25" customHeight="1" x14ac:dyDescent="0.35">
      <c r="O871" s="1"/>
    </row>
    <row r="872" spans="15:15" ht="14.25" customHeight="1" x14ac:dyDescent="0.35">
      <c r="O872" s="1"/>
    </row>
    <row r="873" spans="15:15" ht="14.25" customHeight="1" x14ac:dyDescent="0.35">
      <c r="O873" s="1"/>
    </row>
    <row r="874" spans="15:15" ht="14.25" customHeight="1" x14ac:dyDescent="0.35">
      <c r="O874" s="1"/>
    </row>
    <row r="875" spans="15:15" ht="14.25" customHeight="1" x14ac:dyDescent="0.35">
      <c r="O875" s="1"/>
    </row>
    <row r="876" spans="15:15" ht="14.25" customHeight="1" x14ac:dyDescent="0.35">
      <c r="O876" s="1"/>
    </row>
    <row r="877" spans="15:15" ht="14.25" customHeight="1" x14ac:dyDescent="0.35">
      <c r="O877" s="1"/>
    </row>
    <row r="878" spans="15:15" ht="14.25" customHeight="1" x14ac:dyDescent="0.35">
      <c r="O878" s="1"/>
    </row>
    <row r="879" spans="15:15" ht="14.25" customHeight="1" x14ac:dyDescent="0.35">
      <c r="O879" s="1"/>
    </row>
    <row r="880" spans="15:15" ht="14.25" customHeight="1" x14ac:dyDescent="0.35">
      <c r="O880" s="1"/>
    </row>
    <row r="881" spans="15:15" ht="14.25" customHeight="1" x14ac:dyDescent="0.35">
      <c r="O881" s="1"/>
    </row>
    <row r="882" spans="15:15" ht="14.25" customHeight="1" x14ac:dyDescent="0.35">
      <c r="O882" s="1"/>
    </row>
    <row r="883" spans="15:15" ht="14.25" customHeight="1" x14ac:dyDescent="0.35">
      <c r="O883" s="1"/>
    </row>
    <row r="884" spans="15:15" ht="14.25" customHeight="1" x14ac:dyDescent="0.35">
      <c r="O884" s="1"/>
    </row>
    <row r="885" spans="15:15" ht="14.25" customHeight="1" x14ac:dyDescent="0.35">
      <c r="O885" s="1"/>
    </row>
    <row r="886" spans="15:15" ht="14.25" customHeight="1" x14ac:dyDescent="0.35">
      <c r="O886" s="1"/>
    </row>
    <row r="887" spans="15:15" ht="14.25" customHeight="1" x14ac:dyDescent="0.35">
      <c r="O887" s="1"/>
    </row>
    <row r="888" spans="15:15" ht="14.25" customHeight="1" x14ac:dyDescent="0.35">
      <c r="O888" s="1"/>
    </row>
    <row r="889" spans="15:15" ht="14.25" customHeight="1" x14ac:dyDescent="0.35">
      <c r="O889" s="1"/>
    </row>
    <row r="890" spans="15:15" ht="14.25" customHeight="1" x14ac:dyDescent="0.35">
      <c r="O890" s="1"/>
    </row>
    <row r="891" spans="15:15" ht="14.25" customHeight="1" x14ac:dyDescent="0.35">
      <c r="O891" s="1"/>
    </row>
    <row r="892" spans="15:15" ht="14.25" customHeight="1" x14ac:dyDescent="0.35">
      <c r="O892" s="1"/>
    </row>
    <row r="893" spans="15:15" ht="14.25" customHeight="1" x14ac:dyDescent="0.35">
      <c r="O893" s="1"/>
    </row>
    <row r="894" spans="15:15" ht="14.25" customHeight="1" x14ac:dyDescent="0.35">
      <c r="O894" s="1"/>
    </row>
    <row r="895" spans="15:15" ht="14.25" customHeight="1" x14ac:dyDescent="0.35">
      <c r="O895" s="1"/>
    </row>
    <row r="896" spans="15:15" ht="14.25" customHeight="1" x14ac:dyDescent="0.35">
      <c r="O896" s="1"/>
    </row>
    <row r="897" spans="15:15" ht="14.25" customHeight="1" x14ac:dyDescent="0.35">
      <c r="O897" s="1"/>
    </row>
    <row r="898" spans="15:15" ht="14.25" customHeight="1" x14ac:dyDescent="0.35">
      <c r="O898" s="1"/>
    </row>
    <row r="899" spans="15:15" ht="14.25" customHeight="1" x14ac:dyDescent="0.35">
      <c r="O899" s="1"/>
    </row>
    <row r="900" spans="15:15" ht="14.25" customHeight="1" x14ac:dyDescent="0.35">
      <c r="O900" s="1"/>
    </row>
    <row r="901" spans="15:15" ht="14.25" customHeight="1" x14ac:dyDescent="0.35">
      <c r="O901" s="1"/>
    </row>
    <row r="902" spans="15:15" ht="14.25" customHeight="1" x14ac:dyDescent="0.35">
      <c r="O902" s="1"/>
    </row>
    <row r="903" spans="15:15" ht="14.25" customHeight="1" x14ac:dyDescent="0.35">
      <c r="O903" s="1"/>
    </row>
    <row r="904" spans="15:15" ht="14.25" customHeight="1" x14ac:dyDescent="0.35">
      <c r="O904" s="1"/>
    </row>
    <row r="905" spans="15:15" ht="14.25" customHeight="1" x14ac:dyDescent="0.35">
      <c r="O905" s="1"/>
    </row>
    <row r="906" spans="15:15" ht="14.25" customHeight="1" x14ac:dyDescent="0.35">
      <c r="O906" s="1"/>
    </row>
    <row r="907" spans="15:15" ht="14.25" customHeight="1" x14ac:dyDescent="0.35">
      <c r="O907" s="1"/>
    </row>
    <row r="908" spans="15:15" ht="14.25" customHeight="1" x14ac:dyDescent="0.35">
      <c r="O908" s="1"/>
    </row>
    <row r="909" spans="15:15" ht="14.25" customHeight="1" x14ac:dyDescent="0.35">
      <c r="O909" s="1"/>
    </row>
    <row r="910" spans="15:15" ht="14.25" customHeight="1" x14ac:dyDescent="0.35">
      <c r="O910" s="1"/>
    </row>
    <row r="911" spans="15:15" ht="14.25" customHeight="1" x14ac:dyDescent="0.35">
      <c r="O911" s="1"/>
    </row>
    <row r="912" spans="15:15" ht="14.25" customHeight="1" x14ac:dyDescent="0.35">
      <c r="O912" s="1"/>
    </row>
    <row r="913" spans="15:15" ht="14.25" customHeight="1" x14ac:dyDescent="0.35">
      <c r="O913" s="1"/>
    </row>
    <row r="914" spans="15:15" ht="14.25" customHeight="1" x14ac:dyDescent="0.35">
      <c r="O914" s="1"/>
    </row>
    <row r="915" spans="15:15" ht="14.25" customHeight="1" x14ac:dyDescent="0.35">
      <c r="O915" s="1"/>
    </row>
    <row r="916" spans="15:15" ht="14.25" customHeight="1" x14ac:dyDescent="0.35">
      <c r="O916" s="1"/>
    </row>
    <row r="917" spans="15:15" ht="14.25" customHeight="1" x14ac:dyDescent="0.35">
      <c r="O917" s="1"/>
    </row>
    <row r="918" spans="15:15" ht="14.25" customHeight="1" x14ac:dyDescent="0.35">
      <c r="O918" s="1"/>
    </row>
    <row r="919" spans="15:15" ht="14.25" customHeight="1" x14ac:dyDescent="0.35">
      <c r="O919" s="1"/>
    </row>
    <row r="920" spans="15:15" ht="14.25" customHeight="1" x14ac:dyDescent="0.35">
      <c r="O920" s="1"/>
    </row>
    <row r="921" spans="15:15" ht="14.25" customHeight="1" x14ac:dyDescent="0.35">
      <c r="O921" s="1"/>
    </row>
    <row r="922" spans="15:15" ht="14.25" customHeight="1" x14ac:dyDescent="0.35">
      <c r="O922" s="1"/>
    </row>
    <row r="923" spans="15:15" ht="14.25" customHeight="1" x14ac:dyDescent="0.35">
      <c r="O923" s="1"/>
    </row>
    <row r="924" spans="15:15" ht="14.25" customHeight="1" x14ac:dyDescent="0.35">
      <c r="O924" s="1"/>
    </row>
    <row r="925" spans="15:15" ht="14.25" customHeight="1" x14ac:dyDescent="0.35">
      <c r="O925" s="1"/>
    </row>
    <row r="926" spans="15:15" ht="14.25" customHeight="1" x14ac:dyDescent="0.35">
      <c r="O926" s="1"/>
    </row>
    <row r="927" spans="15:15" ht="14.25" customHeight="1" x14ac:dyDescent="0.35">
      <c r="O927" s="1"/>
    </row>
    <row r="928" spans="15:15" ht="14.25" customHeight="1" x14ac:dyDescent="0.35">
      <c r="O928" s="1"/>
    </row>
    <row r="929" spans="15:15" ht="14.25" customHeight="1" x14ac:dyDescent="0.35">
      <c r="O929" s="1"/>
    </row>
    <row r="930" spans="15:15" ht="14.25" customHeight="1" x14ac:dyDescent="0.35">
      <c r="O930" s="1"/>
    </row>
    <row r="931" spans="15:15" ht="14.25" customHeight="1" x14ac:dyDescent="0.35">
      <c r="O931" s="1"/>
    </row>
    <row r="932" spans="15:15" ht="14.25" customHeight="1" x14ac:dyDescent="0.35">
      <c r="O932" s="1"/>
    </row>
    <row r="933" spans="15:15" ht="14.25" customHeight="1" x14ac:dyDescent="0.35">
      <c r="O933" s="1"/>
    </row>
    <row r="934" spans="15:15" ht="14.25" customHeight="1" x14ac:dyDescent="0.35">
      <c r="O934" s="1"/>
    </row>
    <row r="935" spans="15:15" ht="14.25" customHeight="1" x14ac:dyDescent="0.35">
      <c r="O935" s="1"/>
    </row>
    <row r="936" spans="15:15" ht="14.25" customHeight="1" x14ac:dyDescent="0.35">
      <c r="O936" s="1"/>
    </row>
    <row r="937" spans="15:15" ht="14.25" customHeight="1" x14ac:dyDescent="0.35">
      <c r="O937" s="1"/>
    </row>
    <row r="938" spans="15:15" ht="14.25" customHeight="1" x14ac:dyDescent="0.35">
      <c r="O938" s="1"/>
    </row>
    <row r="939" spans="15:15" ht="14.25" customHeight="1" x14ac:dyDescent="0.35">
      <c r="O939" s="1"/>
    </row>
    <row r="940" spans="15:15" ht="14.25" customHeight="1" x14ac:dyDescent="0.35">
      <c r="O940" s="1"/>
    </row>
    <row r="941" spans="15:15" ht="14.25" customHeight="1" x14ac:dyDescent="0.35">
      <c r="O941" s="1"/>
    </row>
    <row r="942" spans="15:15" ht="14.25" customHeight="1" x14ac:dyDescent="0.35">
      <c r="O942" s="1"/>
    </row>
    <row r="943" spans="15:15" ht="14.25" customHeight="1" x14ac:dyDescent="0.35">
      <c r="O943" s="1"/>
    </row>
    <row r="944" spans="15:15" ht="14.25" customHeight="1" x14ac:dyDescent="0.35">
      <c r="O944" s="1"/>
    </row>
    <row r="945" spans="15:15" ht="14.25" customHeight="1" x14ac:dyDescent="0.35">
      <c r="O945" s="1"/>
    </row>
    <row r="946" spans="15:15" ht="14.25" customHeight="1" x14ac:dyDescent="0.35">
      <c r="O946" s="1"/>
    </row>
    <row r="947" spans="15:15" ht="14.25" customHeight="1" x14ac:dyDescent="0.35">
      <c r="O947" s="1"/>
    </row>
    <row r="948" spans="15:15" ht="14.25" customHeight="1" x14ac:dyDescent="0.35">
      <c r="O948" s="1"/>
    </row>
    <row r="949" spans="15:15" ht="14.25" customHeight="1" x14ac:dyDescent="0.35">
      <c r="O949" s="1"/>
    </row>
    <row r="950" spans="15:15" ht="14.25" customHeight="1" x14ac:dyDescent="0.35">
      <c r="O950" s="1"/>
    </row>
    <row r="951" spans="15:15" ht="14.25" customHeight="1" x14ac:dyDescent="0.35">
      <c r="O951" s="1"/>
    </row>
    <row r="952" spans="15:15" ht="14.25" customHeight="1" x14ac:dyDescent="0.35">
      <c r="O952" s="1"/>
    </row>
    <row r="953" spans="15:15" ht="14.25" customHeight="1" x14ac:dyDescent="0.35">
      <c r="O953" s="1"/>
    </row>
    <row r="954" spans="15:15" ht="14.25" customHeight="1" x14ac:dyDescent="0.35">
      <c r="O954" s="1"/>
    </row>
    <row r="955" spans="15:15" ht="14.25" customHeight="1" x14ac:dyDescent="0.35">
      <c r="O955" s="1"/>
    </row>
    <row r="956" spans="15:15" ht="14.25" customHeight="1" x14ac:dyDescent="0.35">
      <c r="O956" s="1"/>
    </row>
    <row r="957" spans="15:15" ht="14.25" customHeight="1" x14ac:dyDescent="0.35">
      <c r="O957" s="1"/>
    </row>
    <row r="958" spans="15:15" ht="14.25" customHeight="1" x14ac:dyDescent="0.35">
      <c r="O958" s="1"/>
    </row>
    <row r="959" spans="15:15" ht="14.25" customHeight="1" x14ac:dyDescent="0.35">
      <c r="O959" s="1"/>
    </row>
    <row r="960" spans="15:15" ht="14.25" customHeight="1" x14ac:dyDescent="0.35">
      <c r="O960" s="1"/>
    </row>
    <row r="961" spans="15:15" ht="14.25" customHeight="1" x14ac:dyDescent="0.35">
      <c r="O961" s="1"/>
    </row>
    <row r="962" spans="15:15" ht="14.25" customHeight="1" x14ac:dyDescent="0.35">
      <c r="O962" s="1"/>
    </row>
    <row r="963" spans="15:15" ht="14.25" customHeight="1" x14ac:dyDescent="0.35">
      <c r="O963" s="1"/>
    </row>
    <row r="964" spans="15:15" ht="14.25" customHeight="1" x14ac:dyDescent="0.35">
      <c r="O964" s="1"/>
    </row>
    <row r="965" spans="15:15" ht="14.25" customHeight="1" x14ac:dyDescent="0.35">
      <c r="O965" s="1"/>
    </row>
    <row r="966" spans="15:15" ht="14.25" customHeight="1" x14ac:dyDescent="0.35">
      <c r="O966" s="1"/>
    </row>
    <row r="967" spans="15:15" ht="14.25" customHeight="1" x14ac:dyDescent="0.35">
      <c r="O967" s="1"/>
    </row>
    <row r="968" spans="15:15" ht="14.25" customHeight="1" x14ac:dyDescent="0.35">
      <c r="O968" s="1"/>
    </row>
    <row r="969" spans="15:15" ht="14.25" customHeight="1" x14ac:dyDescent="0.35">
      <c r="O969" s="1"/>
    </row>
    <row r="970" spans="15:15" ht="14.25" customHeight="1" x14ac:dyDescent="0.35">
      <c r="O970" s="1"/>
    </row>
    <row r="971" spans="15:15" ht="14.25" customHeight="1" x14ac:dyDescent="0.35">
      <c r="O971" s="1"/>
    </row>
    <row r="972" spans="15:15" ht="14.25" customHeight="1" x14ac:dyDescent="0.35">
      <c r="O972" s="1"/>
    </row>
    <row r="973" spans="15:15" ht="14.25" customHeight="1" x14ac:dyDescent="0.35">
      <c r="O973" s="1"/>
    </row>
    <row r="974" spans="15:15" ht="14.25" customHeight="1" x14ac:dyDescent="0.35">
      <c r="O974" s="1"/>
    </row>
    <row r="975" spans="15:15" ht="14.25" customHeight="1" x14ac:dyDescent="0.35">
      <c r="O975" s="1"/>
    </row>
    <row r="976" spans="15:15" ht="14.25" customHeight="1" x14ac:dyDescent="0.35">
      <c r="O976" s="1"/>
    </row>
    <row r="977" spans="15:15" ht="14.25" customHeight="1" x14ac:dyDescent="0.35">
      <c r="O977" s="1"/>
    </row>
    <row r="978" spans="15:15" ht="14.25" customHeight="1" x14ac:dyDescent="0.35">
      <c r="O978" s="1"/>
    </row>
    <row r="979" spans="15:15" ht="14.25" customHeight="1" x14ac:dyDescent="0.35">
      <c r="O979" s="1"/>
    </row>
    <row r="980" spans="15:15" ht="14.25" customHeight="1" x14ac:dyDescent="0.35">
      <c r="O980" s="1"/>
    </row>
    <row r="981" spans="15:15" ht="14.25" customHeight="1" x14ac:dyDescent="0.35">
      <c r="O981" s="1"/>
    </row>
    <row r="982" spans="15:15" ht="14.25" customHeight="1" x14ac:dyDescent="0.35">
      <c r="O982" s="1"/>
    </row>
    <row r="983" spans="15:15" ht="14.25" customHeight="1" x14ac:dyDescent="0.35">
      <c r="O983" s="1"/>
    </row>
    <row r="984" spans="15:15" ht="14.25" customHeight="1" x14ac:dyDescent="0.35">
      <c r="O984" s="1"/>
    </row>
    <row r="985" spans="15:15" ht="14.25" customHeight="1" x14ac:dyDescent="0.35">
      <c r="O985" s="1"/>
    </row>
    <row r="986" spans="15:15" ht="14.25" customHeight="1" x14ac:dyDescent="0.35">
      <c r="O986" s="1"/>
    </row>
    <row r="987" spans="15:15" ht="14.25" customHeight="1" x14ac:dyDescent="0.35">
      <c r="O987" s="1"/>
    </row>
    <row r="988" spans="15:15" ht="14.25" customHeight="1" x14ac:dyDescent="0.35">
      <c r="O988" s="1"/>
    </row>
    <row r="989" spans="15:15" ht="14.25" customHeight="1" x14ac:dyDescent="0.35">
      <c r="O989" s="1"/>
    </row>
    <row r="990" spans="15:15" ht="14.25" customHeight="1" x14ac:dyDescent="0.35">
      <c r="O990" s="1"/>
    </row>
    <row r="991" spans="15:15" ht="14.25" customHeight="1" x14ac:dyDescent="0.35">
      <c r="O991" s="1"/>
    </row>
    <row r="992" spans="15:15" ht="14.25" customHeight="1" x14ac:dyDescent="0.35">
      <c r="O992" s="1"/>
    </row>
    <row r="993" spans="15:15" ht="14.25" customHeight="1" x14ac:dyDescent="0.35">
      <c r="O993" s="1"/>
    </row>
    <row r="994" spans="15:15" ht="14.25" customHeight="1" x14ac:dyDescent="0.35">
      <c r="O994" s="1"/>
    </row>
    <row r="995" spans="15:15" ht="14.25" customHeight="1" x14ac:dyDescent="0.35">
      <c r="O995" s="1"/>
    </row>
    <row r="996" spans="15:15" ht="14.25" customHeight="1" x14ac:dyDescent="0.35">
      <c r="O996" s="1"/>
    </row>
    <row r="997" spans="15:15" ht="14.25" customHeight="1" x14ac:dyDescent="0.35">
      <c r="O997" s="1"/>
    </row>
    <row r="998" spans="15:15" ht="14.25" customHeight="1" x14ac:dyDescent="0.35">
      <c r="O998" s="1"/>
    </row>
    <row r="999" spans="15:15" ht="14.25" customHeight="1" x14ac:dyDescent="0.35">
      <c r="O999" s="1"/>
    </row>
    <row r="1000" spans="15:15" ht="14.25" customHeight="1" x14ac:dyDescent="0.35">
      <c r="O1000" s="1"/>
    </row>
  </sheetData>
  <mergeCells count="16">
    <mergeCell ref="B7:C7"/>
    <mergeCell ref="B2:C2"/>
    <mergeCell ref="B3:C3"/>
    <mergeCell ref="B4:C4"/>
    <mergeCell ref="B5:C5"/>
    <mergeCell ref="B6:C6"/>
    <mergeCell ref="B21:B23"/>
    <mergeCell ref="B24:B25"/>
    <mergeCell ref="B8:C8"/>
    <mergeCell ref="I8:J8"/>
    <mergeCell ref="B9:C9"/>
    <mergeCell ref="I9:J9"/>
    <mergeCell ref="F11:K11"/>
    <mergeCell ref="B13:B20"/>
    <mergeCell ref="C13:C16"/>
    <mergeCell ref="C17:C1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Budget-Complete</vt:lpstr>
      <vt:lpstr>Summary</vt:lpstr>
      <vt:lpstr>Commercials Full-One Plant</vt:lpstr>
      <vt:lpstr>Sheet2</vt:lpstr>
      <vt:lpstr>Manpower Cost New</vt:lpstr>
      <vt:lpstr>Sheet1</vt:lpstr>
      <vt:lpstr>Hardware List-BLE</vt:lpstr>
      <vt:lpstr>Commercials-Phase I</vt:lpstr>
      <vt:lpstr>Commercials-Phase II</vt:lpstr>
      <vt:lpstr>Commercials-Phase III</vt:lpstr>
      <vt:lpstr>Commercials Full-RFID</vt:lpstr>
      <vt:lpstr>Hardware List-RFID</vt:lpstr>
      <vt:lpstr>Commercials Full-RFID Phase I</vt:lpstr>
      <vt:lpstr>Commercials-RFID Phase II</vt:lpstr>
      <vt:lpstr>Commercials-RFID Phase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Manoj Hanagandi Axestrack</cp:lastModifiedBy>
  <cp:lastPrinted>2025-04-30T05:49:45Z</cp:lastPrinted>
  <dcterms:created xsi:type="dcterms:W3CDTF">2015-06-05T18:17:20Z</dcterms:created>
  <dcterms:modified xsi:type="dcterms:W3CDTF">2025-07-15T10:33:30Z</dcterms:modified>
</cp:coreProperties>
</file>