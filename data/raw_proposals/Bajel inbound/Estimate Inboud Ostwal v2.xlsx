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Proposals\Ostwal\"/>
    </mc:Choice>
  </mc:AlternateContent>
  <xr:revisionPtr revIDLastSave="0" documentId="13_ncr:1_{011ADAA0-34BC-4100-BF03-9F829B6D808A}" xr6:coauthVersionLast="47" xr6:coauthVersionMax="47" xr10:uidLastSave="{00000000-0000-0000-0000-000000000000}"/>
  <bookViews>
    <workbookView xWindow="-110" yWindow="-110" windowWidth="19420" windowHeight="10300" tabRatio="836" xr2:uid="{00000000-000D-0000-FFFF-FFFF00000000}"/>
  </bookViews>
  <sheets>
    <sheet name="Quotation Final" sheetId="11" r:id="rId1"/>
    <sheet name="Client Data" sheetId="1" r:id="rId2"/>
    <sheet name="Ops Estimations- Ashish" sheetId="2" r:id="rId3"/>
    <sheet name="Trips data" sheetId="3" r:id="rId4"/>
    <sheet name="Field manpower per plant" sheetId="4" r:id="rId5"/>
    <sheet name="KPL Meghnagar MP" sheetId="5" r:id="rId6"/>
    <sheet name="MBAPL-Saugor(MP)" sheetId="6" r:id="rId7"/>
    <sheet name="MBAPL-Dhule (MH)" sheetId="7" r:id="rId8"/>
    <sheet name="OPIL Rajasthan BHL" sheetId="8" r:id="rId9"/>
    <sheet name="SGFL Kapasan Rajasthan" sheetId="9" r:id="rId10"/>
    <sheet name="Imported Fertilizers (Kandla)" sheetId="10"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2" i="10" l="1"/>
  <c r="D35" i="10" s="1"/>
  <c r="H25" i="10" s="1"/>
  <c r="H28" i="10"/>
  <c r="D25" i="10"/>
  <c r="D23" i="10"/>
  <c r="D32" i="9"/>
  <c r="D33" i="9" s="1"/>
  <c r="H28" i="9"/>
  <c r="D25" i="9"/>
  <c r="D23" i="9"/>
  <c r="H35" i="9" s="1"/>
  <c r="D35" i="8"/>
  <c r="H25" i="8" s="1"/>
  <c r="D32" i="8"/>
  <c r="D33" i="8" s="1"/>
  <c r="H28" i="8"/>
  <c r="D25" i="8"/>
  <c r="D23" i="8"/>
  <c r="H35" i="8" s="1"/>
  <c r="D32" i="7"/>
  <c r="D35" i="7" s="1"/>
  <c r="H25" i="7" s="1"/>
  <c r="H28" i="7"/>
  <c r="D25" i="7"/>
  <c r="D23" i="7"/>
  <c r="H28" i="6"/>
  <c r="H28" i="5"/>
  <c r="D32" i="6"/>
  <c r="D35" i="6"/>
  <c r="H25" i="6" s="1"/>
  <c r="D25" i="6"/>
  <c r="D23" i="6"/>
  <c r="H35" i="6" s="1"/>
  <c r="D32" i="5"/>
  <c r="D23" i="5"/>
  <c r="H35" i="5"/>
  <c r="D35" i="5"/>
  <c r="H25" i="5" s="1"/>
  <c r="D25" i="5"/>
  <c r="H34" i="5"/>
  <c r="H5" i="11"/>
  <c r="D33" i="10" l="1"/>
  <c r="D27" i="10"/>
  <c r="H34" i="10"/>
  <c r="H35" i="10"/>
  <c r="D27" i="9"/>
  <c r="D35" i="9"/>
  <c r="H25" i="9" s="1"/>
  <c r="H34" i="9"/>
  <c r="D27" i="8"/>
  <c r="H34" i="8"/>
  <c r="D27" i="7"/>
  <c r="H34" i="7"/>
  <c r="D33" i="7"/>
  <c r="H35" i="7"/>
  <c r="D33" i="6"/>
  <c r="D27" i="6"/>
  <c r="H34" i="6"/>
  <c r="D33" i="5"/>
  <c r="D27" i="5"/>
  <c r="H9" i="10"/>
  <c r="D9" i="10"/>
  <c r="D4" i="10"/>
  <c r="D13" i="10"/>
  <c r="D12" i="10"/>
  <c r="D14" i="10" s="1"/>
  <c r="D11" i="10"/>
  <c r="D10" i="10"/>
  <c r="D16" i="10"/>
  <c r="H6" i="10" s="1"/>
  <c r="D6" i="10"/>
  <c r="H9" i="9"/>
  <c r="D9" i="9"/>
  <c r="D4" i="9"/>
  <c r="D13" i="9"/>
  <c r="D12" i="9"/>
  <c r="D14" i="9" s="1"/>
  <c r="D11" i="9"/>
  <c r="D10" i="9"/>
  <c r="D16" i="9"/>
  <c r="H6" i="9" s="1"/>
  <c r="D6" i="9"/>
  <c r="H9" i="8"/>
  <c r="D9" i="8"/>
  <c r="D16" i="8" s="1"/>
  <c r="D4" i="8"/>
  <c r="H16" i="8" s="1"/>
  <c r="D13" i="8"/>
  <c r="D12" i="8"/>
  <c r="D14" i="8" s="1"/>
  <c r="D11" i="8"/>
  <c r="D10" i="8"/>
  <c r="D6" i="8"/>
  <c r="H9" i="7"/>
  <c r="D9" i="7"/>
  <c r="D4" i="7"/>
  <c r="H16" i="7" s="1"/>
  <c r="D13" i="7"/>
  <c r="D12" i="7"/>
  <c r="D11" i="7"/>
  <c r="D14" i="7" s="1"/>
  <c r="D10" i="7"/>
  <c r="D16" i="7"/>
  <c r="H6" i="7" s="1"/>
  <c r="D6" i="7"/>
  <c r="H15" i="7"/>
  <c r="H9" i="6"/>
  <c r="H9" i="5"/>
  <c r="D9" i="6"/>
  <c r="D4" i="6"/>
  <c r="D13" i="6"/>
  <c r="D12" i="6"/>
  <c r="D14" i="6" s="1"/>
  <c r="D11" i="6"/>
  <c r="D10" i="6"/>
  <c r="D16" i="6"/>
  <c r="H6" i="6" s="1"/>
  <c r="D6" i="6"/>
  <c r="D13" i="5"/>
  <c r="C28" i="4"/>
  <c r="D12" i="5"/>
  <c r="D11" i="5"/>
  <c r="D10" i="5"/>
  <c r="C27" i="4"/>
  <c r="C26" i="4"/>
  <c r="C25" i="4"/>
  <c r="D14" i="5"/>
  <c r="D6" i="5"/>
  <c r="H15" i="4"/>
  <c r="H14" i="4"/>
  <c r="H13" i="4"/>
  <c r="E15" i="4"/>
  <c r="E14" i="4"/>
  <c r="E13" i="4"/>
  <c r="B15" i="4"/>
  <c r="B14" i="4"/>
  <c r="B13" i="4"/>
  <c r="H2" i="4"/>
  <c r="H4" i="4"/>
  <c r="H3" i="4"/>
  <c r="E4" i="4"/>
  <c r="E3" i="4"/>
  <c r="E2" i="4"/>
  <c r="H21" i="4"/>
  <c r="E21" i="4"/>
  <c r="B21" i="4"/>
  <c r="H10" i="4"/>
  <c r="E10" i="4"/>
  <c r="B4" i="4"/>
  <c r="B6" i="4" s="1"/>
  <c r="P14" i="3"/>
  <c r="P13" i="3"/>
  <c r="P12" i="3"/>
  <c r="P11" i="3"/>
  <c r="P10" i="3"/>
  <c r="P9" i="3"/>
  <c r="P8" i="3"/>
  <c r="P7" i="3"/>
  <c r="P6" i="3"/>
  <c r="P5" i="3"/>
  <c r="P4" i="3"/>
  <c r="B3" i="4"/>
  <c r="B10" i="4"/>
  <c r="W3" i="3"/>
  <c r="C15" i="3"/>
  <c r="R4" i="3"/>
  <c r="S4" i="3"/>
  <c r="T4" i="3"/>
  <c r="U4" i="3"/>
  <c r="V4" i="3"/>
  <c r="R5" i="3"/>
  <c r="S5" i="3"/>
  <c r="T5" i="3"/>
  <c r="U5" i="3"/>
  <c r="V5" i="3"/>
  <c r="R6" i="3"/>
  <c r="S6" i="3"/>
  <c r="T6" i="3"/>
  <c r="U6" i="3"/>
  <c r="V6" i="3"/>
  <c r="R7" i="3"/>
  <c r="S7" i="3"/>
  <c r="T7" i="3"/>
  <c r="U7" i="3"/>
  <c r="V7" i="3"/>
  <c r="R8" i="3"/>
  <c r="S8" i="3"/>
  <c r="T8" i="3"/>
  <c r="U8" i="3"/>
  <c r="V8" i="3"/>
  <c r="R9" i="3"/>
  <c r="S9" i="3"/>
  <c r="T9" i="3"/>
  <c r="U9" i="3"/>
  <c r="V9" i="3"/>
  <c r="R10" i="3"/>
  <c r="S10" i="3"/>
  <c r="T10" i="3"/>
  <c r="U10" i="3"/>
  <c r="V10" i="3"/>
  <c r="R11" i="3"/>
  <c r="S11" i="3"/>
  <c r="T11" i="3"/>
  <c r="U11" i="3"/>
  <c r="V11" i="3"/>
  <c r="R12" i="3"/>
  <c r="S12" i="3"/>
  <c r="T12" i="3"/>
  <c r="U12" i="3"/>
  <c r="V12" i="3"/>
  <c r="R13" i="3"/>
  <c r="S13" i="3"/>
  <c r="T13" i="3"/>
  <c r="U13" i="3"/>
  <c r="V13" i="3"/>
  <c r="R14" i="3"/>
  <c r="S14" i="3"/>
  <c r="T14" i="3"/>
  <c r="U14" i="3"/>
  <c r="V14" i="3"/>
  <c r="Q5" i="3"/>
  <c r="Q6" i="3"/>
  <c r="Q7" i="3"/>
  <c r="Q8" i="3"/>
  <c r="Q9" i="3"/>
  <c r="Q10" i="3"/>
  <c r="Q11" i="3"/>
  <c r="Q12" i="3"/>
  <c r="Q13" i="3"/>
  <c r="Q14" i="3"/>
  <c r="Q4" i="3"/>
  <c r="K4" i="3"/>
  <c r="L4" i="3"/>
  <c r="M4" i="3"/>
  <c r="N4" i="3"/>
  <c r="O4" i="3"/>
  <c r="K5" i="3"/>
  <c r="L5" i="3"/>
  <c r="M5" i="3"/>
  <c r="N5" i="3"/>
  <c r="O5" i="3"/>
  <c r="K6" i="3"/>
  <c r="L6" i="3"/>
  <c r="M6" i="3"/>
  <c r="N6" i="3"/>
  <c r="O6" i="3"/>
  <c r="K7" i="3"/>
  <c r="L7" i="3"/>
  <c r="M7" i="3"/>
  <c r="N7" i="3"/>
  <c r="O7" i="3"/>
  <c r="K8" i="3"/>
  <c r="L8" i="3"/>
  <c r="M8" i="3"/>
  <c r="N8" i="3"/>
  <c r="O8" i="3"/>
  <c r="K9" i="3"/>
  <c r="L9" i="3"/>
  <c r="M9" i="3"/>
  <c r="N9" i="3"/>
  <c r="O9" i="3"/>
  <c r="K10" i="3"/>
  <c r="L10" i="3"/>
  <c r="M10" i="3"/>
  <c r="N10" i="3"/>
  <c r="O10" i="3"/>
  <c r="K11" i="3"/>
  <c r="L11" i="3"/>
  <c r="M11" i="3"/>
  <c r="N11" i="3"/>
  <c r="O11" i="3"/>
  <c r="K12" i="3"/>
  <c r="L12" i="3"/>
  <c r="M12" i="3"/>
  <c r="N12" i="3"/>
  <c r="O12" i="3"/>
  <c r="K13" i="3"/>
  <c r="L13" i="3"/>
  <c r="M13" i="3"/>
  <c r="N13" i="3"/>
  <c r="O13" i="3"/>
  <c r="K14" i="3"/>
  <c r="L14" i="3"/>
  <c r="M14" i="3"/>
  <c r="N14" i="3"/>
  <c r="O14" i="3"/>
  <c r="J5" i="3"/>
  <c r="J6" i="3"/>
  <c r="J7" i="3"/>
  <c r="J8" i="3"/>
  <c r="J9" i="3"/>
  <c r="J10" i="3"/>
  <c r="J11" i="3"/>
  <c r="J12" i="3"/>
  <c r="J13" i="3"/>
  <c r="J14" i="3"/>
  <c r="J4" i="3"/>
  <c r="E15" i="3"/>
  <c r="F15" i="3"/>
  <c r="G15" i="3"/>
  <c r="H15" i="3"/>
  <c r="I15" i="3"/>
  <c r="D15" i="3"/>
  <c r="F13" i="1"/>
  <c r="E13" i="1"/>
  <c r="D13" i="1"/>
  <c r="J12" i="1"/>
  <c r="K12" i="1" s="1"/>
  <c r="J11" i="1"/>
  <c r="K11" i="1" s="1"/>
  <c r="J10" i="1"/>
  <c r="K10" i="1" s="1"/>
  <c r="J9" i="1"/>
  <c r="K9" i="1" s="1"/>
  <c r="J8" i="1"/>
  <c r="H7" i="1"/>
  <c r="G7" i="1"/>
  <c r="J6" i="1"/>
  <c r="K6" i="1" s="1"/>
  <c r="J5" i="1"/>
  <c r="K5" i="1" s="1"/>
  <c r="J4" i="1"/>
  <c r="K4" i="1" s="1"/>
  <c r="E3" i="1"/>
  <c r="D34" i="10" l="1"/>
  <c r="H26" i="10"/>
  <c r="H26" i="9"/>
  <c r="D34" i="9"/>
  <c r="D34" i="8"/>
  <c r="H26" i="8"/>
  <c r="H26" i="7"/>
  <c r="D34" i="7"/>
  <c r="D34" i="6"/>
  <c r="H26" i="6"/>
  <c r="H26" i="5"/>
  <c r="D34" i="5"/>
  <c r="H15" i="10"/>
  <c r="H16" i="10"/>
  <c r="D8" i="10"/>
  <c r="D8" i="9"/>
  <c r="H15" i="9"/>
  <c r="H16" i="9"/>
  <c r="H6" i="8"/>
  <c r="D8" i="8"/>
  <c r="H15" i="8"/>
  <c r="D8" i="7"/>
  <c r="D8" i="6"/>
  <c r="H15" i="6"/>
  <c r="H16" i="6"/>
  <c r="D9" i="5"/>
  <c r="D16" i="5"/>
  <c r="H17" i="4"/>
  <c r="H18" i="4" s="1"/>
  <c r="E17" i="4"/>
  <c r="E18" i="4" s="1"/>
  <c r="H6" i="4"/>
  <c r="H7" i="4" s="1"/>
  <c r="B17" i="4"/>
  <c r="B18" i="4" s="1"/>
  <c r="E6" i="4"/>
  <c r="E7" i="4" s="1"/>
  <c r="R15" i="3"/>
  <c r="O15" i="3"/>
  <c r="V15" i="3"/>
  <c r="L15" i="3"/>
  <c r="M15" i="3"/>
  <c r="U15" i="3"/>
  <c r="K15" i="3"/>
  <c r="Q15" i="3"/>
  <c r="B2" i="4" s="1"/>
  <c r="N15" i="3"/>
  <c r="S15" i="3"/>
  <c r="T15" i="3"/>
  <c r="J15" i="3"/>
  <c r="I7" i="1"/>
  <c r="F7" i="1"/>
  <c r="D7" i="1"/>
  <c r="E7" i="1"/>
  <c r="K13" i="1"/>
  <c r="J3" i="1"/>
  <c r="K3" i="1" s="1"/>
  <c r="H24" i="10" l="1"/>
  <c r="H23" i="10"/>
  <c r="H24" i="9"/>
  <c r="H23" i="9"/>
  <c r="H36" i="9" s="1"/>
  <c r="H23" i="8"/>
  <c r="H24" i="8"/>
  <c r="H24" i="7"/>
  <c r="H23" i="7"/>
  <c r="H24" i="6"/>
  <c r="H23" i="6"/>
  <c r="H24" i="5"/>
  <c r="H23" i="5"/>
  <c r="H7" i="10"/>
  <c r="D15" i="10"/>
  <c r="H7" i="9"/>
  <c r="D15" i="9"/>
  <c r="D15" i="8"/>
  <c r="H7" i="8"/>
  <c r="D15" i="7"/>
  <c r="H7" i="7"/>
  <c r="D15" i="6"/>
  <c r="H7" i="6"/>
  <c r="B7" i="4"/>
  <c r="D4" i="5"/>
  <c r="O16" i="3"/>
  <c r="V16" i="3"/>
  <c r="J7" i="1"/>
  <c r="K7" i="1" s="1"/>
  <c r="H33" i="10" l="1"/>
  <c r="F32" i="11" s="1"/>
  <c r="H36" i="10"/>
  <c r="H33" i="9"/>
  <c r="F31" i="11" s="1"/>
  <c r="H33" i="8"/>
  <c r="F30" i="11" s="1"/>
  <c r="H36" i="8"/>
  <c r="H33" i="7"/>
  <c r="F29" i="11" s="1"/>
  <c r="H36" i="7"/>
  <c r="H33" i="6"/>
  <c r="F28" i="11" s="1"/>
  <c r="H36" i="6"/>
  <c r="H33" i="5"/>
  <c r="F27" i="11" s="1"/>
  <c r="H36" i="5"/>
  <c r="H5" i="10"/>
  <c r="H4" i="10"/>
  <c r="H17" i="10" s="1"/>
  <c r="H5" i="9"/>
  <c r="H4" i="9"/>
  <c r="H5" i="8"/>
  <c r="H4" i="8"/>
  <c r="H17" i="8" s="1"/>
  <c r="H5" i="7"/>
  <c r="H4" i="7"/>
  <c r="H5" i="6"/>
  <c r="H4" i="6"/>
  <c r="H17" i="6" s="1"/>
  <c r="H15" i="5"/>
  <c r="D8" i="5"/>
  <c r="H16" i="5"/>
  <c r="H6" i="5"/>
  <c r="L24" i="10" l="1"/>
  <c r="L24" i="9"/>
  <c r="L24" i="8"/>
  <c r="I33" i="7"/>
  <c r="L24" i="7"/>
  <c r="I33" i="6"/>
  <c r="L24" i="6"/>
  <c r="L24" i="5"/>
  <c r="H14" i="10"/>
  <c r="I5" i="10"/>
  <c r="H14" i="9"/>
  <c r="I33" i="9" s="1"/>
  <c r="H17" i="9"/>
  <c r="H14" i="8"/>
  <c r="H14" i="7"/>
  <c r="H17" i="7"/>
  <c r="H14" i="6"/>
  <c r="H7" i="5"/>
  <c r="D15" i="5"/>
  <c r="I4" i="10" l="1"/>
  <c r="I32" i="10"/>
  <c r="I31" i="10"/>
  <c r="I29" i="10"/>
  <c r="I27" i="10"/>
  <c r="I30" i="10"/>
  <c r="F25" i="11"/>
  <c r="I25" i="10"/>
  <c r="I28" i="10"/>
  <c r="I26" i="10"/>
  <c r="I24" i="10"/>
  <c r="I23" i="10"/>
  <c r="I33" i="10"/>
  <c r="I4" i="9"/>
  <c r="I30" i="9"/>
  <c r="I31" i="9"/>
  <c r="I29" i="9"/>
  <c r="I27" i="9"/>
  <c r="F24" i="11"/>
  <c r="I32" i="9"/>
  <c r="I28" i="9"/>
  <c r="I25" i="9"/>
  <c r="I26" i="9"/>
  <c r="I23" i="9"/>
  <c r="I24" i="9"/>
  <c r="I5" i="8"/>
  <c r="I30" i="8"/>
  <c r="F23" i="11"/>
  <c r="I32" i="8"/>
  <c r="I31" i="8"/>
  <c r="I29" i="8"/>
  <c r="I27" i="8"/>
  <c r="I25" i="8"/>
  <c r="I28" i="8"/>
  <c r="I26" i="8"/>
  <c r="I24" i="8"/>
  <c r="I23" i="8"/>
  <c r="I33" i="8"/>
  <c r="I4" i="7"/>
  <c r="I32" i="7"/>
  <c r="F22" i="11"/>
  <c r="I31" i="7"/>
  <c r="I30" i="7"/>
  <c r="I29" i="7"/>
  <c r="I27" i="7"/>
  <c r="I25" i="7"/>
  <c r="I28" i="7"/>
  <c r="I26" i="7"/>
  <c r="I24" i="7"/>
  <c r="I23" i="7"/>
  <c r="I4" i="6"/>
  <c r="I29" i="6"/>
  <c r="I27" i="6"/>
  <c r="F21" i="11"/>
  <c r="I32" i="6"/>
  <c r="I31" i="6"/>
  <c r="I30" i="6"/>
  <c r="I25" i="6"/>
  <c r="I28" i="6"/>
  <c r="I26" i="6"/>
  <c r="I24" i="6"/>
  <c r="I23" i="6"/>
  <c r="L26" i="10"/>
  <c r="L25" i="10"/>
  <c r="L25" i="9"/>
  <c r="L26" i="9"/>
  <c r="L26" i="8"/>
  <c r="L25" i="8"/>
  <c r="L26" i="7"/>
  <c r="L25" i="7"/>
  <c r="L26" i="6"/>
  <c r="L25" i="6"/>
  <c r="L26" i="5"/>
  <c r="L25" i="5"/>
  <c r="I11" i="10"/>
  <c r="I14" i="10"/>
  <c r="I8" i="10"/>
  <c r="I13" i="10"/>
  <c r="I10" i="10"/>
  <c r="I12" i="10"/>
  <c r="L5" i="10"/>
  <c r="I6" i="10"/>
  <c r="I9" i="10"/>
  <c r="I7" i="10"/>
  <c r="I5" i="9"/>
  <c r="I11" i="9"/>
  <c r="I14" i="9"/>
  <c r="I12" i="9"/>
  <c r="I8" i="9"/>
  <c r="I10" i="9"/>
  <c r="I13" i="9"/>
  <c r="I9" i="9"/>
  <c r="I6" i="9"/>
  <c r="L5" i="9"/>
  <c r="I7" i="9"/>
  <c r="I10" i="8"/>
  <c r="I14" i="8"/>
  <c r="I8" i="8"/>
  <c r="I13" i="8"/>
  <c r="I12" i="8"/>
  <c r="I11" i="8"/>
  <c r="L5" i="8"/>
  <c r="I6" i="8"/>
  <c r="I9" i="8"/>
  <c r="I7" i="8"/>
  <c r="I4" i="8"/>
  <c r="I5" i="7"/>
  <c r="I10" i="7"/>
  <c r="I8" i="7"/>
  <c r="I13" i="7"/>
  <c r="I12" i="7"/>
  <c r="I14" i="7"/>
  <c r="I11" i="7"/>
  <c r="I6" i="7"/>
  <c r="I9" i="7"/>
  <c r="L5" i="7"/>
  <c r="I7" i="7"/>
  <c r="I5" i="6"/>
  <c r="I11" i="6"/>
  <c r="I14" i="6"/>
  <c r="I13" i="6"/>
  <c r="I10" i="6"/>
  <c r="I12" i="6"/>
  <c r="I8" i="6"/>
  <c r="L5" i="6"/>
  <c r="I6" i="6"/>
  <c r="I9" i="6"/>
  <c r="I7" i="6"/>
  <c r="H4" i="5"/>
  <c r="H5" i="5"/>
  <c r="L6" i="10" l="1"/>
  <c r="L7" i="10"/>
  <c r="L6" i="9"/>
  <c r="L7" i="9"/>
  <c r="L6" i="8"/>
  <c r="L7" i="8"/>
  <c r="L7" i="7"/>
  <c r="L6" i="7"/>
  <c r="L6" i="6"/>
  <c r="L7" i="6"/>
  <c r="H14" i="5"/>
  <c r="H17" i="5"/>
  <c r="I9" i="5" l="1"/>
  <c r="I29" i="5"/>
  <c r="I32" i="5"/>
  <c r="I30" i="5"/>
  <c r="I27" i="5"/>
  <c r="F20" i="11"/>
  <c r="I31" i="5"/>
  <c r="I28" i="5"/>
  <c r="I25" i="5"/>
  <c r="I26" i="5"/>
  <c r="I24" i="5"/>
  <c r="I23" i="5"/>
  <c r="I33" i="5"/>
  <c r="L5" i="5"/>
  <c r="L7" i="5" s="1"/>
  <c r="I14" i="5"/>
  <c r="I10" i="5"/>
  <c r="I12" i="5"/>
  <c r="I8" i="5"/>
  <c r="I13" i="5"/>
  <c r="I11" i="5"/>
  <c r="I4" i="5"/>
  <c r="I5" i="5"/>
  <c r="I6" i="5"/>
  <c r="I7" i="5"/>
  <c r="L6" i="5" l="1"/>
</calcChain>
</file>

<file path=xl/sharedStrings.xml><?xml version="1.0" encoding="utf-8"?>
<sst xmlns="http://schemas.openxmlformats.org/spreadsheetml/2006/main" count="692" uniqueCount="156">
  <si>
    <t>Truck/ Tanker</t>
  </si>
  <si>
    <t>KPL Meghnagar MP</t>
  </si>
  <si>
    <t>MBAPL-Saugor(MP)</t>
  </si>
  <si>
    <t>MBAPL-Dhule (MH)</t>
  </si>
  <si>
    <t>OPIL Rajasthan BHL</t>
  </si>
  <si>
    <t>SGFL Kapasan Rajasthan</t>
  </si>
  <si>
    <t>Imported Fertilizers (Kandla)</t>
  </si>
  <si>
    <t>TOTAL</t>
  </si>
  <si>
    <t>NO OF TRIP</t>
  </si>
  <si>
    <t>Rock  Dahej/hazira/kandla</t>
  </si>
  <si>
    <t>Truck</t>
  </si>
  <si>
    <t>Rock meghnagar local MP</t>
  </si>
  <si>
    <t>Truck-dedicated</t>
  </si>
  <si>
    <t>Rock ChattarPur MP (70 kM)</t>
  </si>
  <si>
    <t xml:space="preserve">Rock Raj </t>
  </si>
  <si>
    <t>Sulphur Indiginious gujarat Nayra/RIL</t>
  </si>
  <si>
    <t>bhatinda HPCL</t>
  </si>
  <si>
    <t>sulphur UP</t>
  </si>
  <si>
    <t>BINA</t>
  </si>
  <si>
    <t>Nature</t>
  </si>
  <si>
    <t xml:space="preserve">Location </t>
  </si>
  <si>
    <t xml:space="preserve">Loading </t>
  </si>
  <si>
    <t>Hazira</t>
  </si>
  <si>
    <t xml:space="preserve">Kandla </t>
  </si>
  <si>
    <t>Dahej</t>
  </si>
  <si>
    <t>Jamnagar</t>
  </si>
  <si>
    <t>Unloading</t>
  </si>
  <si>
    <t>Sagar</t>
  </si>
  <si>
    <t>hamirgarh</t>
  </si>
  <si>
    <t>kapasan</t>
  </si>
  <si>
    <t>meghnagar</t>
  </si>
  <si>
    <t>Loading location </t>
  </si>
  <si>
    <t>Trips per day</t>
  </si>
  <si>
    <t>Manpower Count</t>
  </si>
  <si>
    <t>Unloading location </t>
  </si>
  <si>
    <t>Trips per day Count</t>
  </si>
  <si>
    <t>Manpower</t>
  </si>
  <si>
    <t>Kandla</t>
  </si>
  <si>
    <t>Meghnagar</t>
  </si>
  <si>
    <t>Chhatarpur</t>
  </si>
  <si>
    <t>RockRaj</t>
  </si>
  <si>
    <t>Nayra GJ</t>
  </si>
  <si>
    <t>RIL GJ</t>
  </si>
  <si>
    <t>HPCL Bhatinda</t>
  </si>
  <si>
    <t>Sulphur Up</t>
  </si>
  <si>
    <t>Bina</t>
  </si>
  <si>
    <t>Total</t>
  </si>
  <si>
    <t>Rock</t>
  </si>
  <si>
    <t xml:space="preserve">Sulphur Indiginious gujarat </t>
  </si>
  <si>
    <t>Nayra</t>
  </si>
  <si>
    <t>RIL</t>
  </si>
  <si>
    <t>Yearly MT</t>
  </si>
  <si>
    <t>Daily Trips</t>
  </si>
  <si>
    <t>Monthly Trips</t>
  </si>
  <si>
    <t>Manpower at loading</t>
  </si>
  <si>
    <t xml:space="preserve">Manpower </t>
  </si>
  <si>
    <t>Per head Cost</t>
  </si>
  <si>
    <t>Manpower cost</t>
  </si>
  <si>
    <t>Per trip</t>
  </si>
  <si>
    <t>Seals</t>
  </si>
  <si>
    <t>Per Seal Cost+ Acceseries</t>
  </si>
  <si>
    <t>Seal Cost Per trip</t>
  </si>
  <si>
    <t>Manpower at Unloading</t>
  </si>
  <si>
    <t>Total monthly trips</t>
  </si>
  <si>
    <t>manpower Per trip</t>
  </si>
  <si>
    <t>Inputs</t>
  </si>
  <si>
    <t>Per Trip Costings</t>
  </si>
  <si>
    <t>Commercial Values</t>
  </si>
  <si>
    <t>Trips Per Month</t>
  </si>
  <si>
    <t>Capital</t>
  </si>
  <si>
    <t>Duration (Months)</t>
  </si>
  <si>
    <t>Device Rotation Days</t>
  </si>
  <si>
    <t>Interest</t>
  </si>
  <si>
    <t>Monthly CV</t>
  </si>
  <si>
    <t>Trips/Device/Month</t>
  </si>
  <si>
    <t>Annual CV</t>
  </si>
  <si>
    <t>Buffer Inventory</t>
  </si>
  <si>
    <t>SIM</t>
  </si>
  <si>
    <t>TCV</t>
  </si>
  <si>
    <t>Device Quantity</t>
  </si>
  <si>
    <t>Server+License</t>
  </si>
  <si>
    <t>Loading + Unloading</t>
  </si>
  <si>
    <t>Field Technicians</t>
  </si>
  <si>
    <t>Consumables</t>
  </si>
  <si>
    <t>Control Tower Executives</t>
  </si>
  <si>
    <t>Penalties</t>
  </si>
  <si>
    <t>RL Executives</t>
  </si>
  <si>
    <t>RL Courier Exp</t>
  </si>
  <si>
    <t>Customer Success</t>
  </si>
  <si>
    <t>Man Cost at Loading point/trip</t>
  </si>
  <si>
    <t>Net Margin</t>
  </si>
  <si>
    <t>Laptops</t>
  </si>
  <si>
    <t>Net Quote</t>
  </si>
  <si>
    <t>Total Capital (Assets)</t>
  </si>
  <si>
    <t>Dep</t>
  </si>
  <si>
    <t>Monthly Manpower</t>
  </si>
  <si>
    <t>Int</t>
  </si>
  <si>
    <t>Cash Gen (Ops)</t>
  </si>
  <si>
    <t>Months Capital Offset</t>
  </si>
  <si>
    <t xml:space="preserve">RL </t>
  </si>
  <si>
    <t>Ops</t>
  </si>
  <si>
    <t xml:space="preserve">TL </t>
  </si>
  <si>
    <t>Control Tower</t>
  </si>
  <si>
    <t>TL / Project Manager</t>
  </si>
  <si>
    <t>Ops / Control Tower Executives</t>
  </si>
  <si>
    <t>RL / RL Executives</t>
  </si>
  <si>
    <t>Project Manager OPS</t>
  </si>
  <si>
    <t>Per Plant</t>
  </si>
  <si>
    <t>Quotation</t>
  </si>
  <si>
    <r>
      <rPr>
        <b/>
        <sz val="10"/>
        <color theme="1"/>
        <rFont val="Arial"/>
        <family val="2"/>
      </rPr>
      <t xml:space="preserve">Address </t>
    </r>
    <r>
      <rPr>
        <sz val="10"/>
        <color theme="1"/>
        <rFont val="Arial"/>
        <family val="2"/>
      </rPr>
      <t>- Corporate HQ : 
Axestrack Software Solutions Pvt. Ltd., Office No.-19, 6th Floor, Jaipur Electronic Market, 
Near Riddhi Siddhi, Gopalpura bypass, Jaipur - 302018 , Rajasthan, India</t>
    </r>
  </si>
  <si>
    <t>GSTIN</t>
  </si>
  <si>
    <t>08AACCH0299P1Z1</t>
  </si>
  <si>
    <t>QUOTE #</t>
  </si>
  <si>
    <t>DATE</t>
  </si>
  <si>
    <t>MSME No</t>
  </si>
  <si>
    <t>UDYAM-RJ-17-0051921</t>
  </si>
  <si>
    <t>DC/KS/261203</t>
  </si>
  <si>
    <t>Contact</t>
  </si>
  <si>
    <t>Kishor Sharma</t>
  </si>
  <si>
    <t>Quote Validity : 15 days from submitted date</t>
  </si>
  <si>
    <t>Payment Terms : Monthly</t>
  </si>
  <si>
    <t>Phone</t>
  </si>
  <si>
    <t>+91 7073330772</t>
  </si>
  <si>
    <t>Email Id</t>
  </si>
  <si>
    <t>kishor.sharma@axestrack.com</t>
  </si>
  <si>
    <t>CUSTOMER INFO</t>
  </si>
  <si>
    <t>Name</t>
  </si>
  <si>
    <t>Location</t>
  </si>
  <si>
    <t>DESCRIPTION OF WORK</t>
  </si>
  <si>
    <t>Commercials for the proposed solution aiming to digitize the inbound movement of Trucks with E-sealing to enhance efficiency, optimize pilferages &amp; leakages, enhance transparency, and coordination of Trucks with enterprise.</t>
  </si>
  <si>
    <t>S.No.</t>
  </si>
  <si>
    <t>Type</t>
  </si>
  <si>
    <t>Per Trip Price</t>
  </si>
  <si>
    <t>Remark</t>
  </si>
  <si>
    <t>Charges are Per Vehicle per Trip 
Inclusions:
• Device mapping/E sealing with the trip.
• Reports/route replay
• Manpower at the loading and unloading location.
• Reverse Logistics of the device back to the loading location.
• Real-time alerts</t>
  </si>
  <si>
    <t>Please refer to the next page for Terms and Conditions &amp; Notes</t>
  </si>
  <si>
    <t>Terms &amp; Conditions</t>
  </si>
  <si>
    <t>Thanks for business with Axestrack Software Solution Pvt. Ltd.</t>
  </si>
  <si>
    <t>Description</t>
  </si>
  <si>
    <t>Charges are Per Vehicle per Trip 
Inclusions:
• Reports/route replay
• Real-time alerts
Exclusions:
• Manpower at Loading &amp; Unloading Site, Reverse logistics of Devices (Device Ownership will be of Axestrack)</t>
  </si>
  <si>
    <t>Standard Model (Per Trip RL) - KPL Meghnagar MP - with Manpower &amp; RL</t>
  </si>
  <si>
    <t>Standard Model (Per Trip RL) - KPL Meghnagar MP - without Manpower &amp; RL</t>
  </si>
  <si>
    <t>Standard Model (Per Trip RL) -  MBAPL-Saugor(MP) - without Manpower &amp; RL</t>
  </si>
  <si>
    <t>-</t>
  </si>
  <si>
    <t>Standard Model (Per Trip RL) -  MBAPL-Dhule (MH)- without Manpower &amp; RL</t>
  </si>
  <si>
    <t>Standard Model (Per Trip RL) -  OPIL Rajasthan BHL)- without Manpower &amp; RL</t>
  </si>
  <si>
    <t>Standard Model (Per Trip RL) -  SGFL Kapasan Rajasthan -  without Manpower &amp; RL</t>
  </si>
  <si>
    <t>Standard Model (Per Trip RL) -  Imported Fertilizers (Kandla) -  without Manpower &amp; RL</t>
  </si>
  <si>
    <t>Standard Model (Per Trip RL) - MBAPL-Saugor(MP) - with Manpower &amp; RL</t>
  </si>
  <si>
    <t>Standard Model (Per Trip RL) - MBAPL-Dhule (MH) - with Manpower &amp; RL</t>
  </si>
  <si>
    <t>Standard Model (Per Trip RL) - OPIL Rajasthan BHL - with Manpower &amp; RL</t>
  </si>
  <si>
    <t>Standard Model (Per Trip RL) - SGFL Kapasan Rajasthan - with Manpower &amp; RL</t>
  </si>
  <si>
    <t>Standard Model (Per Trip RL) - Imported Fertilizers (Kandla) - with Manpower &amp; RL</t>
  </si>
  <si>
    <t>Ostwal's Plant Wise (With Platform Capabilities, Barcoded Eseal, Manpower &amp; Reverse Logitics)
• Tracking and Functionalities Applied as OOTB
• Optimize pilferages &amp; leakages, enhance transparency</t>
  </si>
  <si>
    <t>Ostwal's Plant Wise (With Platform Capabilities, Barcoded Eseal only, NO AXESTRACK'S MANPOWER )
• Tracking and Functionalities Applied as OOTB</t>
  </si>
  <si>
    <r>
      <t xml:space="preserve">•	  All the prices mentioned in proposal are in rupees and exclusive of GST. Taxes as applicable
•	  Device ownership remains with Axestrack
•	  Trips are estimated based on received details; any formal change or upgrade in hardware specifications or features (beyond those installed during onboarding) will incur additional charges.
•	  In the event of device loss, tampering, or theft, a charge of INR 1200 plus GST (per device) will be applied 
•	  The pricing has been estimated on the following loading and unloading location. Any change in locations will leads to revision of pricing. 
                 </t>
    </r>
    <r>
      <rPr>
        <b/>
        <sz val="10"/>
        <color theme="1"/>
        <rFont val="Arial"/>
        <family val="2"/>
      </rPr>
      <t xml:space="preserve">Loading: </t>
    </r>
    <r>
      <rPr>
        <sz val="10"/>
        <color theme="1"/>
        <rFont val="Arial"/>
        <family val="2"/>
      </rPr>
      <t xml:space="preserve">Dahej, Hazira, Kandla, Meghnagar, Chhatarpur, RockRaj, Nayara (Gujarat), RIL (Gujarat), HPCL Bhatinda, Sulphur (Uttar Pradesh), and Bina.
                </t>
    </r>
    <r>
      <rPr>
        <b/>
        <sz val="10"/>
        <color theme="1"/>
        <rFont val="Arial"/>
        <family val="2"/>
      </rPr>
      <t xml:space="preserve"> Unloading:</t>
    </r>
    <r>
      <rPr>
        <sz val="10"/>
        <color theme="1"/>
        <rFont val="Arial"/>
        <family val="2"/>
      </rPr>
      <t xml:space="preserve"> KPL Meghnagar (MP), MBAPL Saugor (MP), MBAPL Dhule (MH), OPIL Rajasthan (BHL), SGFL Kapasan (Rajasthan), and Imported Fertilizers (Kandla).
•	  The pricing has been estimated on the below trip count. Any change in actucal count will leads to revision of pricing.
•	  Billing will be done on a monthly basis based on actual trip count.
•	  If the trip count is less than the minimum trip count mentioned above, then the billing will be done on minimum number of trip as per the above details.
Hardware Included in Per Trip Cost : 
   -   Plug &amp; play GPS devices
   -   Seals : 20 seals per truck per trip
Payment Terms:
•	  100% payments to be made within 15 days from the date of receipt of original or digitally signed invoice. In case of delay, overdue charges of 1.5% per month will be charged.
Project Closure :
•	 All devices must be returned to Axestrack within 15 days of receiving the project closure notification.
•	  Unretured devices will be charged at INR 1200 plus GST (per device).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</si>
</sst>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_(* #,##0.0_);_(* \(#,##0.0\);_(* &quot;-&quot;??_);_(@_)"/>
    <numFmt numFmtId="166" formatCode="_(* #,##0_);_(* \(#,##0\);_(* &quot;-&quot;??_);_(@_)"/>
    <numFmt numFmtId="167" formatCode="[$-14009]dd\ mmmm\ yyyy;@"/>
  </numFmts>
  <fonts count="16" x14ac:knownFonts="1">
    <font>
      <sz val="11"/>
      <color theme="1"/>
      <name val="Calibri"/>
      <family val="2"/>
      <scheme val="minor"/>
    </font>
    <font>
      <b/>
      <sz val="11"/>
      <color theme="1"/>
      <name val="Calibri"/>
      <family val="2"/>
      <scheme val="minor"/>
    </font>
    <font>
      <b/>
      <sz val="11"/>
      <color theme="1"/>
      <name val="Calibri"/>
      <family val="2"/>
      <scheme val="minor"/>
    </font>
    <font>
      <sz val="11"/>
      <color theme="1"/>
      <name val="Calibri"/>
      <family val="2"/>
      <scheme val="minor"/>
    </font>
    <font>
      <b/>
      <sz val="11"/>
      <color rgb="FF000000"/>
      <name val="Calibri"/>
      <family val="2"/>
    </font>
    <font>
      <sz val="11"/>
      <color rgb="FF000000"/>
      <name val="Calibri"/>
      <family val="2"/>
    </font>
    <font>
      <b/>
      <sz val="11"/>
      <color theme="1"/>
      <name val="Calibri"/>
      <family val="2"/>
    </font>
    <font>
      <i/>
      <u/>
      <sz val="11"/>
      <color theme="1"/>
      <name val="Calibri"/>
      <family val="2"/>
      <scheme val="minor"/>
    </font>
    <font>
      <i/>
      <sz val="11"/>
      <color theme="1"/>
      <name val="Calibri"/>
      <family val="2"/>
      <scheme val="minor"/>
    </font>
    <font>
      <u/>
      <sz val="11"/>
      <color theme="10"/>
      <name val="Calibri"/>
      <family val="2"/>
      <scheme val="minor"/>
    </font>
    <font>
      <sz val="10"/>
      <color theme="1"/>
      <name val="Arial"/>
      <family val="2"/>
    </font>
    <font>
      <b/>
      <sz val="14"/>
      <color theme="4"/>
      <name val="Arial"/>
      <family val="2"/>
    </font>
    <font>
      <b/>
      <sz val="10"/>
      <color theme="1"/>
      <name val="Arial"/>
      <family val="2"/>
    </font>
    <font>
      <i/>
      <sz val="8"/>
      <color theme="1"/>
      <name val="Arial"/>
      <family val="2"/>
    </font>
    <font>
      <sz val="10"/>
      <name val="Arial"/>
      <family val="2"/>
    </font>
    <font>
      <b/>
      <sz val="10"/>
      <color theme="0"/>
      <name val="Arial"/>
      <family val="2"/>
    </font>
  </fonts>
  <fills count="22">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BDD7EE"/>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2"/>
        <bgColor indexed="64"/>
      </patternFill>
    </fill>
    <fill>
      <patternFill patternType="solid">
        <fgColor theme="6" tint="0.59999389629810485"/>
        <bgColor rgb="FFD4D4D4"/>
      </patternFill>
    </fill>
    <fill>
      <patternFill patternType="solid">
        <fgColor theme="2"/>
        <bgColor rgb="FFD4D4D4"/>
      </patternFill>
    </fill>
    <fill>
      <patternFill patternType="solid">
        <fgColor theme="4" tint="0.79998168889431442"/>
        <bgColor rgb="FFD4D4D4"/>
      </patternFill>
    </fill>
    <fill>
      <patternFill patternType="solid">
        <fgColor theme="4"/>
        <bgColor rgb="FFD4D4D4"/>
      </patternFill>
    </fill>
    <fill>
      <patternFill patternType="solid">
        <fgColor theme="4"/>
        <bgColor indexed="64"/>
      </patternFill>
    </fill>
    <fill>
      <patternFill patternType="solid">
        <fgColor theme="6" tint="0.59999389629810485"/>
        <bgColor indexed="64"/>
      </patternFill>
    </fill>
    <fill>
      <patternFill patternType="solid">
        <fgColor theme="5" tint="0.7999816888943144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5">
    <xf numFmtId="0" fontId="0"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9" fillId="0" borderId="0" applyNumberFormat="0" applyFill="0" applyBorder="0" applyAlignment="0" applyProtection="0"/>
  </cellStyleXfs>
  <cellXfs count="115">
    <xf numFmtId="0" fontId="0" fillId="0" borderId="0" xfId="0"/>
    <xf numFmtId="0" fontId="2" fillId="0" borderId="1" xfId="0" applyFont="1" applyBorder="1"/>
    <xf numFmtId="0" fontId="2" fillId="0" borderId="1" xfId="0" applyFont="1" applyBorder="1" applyAlignment="1">
      <alignment horizontal="center" wrapText="1"/>
    </xf>
    <xf numFmtId="0" fontId="0" fillId="0" borderId="1" xfId="0" applyBorder="1"/>
    <xf numFmtId="1" fontId="0" fillId="0" borderId="1" xfId="0" applyNumberFormat="1" applyBorder="1"/>
    <xf numFmtId="0" fontId="1" fillId="0" borderId="1" xfId="0" applyFont="1" applyBorder="1"/>
    <xf numFmtId="0" fontId="1" fillId="2" borderId="1" xfId="0" applyFont="1" applyFill="1" applyBorder="1" applyAlignment="1">
      <alignment horizontal="center" vertical="center" wrapText="1"/>
    </xf>
    <xf numFmtId="0" fontId="0" fillId="0" borderId="1" xfId="0" applyBorder="1" applyAlignment="1">
      <alignment horizontal="center" wrapText="1"/>
    </xf>
    <xf numFmtId="0" fontId="4" fillId="4" borderId="1" xfId="0" applyFont="1" applyFill="1" applyBorder="1" applyAlignment="1">
      <alignment horizontal="center" wrapText="1"/>
    </xf>
    <xf numFmtId="0" fontId="4" fillId="4" borderId="2" xfId="0" applyFont="1" applyFill="1" applyBorder="1" applyAlignment="1">
      <alignment horizont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wrapText="1"/>
    </xf>
    <xf numFmtId="0" fontId="5" fillId="3" borderId="1" xfId="0" applyFont="1" applyFill="1" applyBorder="1" applyAlignment="1">
      <alignment horizontal="right" vertical="center" wrapText="1"/>
    </xf>
    <xf numFmtId="0" fontId="0" fillId="0" borderId="1" xfId="0" applyBorder="1" applyAlignment="1">
      <alignment horizontal="right"/>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horizontal="center" wrapText="1"/>
    </xf>
    <xf numFmtId="166" fontId="0" fillId="0" borderId="1" xfId="1" applyNumberFormat="1" applyFont="1" applyBorder="1" applyAlignment="1">
      <alignment horizontal="center" wrapText="1"/>
    </xf>
    <xf numFmtId="166" fontId="1" fillId="6" borderId="1" xfId="0" applyNumberFormat="1" applyFont="1" applyFill="1" applyBorder="1" applyAlignment="1">
      <alignment horizontal="center" wrapText="1"/>
    </xf>
    <xf numFmtId="0" fontId="1" fillId="7" borderId="1" xfId="0" applyFont="1" applyFill="1" applyBorder="1" applyAlignment="1">
      <alignment horizontal="center" wrapText="1"/>
    </xf>
    <xf numFmtId="166" fontId="1" fillId="7" borderId="1" xfId="0" applyNumberFormat="1" applyFont="1" applyFill="1" applyBorder="1" applyAlignment="1">
      <alignment horizontal="center" wrapText="1"/>
    </xf>
    <xf numFmtId="166" fontId="0" fillId="8" borderId="0" xfId="0" applyNumberFormat="1" applyFill="1"/>
    <xf numFmtId="43" fontId="0" fillId="0" borderId="0" xfId="0" applyNumberFormat="1"/>
    <xf numFmtId="166" fontId="1" fillId="9" borderId="1" xfId="0" applyNumberFormat="1" applyFont="1" applyFill="1" applyBorder="1" applyAlignment="1">
      <alignment horizontal="center" wrapText="1"/>
    </xf>
    <xf numFmtId="0" fontId="5" fillId="10" borderId="1" xfId="0" applyFont="1" applyFill="1" applyBorder="1" applyAlignment="1">
      <alignment horizontal="center" vertical="center" wrapText="1"/>
    </xf>
    <xf numFmtId="0" fontId="0" fillId="10" borderId="1" xfId="0" applyFill="1" applyBorder="1" applyAlignment="1">
      <alignment horizontal="center"/>
    </xf>
    <xf numFmtId="0" fontId="1" fillId="10" borderId="1" xfId="0" applyFont="1" applyFill="1" applyBorder="1" applyAlignment="1">
      <alignment horizontal="center" vertical="center"/>
    </xf>
    <xf numFmtId="0" fontId="2" fillId="10" borderId="3" xfId="0" applyFont="1" applyFill="1" applyBorder="1" applyAlignment="1">
      <alignment vertical="center" wrapText="1"/>
    </xf>
    <xf numFmtId="0" fontId="1" fillId="10" borderId="6" xfId="0" applyFont="1" applyFill="1" applyBorder="1" applyAlignment="1">
      <alignment vertical="center" wrapText="1"/>
    </xf>
    <xf numFmtId="0" fontId="0" fillId="11" borderId="1" xfId="0" applyFill="1" applyBorder="1" applyAlignment="1">
      <alignment horizontal="center" vertical="center"/>
    </xf>
    <xf numFmtId="0" fontId="0" fillId="2" borderId="1" xfId="0" applyFill="1" applyBorder="1"/>
    <xf numFmtId="2" fontId="0" fillId="2" borderId="1" xfId="0" applyNumberFormat="1" applyFill="1" applyBorder="1"/>
    <xf numFmtId="2" fontId="0" fillId="0" borderId="1" xfId="1" applyNumberFormat="1" applyFont="1" applyBorder="1" applyAlignment="1">
      <alignment horizontal="center" wrapText="1"/>
    </xf>
    <xf numFmtId="0" fontId="0" fillId="0" borderId="1" xfId="0" applyBorder="1" applyAlignment="1">
      <alignment horizontal="left" vertical="center"/>
    </xf>
    <xf numFmtId="165" fontId="0" fillId="2" borderId="1" xfId="1" applyNumberFormat="1" applyFont="1" applyFill="1" applyBorder="1"/>
    <xf numFmtId="166" fontId="0" fillId="2" borderId="1" xfId="1" applyNumberFormat="1" applyFont="1" applyFill="1" applyBorder="1"/>
    <xf numFmtId="0" fontId="7" fillId="0" borderId="10" xfId="0" applyFont="1" applyBorder="1"/>
    <xf numFmtId="0" fontId="7" fillId="0" borderId="0" xfId="0" applyFont="1"/>
    <xf numFmtId="0" fontId="0" fillId="0" borderId="11" xfId="0" applyBorder="1"/>
    <xf numFmtId="0" fontId="0" fillId="5" borderId="12" xfId="0" applyFill="1" applyBorder="1"/>
    <xf numFmtId="164" fontId="0" fillId="2" borderId="1" xfId="0" applyNumberFormat="1" applyFill="1" applyBorder="1"/>
    <xf numFmtId="9" fontId="8" fillId="0" borderId="0" xfId="2" applyFont="1" applyBorder="1"/>
    <xf numFmtId="0" fontId="0" fillId="5" borderId="1" xfId="0" applyFill="1" applyBorder="1"/>
    <xf numFmtId="0" fontId="0" fillId="5" borderId="13" xfId="0" applyFill="1" applyBorder="1"/>
    <xf numFmtId="0" fontId="0" fillId="2" borderId="13" xfId="0" applyFill="1" applyBorder="1"/>
    <xf numFmtId="0" fontId="0" fillId="2" borderId="12" xfId="0" applyFill="1" applyBorder="1"/>
    <xf numFmtId="9" fontId="0" fillId="5" borderId="1" xfId="0" applyNumberFormat="1" applyFill="1" applyBorder="1"/>
    <xf numFmtId="1" fontId="0" fillId="5" borderId="1" xfId="0" applyNumberFormat="1" applyFill="1" applyBorder="1"/>
    <xf numFmtId="1" fontId="0" fillId="2" borderId="1" xfId="0" applyNumberFormat="1" applyFill="1" applyBorder="1"/>
    <xf numFmtId="0" fontId="0" fillId="5" borderId="14" xfId="0" applyFill="1" applyBorder="1"/>
    <xf numFmtId="1" fontId="0" fillId="5" borderId="14" xfId="0" applyNumberFormat="1" applyFill="1" applyBorder="1"/>
    <xf numFmtId="0" fontId="0" fillId="13" borderId="12" xfId="0" applyFill="1" applyBorder="1"/>
    <xf numFmtId="0" fontId="0" fillId="13" borderId="1" xfId="0" applyFill="1" applyBorder="1"/>
    <xf numFmtId="0" fontId="0" fillId="2" borderId="14" xfId="0" applyFill="1" applyBorder="1"/>
    <xf numFmtId="2" fontId="0" fillId="0" borderId="0" xfId="0" applyNumberFormat="1"/>
    <xf numFmtId="0" fontId="0" fillId="0" borderId="10" xfId="0" applyBorder="1"/>
    <xf numFmtId="0" fontId="0" fillId="0" borderId="15" xfId="0" applyBorder="1"/>
    <xf numFmtId="0" fontId="0" fillId="0" borderId="16" xfId="0" applyBorder="1"/>
    <xf numFmtId="0" fontId="0" fillId="0" borderId="17" xfId="0" applyBorder="1"/>
    <xf numFmtId="1" fontId="0" fillId="0" borderId="0" xfId="0" applyNumberFormat="1"/>
    <xf numFmtId="166" fontId="0" fillId="5" borderId="1" xfId="1" applyNumberFormat="1" applyFont="1" applyFill="1" applyBorder="1"/>
    <xf numFmtId="43" fontId="0" fillId="2" borderId="1" xfId="1" applyFont="1" applyFill="1" applyBorder="1"/>
    <xf numFmtId="43" fontId="0" fillId="5" borderId="1" xfId="0" applyNumberFormat="1" applyFill="1" applyBorder="1"/>
    <xf numFmtId="0" fontId="10" fillId="0" borderId="1" xfId="0" applyFont="1" applyBorder="1" applyAlignment="1">
      <alignment horizontal="center" vertical="center"/>
    </xf>
    <xf numFmtId="0" fontId="11" fillId="0" borderId="1" xfId="0" applyFont="1" applyBorder="1" applyAlignment="1">
      <alignment horizontal="center" vertical="center"/>
    </xf>
    <xf numFmtId="0" fontId="10" fillId="0" borderId="0" xfId="0" applyFont="1"/>
    <xf numFmtId="0" fontId="12" fillId="14" borderId="1" xfId="0" applyFont="1" applyFill="1" applyBorder="1" applyAlignment="1">
      <alignment vertical="center"/>
    </xf>
    <xf numFmtId="0" fontId="12" fillId="15" borderId="1" xfId="0" applyFont="1" applyFill="1" applyBorder="1" applyAlignment="1">
      <alignment horizontal="center" vertical="center"/>
    </xf>
    <xf numFmtId="167" fontId="10" fillId="0" borderId="1" xfId="0" applyNumberFormat="1" applyFont="1" applyBorder="1" applyAlignment="1">
      <alignment horizontal="center" vertical="center"/>
    </xf>
    <xf numFmtId="0" fontId="12" fillId="16" borderId="1" xfId="0" applyFont="1" applyFill="1" applyBorder="1" applyAlignment="1">
      <alignment horizontal="left" vertical="center"/>
    </xf>
    <xf numFmtId="0" fontId="15" fillId="18" borderId="1" xfId="0" applyFont="1" applyFill="1" applyBorder="1" applyAlignment="1">
      <alignment horizontal="center" vertical="center" wrapText="1"/>
    </xf>
    <xf numFmtId="0" fontId="10" fillId="0" borderId="0" xfId="0" applyFont="1" applyAlignment="1">
      <alignment wrapText="1"/>
    </xf>
    <xf numFmtId="0" fontId="10" fillId="0" borderId="1" xfId="0" applyFont="1" applyBorder="1" applyAlignment="1">
      <alignment horizontal="center" vertical="center" wrapText="1"/>
    </xf>
    <xf numFmtId="0" fontId="5" fillId="21" borderId="1" xfId="0" applyFont="1" applyFill="1" applyBorder="1" applyAlignment="1">
      <alignment horizontal="center" vertical="center" wrapText="1"/>
    </xf>
    <xf numFmtId="0" fontId="5" fillId="21" borderId="1" xfId="0" applyFont="1" applyFill="1" applyBorder="1" applyAlignment="1">
      <alignment horizontal="center" wrapText="1"/>
    </xf>
    <xf numFmtId="0" fontId="5" fillId="3" borderId="18" xfId="0" applyFont="1" applyFill="1" applyBorder="1" applyAlignment="1">
      <alignment horizontal="left" vertical="center" wrapText="1"/>
    </xf>
    <xf numFmtId="0" fontId="5" fillId="3" borderId="2" xfId="0" applyFont="1" applyFill="1" applyBorder="1" applyAlignment="1">
      <alignment horizontal="left" vertical="center" wrapText="1"/>
    </xf>
    <xf numFmtId="1" fontId="10" fillId="0" borderId="18" xfId="0" applyNumberFormat="1" applyFont="1" applyBorder="1" applyAlignment="1">
      <alignment horizontal="center" vertical="center"/>
    </xf>
    <xf numFmtId="1" fontId="10" fillId="0" borderId="2" xfId="0" applyNumberFormat="1" applyFont="1" applyBorder="1" applyAlignment="1">
      <alignment horizontal="center" vertical="center"/>
    </xf>
    <xf numFmtId="0" fontId="12" fillId="0" borderId="19" xfId="0" applyFont="1" applyBorder="1" applyAlignment="1">
      <alignment horizontal="left" vertical="center" wrapText="1"/>
    </xf>
    <xf numFmtId="0" fontId="12" fillId="0" borderId="5" xfId="0" applyFont="1" applyBorder="1" applyAlignment="1">
      <alignment horizontal="left" vertical="center" wrapText="1"/>
    </xf>
    <xf numFmtId="0" fontId="12" fillId="0" borderId="4" xfId="0" applyFont="1" applyBorder="1" applyAlignment="1">
      <alignment horizontal="left" vertical="center" wrapText="1"/>
    </xf>
    <xf numFmtId="0" fontId="14" fillId="0" borderId="6" xfId="1" applyNumberFormat="1" applyFont="1" applyFill="1" applyBorder="1" applyAlignment="1">
      <alignment horizontal="left" vertical="center" wrapText="1" readingOrder="1"/>
    </xf>
    <xf numFmtId="0" fontId="14" fillId="0" borderId="14" xfId="1" applyNumberFormat="1" applyFont="1" applyFill="1" applyBorder="1" applyAlignment="1">
      <alignment horizontal="left" vertical="center" wrapText="1" readingOrder="1"/>
    </xf>
    <xf numFmtId="0" fontId="14" fillId="0" borderId="3" xfId="1" applyNumberFormat="1" applyFont="1" applyFill="1" applyBorder="1" applyAlignment="1">
      <alignment horizontal="left" vertical="center" wrapText="1" readingOrder="1"/>
    </xf>
    <xf numFmtId="0" fontId="12" fillId="20" borderId="1" xfId="0" applyFont="1" applyFill="1" applyBorder="1" applyAlignment="1">
      <alignment horizontal="center" vertical="center"/>
    </xf>
    <xf numFmtId="0" fontId="15" fillId="0" borderId="1" xfId="0" applyFont="1" applyBorder="1" applyAlignment="1">
      <alignment horizontal="center" vertical="center"/>
    </xf>
    <xf numFmtId="0" fontId="10" fillId="0" borderId="1" xfId="0" quotePrefix="1" applyFont="1" applyBorder="1" applyAlignment="1">
      <alignment horizontal="left" vertical="center" wrapText="1"/>
    </xf>
    <xf numFmtId="0" fontId="10" fillId="0" borderId="1" xfId="0" applyFont="1" applyBorder="1" applyAlignment="1">
      <alignment horizontal="left" vertical="center"/>
    </xf>
    <xf numFmtId="0" fontId="12" fillId="20" borderId="1" xfId="0" applyFont="1" applyFill="1" applyBorder="1" applyAlignment="1">
      <alignment horizontal="center" vertical="top"/>
    </xf>
    <xf numFmtId="0" fontId="9" fillId="0" borderId="1" xfId="4" applyBorder="1" applyAlignment="1">
      <alignment horizontal="left" vertical="center"/>
    </xf>
    <xf numFmtId="0" fontId="10" fillId="0" borderId="1" xfId="0" applyFont="1" applyBorder="1" applyAlignment="1">
      <alignment horizontal="center" vertical="center"/>
    </xf>
    <xf numFmtId="0" fontId="12" fillId="17" borderId="1" xfId="0" applyFont="1" applyFill="1" applyBorder="1" applyAlignment="1">
      <alignment horizontal="center" vertical="center"/>
    </xf>
    <xf numFmtId="0" fontId="14" fillId="0" borderId="1" xfId="0" applyFont="1" applyBorder="1" applyAlignment="1">
      <alignment horizontal="left" vertical="center" wrapText="1"/>
    </xf>
    <xf numFmtId="0" fontId="15" fillId="18" borderId="1" xfId="0" applyFont="1" applyFill="1" applyBorder="1" applyAlignment="1">
      <alignment horizontal="center" vertical="center" wrapText="1"/>
    </xf>
    <xf numFmtId="0" fontId="15" fillId="19" borderId="1" xfId="0" applyFont="1" applyFill="1" applyBorder="1" applyAlignment="1">
      <alignment horizontal="center" vertical="center" wrapText="1"/>
    </xf>
    <xf numFmtId="0" fontId="12" fillId="16" borderId="1" xfId="0" applyFont="1" applyFill="1" applyBorder="1" applyAlignment="1">
      <alignment horizontal="left" vertical="center"/>
    </xf>
    <xf numFmtId="0" fontId="12" fillId="16" borderId="1" xfId="0" applyFont="1" applyFill="1" applyBorder="1" applyAlignment="1">
      <alignment horizontal="right" vertical="center"/>
    </xf>
    <xf numFmtId="0" fontId="10" fillId="0" borderId="1" xfId="0" quotePrefix="1" applyFont="1" applyBorder="1" applyAlignment="1">
      <alignment horizontal="left" vertical="center"/>
    </xf>
    <xf numFmtId="0" fontId="13" fillId="0" borderId="1" xfId="0" applyFont="1" applyBorder="1" applyAlignment="1">
      <alignment horizontal="center" vertical="center" wrapText="1"/>
    </xf>
    <xf numFmtId="0" fontId="13" fillId="0" borderId="1" xfId="0" applyFont="1" applyBorder="1" applyAlignment="1">
      <alignment horizontal="center" vertical="center"/>
    </xf>
    <xf numFmtId="0" fontId="10" fillId="0" borderId="1" xfId="0" applyFont="1" applyBorder="1" applyAlignment="1">
      <alignment horizontal="left" vertical="center" wrapText="1"/>
    </xf>
    <xf numFmtId="0" fontId="12" fillId="15" borderId="1" xfId="0" applyFont="1" applyFill="1" applyBorder="1" applyAlignment="1">
      <alignment horizontal="center" vertical="center"/>
    </xf>
    <xf numFmtId="0" fontId="5" fillId="3" borderId="1" xfId="0" applyFont="1" applyFill="1" applyBorder="1" applyAlignment="1">
      <alignment horizontal="right" vertical="center" wrapText="1"/>
    </xf>
    <xf numFmtId="0" fontId="1" fillId="6" borderId="1" xfId="0" applyFont="1" applyFill="1" applyBorder="1" applyAlignment="1">
      <alignment horizontal="center" wrapText="1"/>
    </xf>
    <xf numFmtId="0" fontId="1" fillId="7" borderId="1" xfId="0" applyFont="1" applyFill="1" applyBorder="1" applyAlignment="1">
      <alignment horizontal="center" wrapText="1"/>
    </xf>
    <xf numFmtId="0" fontId="1" fillId="9" borderId="1" xfId="0" applyFont="1" applyFill="1" applyBorder="1" applyAlignment="1">
      <alignment horizontal="center" wrapText="1"/>
    </xf>
    <xf numFmtId="0" fontId="0" fillId="0" borderId="1" xfId="0" applyBorder="1" applyAlignment="1">
      <alignment horizontal="right" vertical="center"/>
    </xf>
    <xf numFmtId="0" fontId="0" fillId="0" borderId="1" xfId="0" applyBorder="1" applyAlignment="1">
      <alignment horizontal="right"/>
    </xf>
    <xf numFmtId="0" fontId="0" fillId="11" borderId="1" xfId="0" applyFill="1" applyBorder="1" applyAlignment="1">
      <alignment horizontal="center" vertical="center"/>
    </xf>
    <xf numFmtId="0" fontId="6" fillId="12" borderId="7" xfId="3" applyFont="1" applyFill="1" applyBorder="1" applyAlignment="1">
      <alignment horizontal="center"/>
    </xf>
    <xf numFmtId="0" fontId="6" fillId="12" borderId="8" xfId="3" applyFont="1" applyFill="1" applyBorder="1" applyAlignment="1">
      <alignment horizontal="center"/>
    </xf>
    <xf numFmtId="0" fontId="6" fillId="12" borderId="9" xfId="3" applyFont="1" applyFill="1" applyBorder="1" applyAlignment="1">
      <alignment horizontal="center"/>
    </xf>
  </cellXfs>
  <cellStyles count="5">
    <cellStyle name="Comma" xfId="1" builtinId="3"/>
    <cellStyle name="Hyperlink" xfId="4" builtinId="8"/>
    <cellStyle name="Normal" xfId="0" builtinId="0"/>
    <cellStyle name="Normal 2" xfId="3" xr:uid="{312579D3-FCAB-4566-BC30-64A2FF946AA9}"/>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207460</xdr:colOff>
      <xdr:row>1</xdr:row>
      <xdr:rowOff>80068</xdr:rowOff>
    </xdr:from>
    <xdr:to>
      <xdr:col>3</xdr:col>
      <xdr:colOff>618696</xdr:colOff>
      <xdr:row>1</xdr:row>
      <xdr:rowOff>607786</xdr:rowOff>
    </xdr:to>
    <xdr:pic>
      <xdr:nvPicPr>
        <xdr:cNvPr id="2" name="Picture 1">
          <a:extLst>
            <a:ext uri="{FF2B5EF4-FFF2-40B4-BE49-F238E27FC236}">
              <a16:creationId xmlns:a16="http://schemas.microsoft.com/office/drawing/2014/main" id="{2A9BBD1F-D4F5-4F98-8887-3BCD805DDD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9860" y="238818"/>
          <a:ext cx="2208286" cy="52771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kishor.sharma@axestrack.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513BA-8178-40A7-9F64-5131C2A14475}">
  <sheetPr>
    <tabColor theme="9"/>
  </sheetPr>
  <dimension ref="B2:H37"/>
  <sheetViews>
    <sheetView tabSelected="1" view="pageBreakPreview" topLeftCell="A7" zoomScale="114" zoomScaleNormal="85" zoomScaleSheetLayoutView="114" workbookViewId="0">
      <selection activeCell="H45" sqref="H45"/>
    </sheetView>
  </sheetViews>
  <sheetFormatPr defaultColWidth="8.90625" defaultRowHeight="12.5" x14ac:dyDescent="0.25"/>
  <cols>
    <col min="1" max="1" width="2.1796875" style="67" customWidth="1"/>
    <col min="2" max="2" width="10.90625" style="67" customWidth="1"/>
    <col min="3" max="3" width="14.81640625" style="73" customWidth="1"/>
    <col min="4" max="4" width="14.08984375" style="67" customWidth="1"/>
    <col min="5" max="6" width="7.36328125" style="67" customWidth="1"/>
    <col min="7" max="7" width="1.81640625" style="67" customWidth="1"/>
    <col min="8" max="8" width="34.453125" style="67" customWidth="1"/>
    <col min="9" max="16384" width="8.90625" style="67"/>
  </cols>
  <sheetData>
    <row r="2" spans="2:8" ht="49.75" customHeight="1" x14ac:dyDescent="0.25">
      <c r="B2" s="93"/>
      <c r="C2" s="93"/>
      <c r="D2" s="93"/>
      <c r="E2" s="93"/>
      <c r="F2" s="93"/>
      <c r="G2" s="93"/>
      <c r="H2" s="66" t="s">
        <v>108</v>
      </c>
    </row>
    <row r="3" spans="2:8" ht="57.5" customHeight="1" x14ac:dyDescent="0.25">
      <c r="B3" s="103" t="s">
        <v>109</v>
      </c>
      <c r="C3" s="103"/>
      <c r="D3" s="103"/>
      <c r="E3" s="103"/>
      <c r="F3" s="103"/>
      <c r="G3" s="103"/>
      <c r="H3" s="103"/>
    </row>
    <row r="4" spans="2:8" ht="21.5" customHeight="1" x14ac:dyDescent="0.25">
      <c r="B4" s="68" t="s">
        <v>110</v>
      </c>
      <c r="C4" s="90" t="s">
        <v>111</v>
      </c>
      <c r="D4" s="90"/>
      <c r="E4" s="104" t="s">
        <v>112</v>
      </c>
      <c r="F4" s="104"/>
      <c r="G4" s="104"/>
      <c r="H4" s="69" t="s">
        <v>113</v>
      </c>
    </row>
    <row r="5" spans="2:8" ht="21.5" customHeight="1" x14ac:dyDescent="0.25">
      <c r="B5" s="68" t="s">
        <v>114</v>
      </c>
      <c r="C5" s="90" t="s">
        <v>115</v>
      </c>
      <c r="D5" s="90"/>
      <c r="E5" s="93" t="s">
        <v>116</v>
      </c>
      <c r="F5" s="93"/>
      <c r="G5" s="93"/>
      <c r="H5" s="70">
        <f ca="1">TODAY()</f>
        <v>46127</v>
      </c>
    </row>
    <row r="6" spans="2:8" ht="21.5" customHeight="1" x14ac:dyDescent="0.25">
      <c r="B6" s="68" t="s">
        <v>117</v>
      </c>
      <c r="C6" s="90" t="s">
        <v>118</v>
      </c>
      <c r="D6" s="90"/>
      <c r="E6" s="101" t="s">
        <v>119</v>
      </c>
      <c r="F6" s="101"/>
      <c r="G6" s="101"/>
      <c r="H6" s="102" t="s">
        <v>120</v>
      </c>
    </row>
    <row r="7" spans="2:8" ht="21.5" customHeight="1" x14ac:dyDescent="0.25">
      <c r="B7" s="68" t="s">
        <v>121</v>
      </c>
      <c r="C7" s="100" t="s">
        <v>122</v>
      </c>
      <c r="D7" s="90"/>
      <c r="E7" s="101"/>
      <c r="F7" s="101"/>
      <c r="G7" s="101"/>
      <c r="H7" s="102"/>
    </row>
    <row r="8" spans="2:8" ht="21.5" customHeight="1" x14ac:dyDescent="0.25">
      <c r="B8" s="68" t="s">
        <v>123</v>
      </c>
      <c r="C8" s="90" t="s">
        <v>124</v>
      </c>
      <c r="D8" s="90"/>
      <c r="E8" s="101"/>
      <c r="F8" s="101"/>
      <c r="G8" s="101"/>
      <c r="H8" s="102"/>
    </row>
    <row r="9" spans="2:8" ht="6.65" customHeight="1" x14ac:dyDescent="0.25">
      <c r="B9" s="93"/>
      <c r="C9" s="93"/>
      <c r="D9" s="93"/>
      <c r="E9" s="93"/>
      <c r="F9" s="93"/>
      <c r="G9" s="93"/>
      <c r="H9" s="93"/>
    </row>
    <row r="10" spans="2:8" ht="21.5" customHeight="1" x14ac:dyDescent="0.25">
      <c r="B10" s="98" t="s">
        <v>125</v>
      </c>
      <c r="C10" s="98"/>
      <c r="D10" s="98"/>
      <c r="E10" s="98"/>
      <c r="F10" s="98"/>
      <c r="G10" s="98"/>
      <c r="H10" s="98"/>
    </row>
    <row r="11" spans="2:8" ht="21.5" customHeight="1" x14ac:dyDescent="0.25">
      <c r="B11" s="71" t="s">
        <v>126</v>
      </c>
      <c r="C11" s="90"/>
      <c r="D11" s="90"/>
      <c r="E11" s="90"/>
      <c r="F11" s="90"/>
      <c r="G11" s="90"/>
      <c r="H11" s="90"/>
    </row>
    <row r="12" spans="2:8" ht="21.5" customHeight="1" x14ac:dyDescent="0.25">
      <c r="B12" s="71" t="s">
        <v>127</v>
      </c>
      <c r="C12" s="90"/>
      <c r="D12" s="90"/>
      <c r="E12" s="90"/>
      <c r="F12" s="90"/>
      <c r="G12" s="90"/>
      <c r="H12" s="90"/>
    </row>
    <row r="13" spans="2:8" ht="21.5" customHeight="1" x14ac:dyDescent="0.25">
      <c r="B13" s="71" t="s">
        <v>117</v>
      </c>
      <c r="C13" s="90"/>
      <c r="D13" s="90"/>
      <c r="E13" s="99" t="s">
        <v>121</v>
      </c>
      <c r="F13" s="99"/>
      <c r="G13" s="100"/>
      <c r="H13" s="90"/>
    </row>
    <row r="14" spans="2:8" ht="21.5" customHeight="1" x14ac:dyDescent="0.25">
      <c r="B14" s="71" t="s">
        <v>123</v>
      </c>
      <c r="C14" s="92"/>
      <c r="D14" s="90"/>
      <c r="E14" s="90"/>
      <c r="F14" s="90"/>
      <c r="G14" s="90"/>
      <c r="H14" s="90"/>
    </row>
    <row r="15" spans="2:8" ht="6.65" customHeight="1" x14ac:dyDescent="0.25">
      <c r="B15" s="93"/>
      <c r="C15" s="93"/>
      <c r="D15" s="93"/>
      <c r="E15" s="93"/>
      <c r="F15" s="93"/>
      <c r="G15" s="93"/>
      <c r="H15" s="93"/>
    </row>
    <row r="16" spans="2:8" ht="21.5" customHeight="1" x14ac:dyDescent="0.25">
      <c r="B16" s="94" t="s">
        <v>128</v>
      </c>
      <c r="C16" s="94"/>
      <c r="D16" s="94"/>
      <c r="E16" s="94"/>
      <c r="F16" s="94"/>
      <c r="G16" s="94"/>
      <c r="H16" s="94"/>
    </row>
    <row r="17" spans="2:8" ht="57.5" customHeight="1" x14ac:dyDescent="0.25">
      <c r="B17" s="95" t="s">
        <v>129</v>
      </c>
      <c r="C17" s="95"/>
      <c r="D17" s="95"/>
      <c r="E17" s="95"/>
      <c r="F17" s="95"/>
      <c r="G17" s="95"/>
      <c r="H17" s="95"/>
    </row>
    <row r="18" spans="2:8" s="73" customFormat="1" ht="30.5" customHeight="1" x14ac:dyDescent="0.25">
      <c r="B18" s="72" t="s">
        <v>130</v>
      </c>
      <c r="C18" s="96" t="s">
        <v>138</v>
      </c>
      <c r="D18" s="96"/>
      <c r="E18" s="72" t="s">
        <v>131</v>
      </c>
      <c r="F18" s="97" t="s">
        <v>132</v>
      </c>
      <c r="G18" s="97"/>
      <c r="H18" s="72" t="s">
        <v>133</v>
      </c>
    </row>
    <row r="19" spans="2:8" ht="48" customHeight="1" x14ac:dyDescent="0.25">
      <c r="B19" s="81" t="s">
        <v>153</v>
      </c>
      <c r="C19" s="82"/>
      <c r="D19" s="82"/>
      <c r="E19" s="82"/>
      <c r="F19" s="82"/>
      <c r="G19" s="82"/>
      <c r="H19" s="83"/>
    </row>
    <row r="20" spans="2:8" ht="20.5" customHeight="1" x14ac:dyDescent="0.25">
      <c r="B20" s="65">
        <v>1</v>
      </c>
      <c r="C20" s="77" t="s">
        <v>1</v>
      </c>
      <c r="D20" s="78"/>
      <c r="E20" s="74" t="s">
        <v>58</v>
      </c>
      <c r="F20" s="79">
        <f>'KPL Meghnagar MP'!H14</f>
        <v>357.95456790123455</v>
      </c>
      <c r="G20" s="80"/>
      <c r="H20" s="84" t="s">
        <v>134</v>
      </c>
    </row>
    <row r="21" spans="2:8" ht="20.5" customHeight="1" x14ac:dyDescent="0.25">
      <c r="B21" s="65">
        <v>2</v>
      </c>
      <c r="C21" s="77" t="s">
        <v>2</v>
      </c>
      <c r="D21" s="78"/>
      <c r="E21" s="74" t="s">
        <v>58</v>
      </c>
      <c r="F21" s="79">
        <f>'MBAPL-Saugor(MP)'!H14</f>
        <v>398.41910920488289</v>
      </c>
      <c r="G21" s="80"/>
      <c r="H21" s="85"/>
    </row>
    <row r="22" spans="2:8" ht="20.5" customHeight="1" x14ac:dyDescent="0.25">
      <c r="B22" s="65">
        <v>3</v>
      </c>
      <c r="C22" s="77" t="s">
        <v>3</v>
      </c>
      <c r="D22" s="78"/>
      <c r="E22" s="74" t="s">
        <v>58</v>
      </c>
      <c r="F22" s="79">
        <f>'MBAPL-Dhule (MH)'!H14</f>
        <v>481.1733333333334</v>
      </c>
      <c r="G22" s="80"/>
      <c r="H22" s="85"/>
    </row>
    <row r="23" spans="2:8" ht="20.5" customHeight="1" x14ac:dyDescent="0.25">
      <c r="B23" s="65">
        <v>4</v>
      </c>
      <c r="C23" s="77" t="s">
        <v>4</v>
      </c>
      <c r="D23" s="78"/>
      <c r="E23" s="74" t="s">
        <v>58</v>
      </c>
      <c r="F23" s="79">
        <f>'OPIL Rajasthan BHL'!H14</f>
        <v>688.60790560471969</v>
      </c>
      <c r="G23" s="80"/>
      <c r="H23" s="85"/>
    </row>
    <row r="24" spans="2:8" ht="20.5" customHeight="1" x14ac:dyDescent="0.25">
      <c r="B24" s="65">
        <v>5</v>
      </c>
      <c r="C24" s="77" t="s">
        <v>5</v>
      </c>
      <c r="D24" s="78"/>
      <c r="E24" s="74" t="s">
        <v>58</v>
      </c>
      <c r="F24" s="79">
        <f>'SGFL Kapasan Rajasthan'!H14</f>
        <v>795.76761904761895</v>
      </c>
      <c r="G24" s="80"/>
      <c r="H24" s="85"/>
    </row>
    <row r="25" spans="2:8" ht="20.5" customHeight="1" x14ac:dyDescent="0.25">
      <c r="B25" s="65">
        <v>6</v>
      </c>
      <c r="C25" s="77" t="s">
        <v>6</v>
      </c>
      <c r="D25" s="78"/>
      <c r="E25" s="74" t="s">
        <v>58</v>
      </c>
      <c r="F25" s="79">
        <f>'Imported Fertilizers (Kandla)'!H14</f>
        <v>476.45333333333332</v>
      </c>
      <c r="G25" s="80"/>
      <c r="H25" s="86"/>
    </row>
    <row r="26" spans="2:8" ht="33.5" customHeight="1" x14ac:dyDescent="0.25">
      <c r="B26" s="81" t="s">
        <v>154</v>
      </c>
      <c r="C26" s="82"/>
      <c r="D26" s="82"/>
      <c r="E26" s="82"/>
      <c r="F26" s="82"/>
      <c r="G26" s="82"/>
      <c r="H26" s="83"/>
    </row>
    <row r="27" spans="2:8" ht="20.5" customHeight="1" x14ac:dyDescent="0.25">
      <c r="B27" s="65">
        <v>1</v>
      </c>
      <c r="C27" s="77" t="s">
        <v>1</v>
      </c>
      <c r="D27" s="78"/>
      <c r="E27" s="74" t="s">
        <v>58</v>
      </c>
      <c r="F27" s="79">
        <f>'KPL Meghnagar MP'!H33</f>
        <v>161.38049382716048</v>
      </c>
      <c r="G27" s="80"/>
      <c r="H27" s="84" t="s">
        <v>139</v>
      </c>
    </row>
    <row r="28" spans="2:8" ht="20.5" customHeight="1" x14ac:dyDescent="0.25">
      <c r="B28" s="65">
        <v>2</v>
      </c>
      <c r="C28" s="77" t="s">
        <v>2</v>
      </c>
      <c r="D28" s="78"/>
      <c r="E28" s="74" t="s">
        <v>58</v>
      </c>
      <c r="F28" s="79">
        <f>'MBAPL-Saugor(MP)'!H33</f>
        <v>164.07125921038161</v>
      </c>
      <c r="G28" s="80"/>
      <c r="H28" s="85"/>
    </row>
    <row r="29" spans="2:8" ht="20.5" customHeight="1" x14ac:dyDescent="0.25">
      <c r="B29" s="65">
        <v>3</v>
      </c>
      <c r="C29" s="77" t="s">
        <v>3</v>
      </c>
      <c r="D29" s="78"/>
      <c r="E29" s="74" t="s">
        <v>58</v>
      </c>
      <c r="F29" s="79">
        <f>'MBAPL-Dhule (MH)'!H33</f>
        <v>171.45333333333332</v>
      </c>
      <c r="G29" s="80"/>
      <c r="H29" s="85"/>
    </row>
    <row r="30" spans="2:8" ht="20.5" customHeight="1" x14ac:dyDescent="0.25">
      <c r="B30" s="65">
        <v>4</v>
      </c>
      <c r="C30" s="77" t="s">
        <v>4</v>
      </c>
      <c r="D30" s="78"/>
      <c r="E30" s="74" t="s">
        <v>58</v>
      </c>
      <c r="F30" s="79">
        <f>'OPIL Rajasthan BHL'!H33</f>
        <v>215.52530973451326</v>
      </c>
      <c r="G30" s="80"/>
      <c r="H30" s="85"/>
    </row>
    <row r="31" spans="2:8" ht="20.5" customHeight="1" x14ac:dyDescent="0.25">
      <c r="B31" s="65">
        <v>5</v>
      </c>
      <c r="C31" s="77" t="s">
        <v>5</v>
      </c>
      <c r="D31" s="78"/>
      <c r="E31" s="74" t="s">
        <v>58</v>
      </c>
      <c r="F31" s="79">
        <f>'SGFL Kapasan Rajasthan'!H33</f>
        <v>228.26761904761904</v>
      </c>
      <c r="G31" s="80"/>
      <c r="H31" s="85"/>
    </row>
    <row r="32" spans="2:8" ht="20.5" customHeight="1" x14ac:dyDescent="0.25">
      <c r="B32" s="65">
        <v>6</v>
      </c>
      <c r="C32" s="77" t="s">
        <v>6</v>
      </c>
      <c r="D32" s="78"/>
      <c r="E32" s="74" t="s">
        <v>58</v>
      </c>
      <c r="F32" s="79">
        <f>'Imported Fertilizers (Kandla)'!H33</f>
        <v>175.55333333333334</v>
      </c>
      <c r="G32" s="80"/>
      <c r="H32" s="86"/>
    </row>
    <row r="33" spans="2:8" ht="21.5" customHeight="1" x14ac:dyDescent="0.25">
      <c r="B33" s="87" t="s">
        <v>135</v>
      </c>
      <c r="C33" s="87"/>
      <c r="D33" s="87"/>
      <c r="E33" s="87"/>
      <c r="F33" s="87"/>
      <c r="G33" s="87"/>
      <c r="H33" s="87"/>
    </row>
    <row r="34" spans="2:8" ht="6.65" customHeight="1" x14ac:dyDescent="0.25">
      <c r="B34" s="88"/>
      <c r="C34" s="88"/>
      <c r="D34" s="88"/>
      <c r="E34" s="88"/>
      <c r="F34" s="88"/>
      <c r="G34" s="88"/>
      <c r="H34" s="88"/>
    </row>
    <row r="35" spans="2:8" ht="21.5" customHeight="1" x14ac:dyDescent="0.25">
      <c r="B35" s="87" t="s">
        <v>136</v>
      </c>
      <c r="C35" s="87"/>
      <c r="D35" s="87"/>
      <c r="E35" s="87"/>
      <c r="F35" s="87"/>
      <c r="G35" s="87"/>
      <c r="H35" s="87"/>
    </row>
    <row r="36" spans="2:8" ht="409.25" customHeight="1" x14ac:dyDescent="0.25">
      <c r="B36" s="89" t="s">
        <v>155</v>
      </c>
      <c r="C36" s="90"/>
      <c r="D36" s="90"/>
      <c r="E36" s="90"/>
      <c r="F36" s="90"/>
      <c r="G36" s="90"/>
      <c r="H36" s="90"/>
    </row>
    <row r="37" spans="2:8" ht="21.5" customHeight="1" x14ac:dyDescent="0.25">
      <c r="B37" s="91" t="s">
        <v>137</v>
      </c>
      <c r="C37" s="91"/>
      <c r="D37" s="91"/>
      <c r="E37" s="91"/>
      <c r="F37" s="91"/>
      <c r="G37" s="91"/>
      <c r="H37" s="91"/>
    </row>
  </sheetData>
  <mergeCells count="57">
    <mergeCell ref="B9:H9"/>
    <mergeCell ref="B2:G2"/>
    <mergeCell ref="B3:H3"/>
    <mergeCell ref="C4:D4"/>
    <mergeCell ref="E4:G4"/>
    <mergeCell ref="C5:D5"/>
    <mergeCell ref="E5:G5"/>
    <mergeCell ref="C6:D6"/>
    <mergeCell ref="E6:G8"/>
    <mergeCell ref="H6:H8"/>
    <mergeCell ref="C7:D7"/>
    <mergeCell ref="C8:D8"/>
    <mergeCell ref="B10:H10"/>
    <mergeCell ref="C11:H11"/>
    <mergeCell ref="C12:H12"/>
    <mergeCell ref="C13:D13"/>
    <mergeCell ref="E13:F13"/>
    <mergeCell ref="G13:H13"/>
    <mergeCell ref="C14:H14"/>
    <mergeCell ref="B15:H15"/>
    <mergeCell ref="B16:H16"/>
    <mergeCell ref="B17:H17"/>
    <mergeCell ref="C18:D18"/>
    <mergeCell ref="F18:G18"/>
    <mergeCell ref="B33:H33"/>
    <mergeCell ref="B34:H34"/>
    <mergeCell ref="B35:H35"/>
    <mergeCell ref="B36:H36"/>
    <mergeCell ref="B37:H37"/>
    <mergeCell ref="C22:D22"/>
    <mergeCell ref="F22:G22"/>
    <mergeCell ref="H20:H25"/>
    <mergeCell ref="B19:H19"/>
    <mergeCell ref="C25:D25"/>
    <mergeCell ref="F25:G25"/>
    <mergeCell ref="C20:D20"/>
    <mergeCell ref="F20:G20"/>
    <mergeCell ref="C24:D24"/>
    <mergeCell ref="F24:G24"/>
    <mergeCell ref="C21:D21"/>
    <mergeCell ref="F21:G21"/>
    <mergeCell ref="C23:D23"/>
    <mergeCell ref="F23:G23"/>
    <mergeCell ref="C32:D32"/>
    <mergeCell ref="F32:G32"/>
    <mergeCell ref="B26:H26"/>
    <mergeCell ref="C27:D27"/>
    <mergeCell ref="F27:G27"/>
    <mergeCell ref="H27:H32"/>
    <mergeCell ref="C28:D28"/>
    <mergeCell ref="F28:G28"/>
    <mergeCell ref="C29:D29"/>
    <mergeCell ref="F29:G29"/>
    <mergeCell ref="C30:D30"/>
    <mergeCell ref="F30:G30"/>
    <mergeCell ref="C31:D31"/>
    <mergeCell ref="F31:G31"/>
  </mergeCells>
  <hyperlinks>
    <hyperlink ref="C8" r:id="rId1" xr:uid="{307E7CDF-A834-4FAB-8D43-38E6F84D598A}"/>
  </hyperlinks>
  <pageMargins left="0.25" right="0.25" top="0.75" bottom="0.75" header="0.3" footer="0.3"/>
  <pageSetup paperSize="9" scale="90" orientation="portrait" r:id="rId2"/>
  <rowBreaks count="1" manualBreakCount="1">
    <brk id="34" max="16383" man="1"/>
  </row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23"/>
  <sheetViews>
    <sheetView topLeftCell="B1" zoomScale="89" workbookViewId="0">
      <selection activeCell="D10" sqref="D10:E12"/>
    </sheetView>
  </sheetViews>
  <sheetFormatPr defaultRowHeight="14.5" x14ac:dyDescent="0.35"/>
  <cols>
    <col min="2" max="2" width="35.36328125" customWidth="1"/>
    <col min="3" max="3" width="14.1796875" bestFit="1" customWidth="1"/>
    <col min="4" max="4" width="12.90625" customWidth="1"/>
    <col min="5" max="5" width="18.08984375" bestFit="1" customWidth="1"/>
    <col min="6" max="6" width="17.6328125" bestFit="1" customWidth="1"/>
    <col min="7" max="7" width="17.54296875" bestFit="1" customWidth="1"/>
    <col min="8" max="8" width="21.6328125" bestFit="1" customWidth="1"/>
    <col min="9" max="9" width="27.6328125" customWidth="1"/>
    <col min="10" max="10" width="8" bestFit="1" customWidth="1"/>
    <col min="11" max="11" width="10.54296875" bestFit="1" customWidth="1"/>
  </cols>
  <sheetData>
    <row r="2" spans="2:11" ht="43.5" x14ac:dyDescent="0.35">
      <c r="B2" s="1"/>
      <c r="C2" s="1" t="s">
        <v>0</v>
      </c>
      <c r="D2" s="2" t="s">
        <v>1</v>
      </c>
      <c r="E2" s="1" t="s">
        <v>2</v>
      </c>
      <c r="F2" s="1" t="s">
        <v>3</v>
      </c>
      <c r="G2" s="1" t="s">
        <v>4</v>
      </c>
      <c r="H2" s="1" t="s">
        <v>5</v>
      </c>
      <c r="I2" s="5" t="s">
        <v>6</v>
      </c>
      <c r="J2" s="1" t="s">
        <v>7</v>
      </c>
      <c r="K2" s="1" t="s">
        <v>8</v>
      </c>
    </row>
    <row r="3" spans="2:11" x14ac:dyDescent="0.35">
      <c r="B3" s="3" t="s">
        <v>9</v>
      </c>
      <c r="C3" s="3" t="s">
        <v>10</v>
      </c>
      <c r="D3" s="3">
        <v>400000</v>
      </c>
      <c r="E3" s="3">
        <f>124200+41400+139650+41400</f>
        <v>346650</v>
      </c>
      <c r="F3" s="3">
        <v>200000</v>
      </c>
      <c r="G3" s="3"/>
      <c r="H3" s="3"/>
      <c r="I3" s="3">
        <v>200000</v>
      </c>
      <c r="J3" s="3">
        <f>SUM(D3:I3)</f>
        <v>1146650</v>
      </c>
      <c r="K3" s="4">
        <f>J3/40</f>
        <v>28666.25</v>
      </c>
    </row>
    <row r="4" spans="2:11" x14ac:dyDescent="0.35">
      <c r="B4" s="3" t="s">
        <v>11</v>
      </c>
      <c r="C4" s="3" t="s">
        <v>12</v>
      </c>
      <c r="D4" s="3">
        <v>150000</v>
      </c>
      <c r="E4" s="3"/>
      <c r="F4" s="3"/>
      <c r="G4" s="3"/>
      <c r="H4" s="3"/>
      <c r="I4" s="3"/>
      <c r="J4" s="3">
        <f t="shared" ref="J4:J12" si="0">SUM(D4:I4)</f>
        <v>150000</v>
      </c>
      <c r="K4" s="3">
        <f t="shared" ref="K4:K12" si="1">J4/40</f>
        <v>3750</v>
      </c>
    </row>
    <row r="5" spans="2:11" x14ac:dyDescent="0.35">
      <c r="B5" s="3" t="s">
        <v>13</v>
      </c>
      <c r="C5" s="3" t="s">
        <v>12</v>
      </c>
      <c r="D5" s="3"/>
      <c r="E5" s="3">
        <v>40000</v>
      </c>
      <c r="F5" s="3"/>
      <c r="G5" s="3"/>
      <c r="H5" s="3"/>
      <c r="I5" s="3"/>
      <c r="J5" s="3">
        <f t="shared" si="0"/>
        <v>40000</v>
      </c>
      <c r="K5" s="3">
        <f t="shared" si="1"/>
        <v>1000</v>
      </c>
    </row>
    <row r="6" spans="2:11" x14ac:dyDescent="0.35">
      <c r="B6" s="3" t="s">
        <v>14</v>
      </c>
      <c r="C6" s="3"/>
      <c r="D6" s="3">
        <v>3000</v>
      </c>
      <c r="E6" s="3"/>
      <c r="F6" s="3"/>
      <c r="G6" s="3">
        <v>67800</v>
      </c>
      <c r="H6" s="3">
        <v>56000</v>
      </c>
      <c r="I6" s="3"/>
      <c r="J6" s="3">
        <f t="shared" si="0"/>
        <v>126800</v>
      </c>
      <c r="K6" s="3">
        <f t="shared" si="1"/>
        <v>3170</v>
      </c>
    </row>
    <row r="7" spans="2:11" x14ac:dyDescent="0.35">
      <c r="B7" s="1" t="s">
        <v>7</v>
      </c>
      <c r="C7" s="1"/>
      <c r="D7" s="1">
        <f t="shared" ref="D7:I7" si="2">SUM(D3:D6)</f>
        <v>553000</v>
      </c>
      <c r="E7" s="1">
        <f t="shared" si="2"/>
        <v>386650</v>
      </c>
      <c r="F7" s="1">
        <f t="shared" si="2"/>
        <v>200000</v>
      </c>
      <c r="G7" s="1">
        <f t="shared" si="2"/>
        <v>67800</v>
      </c>
      <c r="H7" s="1">
        <f t="shared" si="2"/>
        <v>56000</v>
      </c>
      <c r="I7" s="1">
        <f t="shared" si="2"/>
        <v>200000</v>
      </c>
      <c r="J7" s="3">
        <f t="shared" si="0"/>
        <v>1463450</v>
      </c>
      <c r="K7" s="4">
        <f t="shared" si="1"/>
        <v>36586.25</v>
      </c>
    </row>
    <row r="8" spans="2:11" x14ac:dyDescent="0.35">
      <c r="B8" s="3"/>
      <c r="C8" s="3"/>
      <c r="D8" s="3"/>
      <c r="E8" s="3"/>
      <c r="F8" s="3"/>
      <c r="G8" s="3"/>
      <c r="H8" s="3"/>
      <c r="I8" s="3"/>
      <c r="J8" s="3">
        <f t="shared" si="0"/>
        <v>0</v>
      </c>
      <c r="K8" s="3"/>
    </row>
    <row r="9" spans="2:11" x14ac:dyDescent="0.35">
      <c r="B9" s="3" t="s">
        <v>15</v>
      </c>
      <c r="C9" s="3" t="s">
        <v>10</v>
      </c>
      <c r="D9" s="3">
        <v>60000</v>
      </c>
      <c r="E9" s="3">
        <v>30000</v>
      </c>
      <c r="F9" s="3">
        <v>50000</v>
      </c>
      <c r="G9" s="3"/>
      <c r="H9" s="3"/>
      <c r="I9" s="3"/>
      <c r="J9" s="3">
        <f t="shared" si="0"/>
        <v>140000</v>
      </c>
      <c r="K9" s="3">
        <f t="shared" si="1"/>
        <v>3500</v>
      </c>
    </row>
    <row r="10" spans="2:11" x14ac:dyDescent="0.35">
      <c r="B10" s="3" t="s">
        <v>16</v>
      </c>
      <c r="C10" s="3" t="s">
        <v>10</v>
      </c>
      <c r="D10" s="3">
        <v>30000</v>
      </c>
      <c r="E10" s="3"/>
      <c r="F10" s="3"/>
      <c r="G10" s="3"/>
      <c r="H10" s="3"/>
      <c r="I10" s="3"/>
      <c r="J10" s="3">
        <f t="shared" si="0"/>
        <v>30000</v>
      </c>
      <c r="K10" s="3">
        <f t="shared" si="1"/>
        <v>750</v>
      </c>
    </row>
    <row r="11" spans="2:11" x14ac:dyDescent="0.35">
      <c r="B11" s="3" t="s">
        <v>17</v>
      </c>
      <c r="C11" s="3" t="s">
        <v>10</v>
      </c>
      <c r="D11" s="3"/>
      <c r="E11" s="3">
        <v>20000</v>
      </c>
      <c r="F11" s="3"/>
      <c r="G11" s="3"/>
      <c r="H11" s="3"/>
      <c r="I11" s="3"/>
      <c r="J11" s="3">
        <f t="shared" si="0"/>
        <v>20000</v>
      </c>
      <c r="K11" s="3">
        <f t="shared" si="1"/>
        <v>500</v>
      </c>
    </row>
    <row r="12" spans="2:11" x14ac:dyDescent="0.35">
      <c r="B12" s="3" t="s">
        <v>18</v>
      </c>
      <c r="C12" s="3" t="s">
        <v>10</v>
      </c>
      <c r="D12" s="3">
        <v>5000</v>
      </c>
      <c r="E12" s="3">
        <v>18000</v>
      </c>
      <c r="F12" s="3"/>
      <c r="G12" s="3"/>
      <c r="H12" s="3"/>
      <c r="I12" s="3"/>
      <c r="J12" s="3">
        <f t="shared" si="0"/>
        <v>23000</v>
      </c>
      <c r="K12" s="3">
        <f t="shared" si="1"/>
        <v>575</v>
      </c>
    </row>
    <row r="13" spans="2:11" x14ac:dyDescent="0.35">
      <c r="B13" s="1" t="s">
        <v>7</v>
      </c>
      <c r="C13" s="1"/>
      <c r="D13" s="1">
        <f>SUM(D9:D12)</f>
        <v>95000</v>
      </c>
      <c r="E13" s="1">
        <f>SUM(E9:E12)</f>
        <v>68000</v>
      </c>
      <c r="F13" s="1">
        <f>SUM(F9:F12)</f>
        <v>50000</v>
      </c>
      <c r="G13" s="1"/>
      <c r="H13" s="1"/>
      <c r="I13" s="1"/>
      <c r="J13" s="1"/>
      <c r="K13" s="1">
        <f>SUM(K9:K12)</f>
        <v>5325</v>
      </c>
    </row>
    <row r="15" spans="2:11" x14ac:dyDescent="0.35">
      <c r="C15" s="6" t="s">
        <v>19</v>
      </c>
      <c r="D15" s="6" t="s">
        <v>20</v>
      </c>
    </row>
    <row r="16" spans="2:11" x14ac:dyDescent="0.35">
      <c r="C16" s="7" t="s">
        <v>21</v>
      </c>
      <c r="D16" s="7" t="s">
        <v>22</v>
      </c>
    </row>
    <row r="17" spans="3:4" x14ac:dyDescent="0.35">
      <c r="C17" s="7" t="s">
        <v>21</v>
      </c>
      <c r="D17" s="7" t="s">
        <v>23</v>
      </c>
    </row>
    <row r="18" spans="3:4" x14ac:dyDescent="0.35">
      <c r="C18" s="7" t="s">
        <v>21</v>
      </c>
      <c r="D18" s="7" t="s">
        <v>24</v>
      </c>
    </row>
    <row r="19" spans="3:4" x14ac:dyDescent="0.35">
      <c r="C19" s="7" t="s">
        <v>21</v>
      </c>
      <c r="D19" s="7" t="s">
        <v>25</v>
      </c>
    </row>
    <row r="20" spans="3:4" x14ac:dyDescent="0.35">
      <c r="C20" s="7" t="s">
        <v>26</v>
      </c>
      <c r="D20" s="7" t="s">
        <v>27</v>
      </c>
    </row>
    <row r="21" spans="3:4" x14ac:dyDescent="0.35">
      <c r="C21" s="7" t="s">
        <v>26</v>
      </c>
      <c r="D21" s="7" t="s">
        <v>28</v>
      </c>
    </row>
    <row r="22" spans="3:4" x14ac:dyDescent="0.35">
      <c r="C22" s="7" t="s">
        <v>26</v>
      </c>
      <c r="D22" s="7" t="s">
        <v>29</v>
      </c>
    </row>
    <row r="23" spans="3:4" x14ac:dyDescent="0.35">
      <c r="C23" s="7" t="s">
        <v>26</v>
      </c>
      <c r="D23" s="7" t="s">
        <v>30</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5F063-D841-4EA9-8444-5DB32E38F4F4}">
  <dimension ref="A1:F17"/>
  <sheetViews>
    <sheetView workbookViewId="0">
      <selection activeCell="D16" sqref="D16"/>
    </sheetView>
  </sheetViews>
  <sheetFormatPr defaultRowHeight="14.5" x14ac:dyDescent="0.35"/>
  <cols>
    <col min="1" max="1" width="29.7265625" customWidth="1"/>
    <col min="2" max="3" width="16.54296875" customWidth="1"/>
    <col min="4" max="4" width="30.81640625" customWidth="1"/>
    <col min="5" max="6" width="16.54296875" customWidth="1"/>
  </cols>
  <sheetData>
    <row r="1" spans="1:6" ht="29" x14ac:dyDescent="0.35">
      <c r="A1" s="8" t="s">
        <v>31</v>
      </c>
      <c r="B1" s="9" t="s">
        <v>32</v>
      </c>
      <c r="C1" s="9" t="s">
        <v>33</v>
      </c>
      <c r="D1" s="9" t="s">
        <v>34</v>
      </c>
      <c r="E1" s="9" t="s">
        <v>35</v>
      </c>
      <c r="F1" s="9" t="s">
        <v>36</v>
      </c>
    </row>
    <row r="2" spans="1:6" x14ac:dyDescent="0.35">
      <c r="A2" s="10" t="s">
        <v>24</v>
      </c>
      <c r="B2" s="11">
        <v>27</v>
      </c>
      <c r="C2" s="11">
        <v>3</v>
      </c>
      <c r="D2" s="11" t="s">
        <v>1</v>
      </c>
      <c r="E2" s="11">
        <v>52</v>
      </c>
      <c r="F2" s="11">
        <v>3</v>
      </c>
    </row>
    <row r="3" spans="1:6" x14ac:dyDescent="0.35">
      <c r="A3" s="10" t="s">
        <v>22</v>
      </c>
      <c r="B3" s="11">
        <v>27</v>
      </c>
      <c r="C3" s="11">
        <v>3</v>
      </c>
      <c r="D3" s="11" t="s">
        <v>2</v>
      </c>
      <c r="E3" s="11">
        <v>36</v>
      </c>
      <c r="F3" s="11">
        <v>3</v>
      </c>
    </row>
    <row r="4" spans="1:6" x14ac:dyDescent="0.35">
      <c r="A4" s="10" t="s">
        <v>37</v>
      </c>
      <c r="B4" s="11">
        <v>27</v>
      </c>
      <c r="C4" s="11">
        <v>3</v>
      </c>
      <c r="D4" s="11" t="s">
        <v>3</v>
      </c>
      <c r="E4" s="11">
        <v>21</v>
      </c>
      <c r="F4" s="11">
        <v>3</v>
      </c>
    </row>
    <row r="5" spans="1:6" x14ac:dyDescent="0.35">
      <c r="A5" s="10" t="s">
        <v>38</v>
      </c>
      <c r="B5" s="11">
        <v>10</v>
      </c>
      <c r="C5" s="11">
        <v>2</v>
      </c>
      <c r="D5" s="11" t="s">
        <v>4</v>
      </c>
      <c r="E5" s="11">
        <v>5</v>
      </c>
      <c r="F5" s="11">
        <v>1</v>
      </c>
    </row>
    <row r="6" spans="1:6" x14ac:dyDescent="0.35">
      <c r="A6" s="10" t="s">
        <v>39</v>
      </c>
      <c r="B6" s="11">
        <v>3</v>
      </c>
      <c r="C6" s="11">
        <v>1</v>
      </c>
      <c r="D6" s="11" t="s">
        <v>5</v>
      </c>
      <c r="E6" s="11">
        <v>4</v>
      </c>
      <c r="F6" s="11">
        <v>1</v>
      </c>
    </row>
    <row r="7" spans="1:6" x14ac:dyDescent="0.35">
      <c r="A7" s="10" t="s">
        <v>40</v>
      </c>
      <c r="B7" s="11">
        <v>9</v>
      </c>
      <c r="C7" s="11">
        <v>2</v>
      </c>
      <c r="D7" s="11" t="s">
        <v>6</v>
      </c>
      <c r="E7" s="11">
        <v>14</v>
      </c>
      <c r="F7" s="11">
        <v>2</v>
      </c>
    </row>
    <row r="8" spans="1:6" x14ac:dyDescent="0.35">
      <c r="A8" s="10" t="s">
        <v>41</v>
      </c>
      <c r="B8" s="11">
        <v>5</v>
      </c>
      <c r="C8" s="11">
        <v>1</v>
      </c>
      <c r="D8" s="11"/>
      <c r="E8" s="11"/>
      <c r="F8" s="11"/>
    </row>
    <row r="9" spans="1:6" x14ac:dyDescent="0.35">
      <c r="A9" s="10" t="s">
        <v>42</v>
      </c>
      <c r="B9" s="11">
        <v>5</v>
      </c>
      <c r="C9" s="11">
        <v>1</v>
      </c>
      <c r="D9" s="11"/>
      <c r="E9" s="11"/>
      <c r="F9" s="11"/>
    </row>
    <row r="10" spans="1:6" x14ac:dyDescent="0.35">
      <c r="A10" s="10" t="s">
        <v>43</v>
      </c>
      <c r="B10" s="11">
        <v>2</v>
      </c>
      <c r="C10" s="11">
        <v>1</v>
      </c>
      <c r="D10" s="11"/>
      <c r="E10" s="11"/>
      <c r="F10" s="11"/>
    </row>
    <row r="11" spans="1:6" x14ac:dyDescent="0.35">
      <c r="A11" s="10" t="s">
        <v>44</v>
      </c>
      <c r="B11" s="11">
        <v>1</v>
      </c>
      <c r="C11" s="11">
        <v>1</v>
      </c>
      <c r="D11" s="11"/>
      <c r="E11" s="11"/>
      <c r="F11" s="11"/>
    </row>
    <row r="12" spans="1:6" x14ac:dyDescent="0.35">
      <c r="A12" s="10" t="s">
        <v>45</v>
      </c>
      <c r="B12" s="11">
        <v>2</v>
      </c>
      <c r="C12" s="11">
        <v>1</v>
      </c>
      <c r="D12" s="11"/>
      <c r="E12" s="11"/>
      <c r="F12" s="11"/>
    </row>
    <row r="13" spans="1:6" x14ac:dyDescent="0.35">
      <c r="A13" s="12" t="s">
        <v>46</v>
      </c>
      <c r="B13" s="13">
        <v>118</v>
      </c>
      <c r="C13" s="13">
        <v>19</v>
      </c>
      <c r="D13" s="13"/>
      <c r="E13" s="13">
        <v>131</v>
      </c>
      <c r="F13" s="13">
        <v>13</v>
      </c>
    </row>
    <row r="15" spans="1:6" x14ac:dyDescent="0.35">
      <c r="A15" s="75" t="s">
        <v>99</v>
      </c>
      <c r="B15" s="76">
        <v>3</v>
      </c>
    </row>
    <row r="16" spans="1:6" x14ac:dyDescent="0.35">
      <c r="A16" s="75" t="s">
        <v>100</v>
      </c>
      <c r="B16" s="76">
        <v>3</v>
      </c>
    </row>
    <row r="17" spans="1:2" x14ac:dyDescent="0.35">
      <c r="A17" s="75" t="s">
        <v>101</v>
      </c>
      <c r="B17" s="76">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871C2-CCA9-4F85-8DEA-B346AB86BC2B}">
  <dimension ref="A1:W17"/>
  <sheetViews>
    <sheetView zoomScaleNormal="100" workbookViewId="0">
      <selection activeCell="Q3" sqref="Q3"/>
    </sheetView>
  </sheetViews>
  <sheetFormatPr defaultRowHeight="14.5" x14ac:dyDescent="0.35"/>
  <cols>
    <col min="1" max="1" width="11.26953125" customWidth="1"/>
    <col min="2" max="3" width="13.54296875" customWidth="1"/>
    <col min="4" max="9" width="12.453125" style="18" hidden="1" customWidth="1"/>
    <col min="10" max="15" width="12.453125" hidden="1" customWidth="1"/>
    <col min="16" max="22" width="12.453125" customWidth="1"/>
  </cols>
  <sheetData>
    <row r="1" spans="1:23" ht="29" customHeight="1" x14ac:dyDescent="0.35">
      <c r="D1" s="106" t="s">
        <v>51</v>
      </c>
      <c r="E1" s="106"/>
      <c r="F1" s="106"/>
      <c r="G1" s="106"/>
      <c r="H1" s="106"/>
      <c r="I1" s="106"/>
      <c r="J1" s="107" t="s">
        <v>52</v>
      </c>
      <c r="K1" s="107"/>
      <c r="L1" s="107"/>
      <c r="M1" s="107"/>
      <c r="N1" s="107"/>
      <c r="O1" s="107"/>
      <c r="P1" s="21"/>
      <c r="Q1" s="108" t="s">
        <v>53</v>
      </c>
      <c r="R1" s="108"/>
      <c r="S1" s="108"/>
      <c r="T1" s="108"/>
      <c r="U1" s="108"/>
      <c r="V1" s="108"/>
    </row>
    <row r="2" spans="1:23" ht="43.5" x14ac:dyDescent="0.35">
      <c r="A2" s="3"/>
      <c r="B2" s="3"/>
      <c r="C2" s="29"/>
      <c r="D2" s="16" t="s">
        <v>1</v>
      </c>
      <c r="E2" s="16" t="s">
        <v>2</v>
      </c>
      <c r="F2" s="16" t="s">
        <v>3</v>
      </c>
      <c r="G2" s="16" t="s">
        <v>4</v>
      </c>
      <c r="H2" s="16" t="s">
        <v>5</v>
      </c>
      <c r="I2" s="17" t="s">
        <v>6</v>
      </c>
      <c r="J2" s="16" t="s">
        <v>1</v>
      </c>
      <c r="K2" s="16" t="s">
        <v>2</v>
      </c>
      <c r="L2" s="16" t="s">
        <v>3</v>
      </c>
      <c r="M2" s="16" t="s">
        <v>4</v>
      </c>
      <c r="N2" s="16" t="s">
        <v>5</v>
      </c>
      <c r="O2" s="17" t="s">
        <v>6</v>
      </c>
      <c r="P2" s="17"/>
      <c r="Q2" s="17" t="s">
        <v>1</v>
      </c>
      <c r="R2" s="17" t="s">
        <v>2</v>
      </c>
      <c r="S2" s="17" t="s">
        <v>3</v>
      </c>
      <c r="T2" s="17" t="s">
        <v>4</v>
      </c>
      <c r="U2" s="17" t="s">
        <v>5</v>
      </c>
      <c r="V2" s="17" t="s">
        <v>6</v>
      </c>
    </row>
    <row r="3" spans="1:23" x14ac:dyDescent="0.35">
      <c r="A3" s="3"/>
      <c r="B3" s="3"/>
      <c r="C3" s="30" t="s">
        <v>55</v>
      </c>
      <c r="D3" s="16"/>
      <c r="E3" s="16"/>
      <c r="F3" s="16"/>
      <c r="G3" s="16"/>
      <c r="H3" s="16"/>
      <c r="I3" s="17"/>
      <c r="J3" s="16"/>
      <c r="K3" s="16"/>
      <c r="L3" s="16"/>
      <c r="M3" s="16"/>
      <c r="N3" s="16"/>
      <c r="O3" s="17"/>
      <c r="P3" s="17"/>
      <c r="Q3" s="27">
        <v>3</v>
      </c>
      <c r="R3" s="27">
        <v>3</v>
      </c>
      <c r="S3" s="27">
        <v>3</v>
      </c>
      <c r="T3" s="27">
        <v>1</v>
      </c>
      <c r="U3" s="27">
        <v>1</v>
      </c>
      <c r="V3" s="27">
        <v>2</v>
      </c>
      <c r="W3" s="28">
        <f>SUM(Q3:V3)</f>
        <v>13</v>
      </c>
    </row>
    <row r="4" spans="1:23" x14ac:dyDescent="0.35">
      <c r="A4" s="109" t="s">
        <v>47</v>
      </c>
      <c r="B4" s="14" t="s">
        <v>24</v>
      </c>
      <c r="C4" s="26">
        <v>3</v>
      </c>
      <c r="D4" s="19">
        <v>133333.33333333334</v>
      </c>
      <c r="E4" s="19">
        <v>115550</v>
      </c>
      <c r="F4" s="19">
        <v>66666.666666666672</v>
      </c>
      <c r="G4" s="19"/>
      <c r="H4" s="19"/>
      <c r="I4" s="19">
        <v>66666.666666666672</v>
      </c>
      <c r="J4" s="19">
        <f>D4/12/30/40</f>
        <v>9.2592592592592595</v>
      </c>
      <c r="K4" s="19">
        <f t="shared" ref="K4:O14" si="0">E4/12/30/40</f>
        <v>8.0243055555555554</v>
      </c>
      <c r="L4" s="19">
        <f t="shared" si="0"/>
        <v>4.6296296296296298</v>
      </c>
      <c r="M4" s="19">
        <f t="shared" si="0"/>
        <v>0</v>
      </c>
      <c r="N4" s="19">
        <f t="shared" si="0"/>
        <v>0</v>
      </c>
      <c r="O4" s="19">
        <f t="shared" si="0"/>
        <v>4.6296296296296298</v>
      </c>
      <c r="P4" s="34">
        <f>C4/4</f>
        <v>0.75</v>
      </c>
      <c r="Q4" s="19">
        <f>D4/12/40</f>
        <v>277.77777777777777</v>
      </c>
      <c r="R4" s="19">
        <f t="shared" ref="R4:V14" si="1">E4/12/40</f>
        <v>240.72916666666666</v>
      </c>
      <c r="S4" s="19">
        <f t="shared" si="1"/>
        <v>138.88888888888889</v>
      </c>
      <c r="T4" s="19">
        <f t="shared" si="1"/>
        <v>0</v>
      </c>
      <c r="U4" s="19">
        <f t="shared" si="1"/>
        <v>0</v>
      </c>
      <c r="V4" s="19">
        <f t="shared" si="1"/>
        <v>138.88888888888889</v>
      </c>
    </row>
    <row r="5" spans="1:23" x14ac:dyDescent="0.35">
      <c r="A5" s="109"/>
      <c r="B5" s="14" t="s">
        <v>22</v>
      </c>
      <c r="C5" s="26">
        <v>3</v>
      </c>
      <c r="D5" s="19">
        <v>133333.33333333334</v>
      </c>
      <c r="E5" s="19">
        <v>115550</v>
      </c>
      <c r="F5" s="19">
        <v>66666.666666666672</v>
      </c>
      <c r="G5" s="19"/>
      <c r="H5" s="19"/>
      <c r="I5" s="19">
        <v>66666.666666666672</v>
      </c>
      <c r="J5" s="19">
        <f t="shared" ref="J5:J14" si="2">D5/12/30/40</f>
        <v>9.2592592592592595</v>
      </c>
      <c r="K5" s="19">
        <f t="shared" si="0"/>
        <v>8.0243055555555554</v>
      </c>
      <c r="L5" s="19">
        <f t="shared" si="0"/>
        <v>4.6296296296296298</v>
      </c>
      <c r="M5" s="19">
        <f t="shared" si="0"/>
        <v>0</v>
      </c>
      <c r="N5" s="19">
        <f t="shared" si="0"/>
        <v>0</v>
      </c>
      <c r="O5" s="19">
        <f t="shared" si="0"/>
        <v>4.6296296296296298</v>
      </c>
      <c r="P5" s="34">
        <f>C5/4</f>
        <v>0.75</v>
      </c>
      <c r="Q5" s="19">
        <f t="shared" ref="Q5:Q14" si="3">D5/12/40</f>
        <v>277.77777777777777</v>
      </c>
      <c r="R5" s="19">
        <f t="shared" si="1"/>
        <v>240.72916666666666</v>
      </c>
      <c r="S5" s="19">
        <f t="shared" si="1"/>
        <v>138.88888888888889</v>
      </c>
      <c r="T5" s="19">
        <f t="shared" si="1"/>
        <v>0</v>
      </c>
      <c r="U5" s="19">
        <f t="shared" si="1"/>
        <v>0</v>
      </c>
      <c r="V5" s="19">
        <f t="shared" si="1"/>
        <v>138.88888888888889</v>
      </c>
    </row>
    <row r="6" spans="1:23" x14ac:dyDescent="0.35">
      <c r="A6" s="109"/>
      <c r="B6" s="14" t="s">
        <v>37</v>
      </c>
      <c r="C6" s="26">
        <v>3</v>
      </c>
      <c r="D6" s="19">
        <v>133333.33333333334</v>
      </c>
      <c r="E6" s="19">
        <v>115550</v>
      </c>
      <c r="F6" s="19">
        <v>66666.666666666672</v>
      </c>
      <c r="G6" s="19"/>
      <c r="H6" s="19"/>
      <c r="I6" s="19">
        <v>66666.666666666672</v>
      </c>
      <c r="J6" s="19">
        <f t="shared" si="2"/>
        <v>9.2592592592592595</v>
      </c>
      <c r="K6" s="19">
        <f t="shared" si="0"/>
        <v>8.0243055555555554</v>
      </c>
      <c r="L6" s="19">
        <f t="shared" si="0"/>
        <v>4.6296296296296298</v>
      </c>
      <c r="M6" s="19">
        <f t="shared" si="0"/>
        <v>0</v>
      </c>
      <c r="N6" s="19">
        <f t="shared" si="0"/>
        <v>0</v>
      </c>
      <c r="O6" s="19">
        <f t="shared" si="0"/>
        <v>4.6296296296296298</v>
      </c>
      <c r="P6" s="34">
        <f>C6/4</f>
        <v>0.75</v>
      </c>
      <c r="Q6" s="19">
        <f t="shared" si="3"/>
        <v>277.77777777777777</v>
      </c>
      <c r="R6" s="19">
        <f t="shared" si="1"/>
        <v>240.72916666666666</v>
      </c>
      <c r="S6" s="19">
        <f t="shared" si="1"/>
        <v>138.88888888888889</v>
      </c>
      <c r="T6" s="19">
        <f t="shared" si="1"/>
        <v>0</v>
      </c>
      <c r="U6" s="19">
        <f t="shared" si="1"/>
        <v>0</v>
      </c>
      <c r="V6" s="19">
        <f t="shared" si="1"/>
        <v>138.88888888888889</v>
      </c>
    </row>
    <row r="7" spans="1:23" x14ac:dyDescent="0.35">
      <c r="A7" s="105" t="s">
        <v>38</v>
      </c>
      <c r="B7" s="105"/>
      <c r="C7" s="26">
        <v>2</v>
      </c>
      <c r="D7" s="19">
        <v>150000</v>
      </c>
      <c r="E7" s="19"/>
      <c r="F7" s="19"/>
      <c r="G7" s="19"/>
      <c r="H7" s="19"/>
      <c r="I7" s="19"/>
      <c r="J7" s="19">
        <f t="shared" si="2"/>
        <v>10.416666666666668</v>
      </c>
      <c r="K7" s="19">
        <f t="shared" si="0"/>
        <v>0</v>
      </c>
      <c r="L7" s="19">
        <f t="shared" si="0"/>
        <v>0</v>
      </c>
      <c r="M7" s="19">
        <f t="shared" si="0"/>
        <v>0</v>
      </c>
      <c r="N7" s="19">
        <f t="shared" si="0"/>
        <v>0</v>
      </c>
      <c r="O7" s="19">
        <f t="shared" si="0"/>
        <v>0</v>
      </c>
      <c r="P7" s="34">
        <f>C7/1</f>
        <v>2</v>
      </c>
      <c r="Q7" s="19">
        <f t="shared" si="3"/>
        <v>312.5</v>
      </c>
      <c r="R7" s="19">
        <f t="shared" si="1"/>
        <v>0</v>
      </c>
      <c r="S7" s="19">
        <f t="shared" si="1"/>
        <v>0</v>
      </c>
      <c r="T7" s="19">
        <f t="shared" si="1"/>
        <v>0</v>
      </c>
      <c r="U7" s="19">
        <f t="shared" si="1"/>
        <v>0</v>
      </c>
      <c r="V7" s="19">
        <f t="shared" si="1"/>
        <v>0</v>
      </c>
    </row>
    <row r="8" spans="1:23" x14ac:dyDescent="0.35">
      <c r="A8" s="105" t="s">
        <v>39</v>
      </c>
      <c r="B8" s="105"/>
      <c r="C8" s="26">
        <v>1</v>
      </c>
      <c r="D8" s="19"/>
      <c r="E8" s="19">
        <v>40000</v>
      </c>
      <c r="F8" s="19"/>
      <c r="G8" s="19"/>
      <c r="H8" s="19"/>
      <c r="I8" s="19"/>
      <c r="J8" s="19">
        <f t="shared" si="2"/>
        <v>0</v>
      </c>
      <c r="K8" s="19">
        <f t="shared" si="0"/>
        <v>2.7777777777777777</v>
      </c>
      <c r="L8" s="19">
        <f t="shared" si="0"/>
        <v>0</v>
      </c>
      <c r="M8" s="19">
        <f t="shared" si="0"/>
        <v>0</v>
      </c>
      <c r="N8" s="19">
        <f t="shared" si="0"/>
        <v>0</v>
      </c>
      <c r="O8" s="19">
        <f t="shared" si="0"/>
        <v>0</v>
      </c>
      <c r="P8" s="34">
        <f>C8/1</f>
        <v>1</v>
      </c>
      <c r="Q8" s="19">
        <f t="shared" si="3"/>
        <v>0</v>
      </c>
      <c r="R8" s="19">
        <f t="shared" si="1"/>
        <v>83.333333333333343</v>
      </c>
      <c r="S8" s="19">
        <f t="shared" si="1"/>
        <v>0</v>
      </c>
      <c r="T8" s="19">
        <f t="shared" si="1"/>
        <v>0</v>
      </c>
      <c r="U8" s="19">
        <f t="shared" si="1"/>
        <v>0</v>
      </c>
      <c r="V8" s="19">
        <f t="shared" si="1"/>
        <v>0</v>
      </c>
    </row>
    <row r="9" spans="1:23" x14ac:dyDescent="0.35">
      <c r="A9" s="110" t="s">
        <v>14</v>
      </c>
      <c r="B9" s="110"/>
      <c r="C9" s="27">
        <v>2</v>
      </c>
      <c r="D9" s="19">
        <v>3000</v>
      </c>
      <c r="E9" s="19"/>
      <c r="F9" s="19"/>
      <c r="G9" s="19">
        <v>67800</v>
      </c>
      <c r="H9" s="19">
        <v>56000</v>
      </c>
      <c r="I9" s="19"/>
      <c r="J9" s="19">
        <f t="shared" si="2"/>
        <v>0.20833333333333334</v>
      </c>
      <c r="K9" s="19">
        <f t="shared" si="0"/>
        <v>0</v>
      </c>
      <c r="L9" s="19">
        <f t="shared" si="0"/>
        <v>0</v>
      </c>
      <c r="M9" s="19">
        <f t="shared" si="0"/>
        <v>4.7083333333333339</v>
      </c>
      <c r="N9" s="19">
        <f t="shared" si="0"/>
        <v>3.8888888888888893</v>
      </c>
      <c r="O9" s="19">
        <f t="shared" si="0"/>
        <v>0</v>
      </c>
      <c r="P9" s="34">
        <f>C9/3</f>
        <v>0.66666666666666663</v>
      </c>
      <c r="Q9" s="19">
        <f t="shared" si="3"/>
        <v>6.25</v>
      </c>
      <c r="R9" s="19">
        <f t="shared" si="1"/>
        <v>0</v>
      </c>
      <c r="S9" s="19">
        <f t="shared" si="1"/>
        <v>0</v>
      </c>
      <c r="T9" s="19">
        <f t="shared" si="1"/>
        <v>141.25</v>
      </c>
      <c r="U9" s="19">
        <f t="shared" si="1"/>
        <v>116.66666666666667</v>
      </c>
      <c r="V9" s="19">
        <f t="shared" si="1"/>
        <v>0</v>
      </c>
    </row>
    <row r="10" spans="1:23" x14ac:dyDescent="0.35">
      <c r="A10" s="15" t="s">
        <v>48</v>
      </c>
      <c r="B10" s="15" t="s">
        <v>49</v>
      </c>
      <c r="C10" s="27">
        <v>1</v>
      </c>
      <c r="D10" s="19">
        <v>30000</v>
      </c>
      <c r="E10" s="19">
        <v>15000</v>
      </c>
      <c r="F10" s="19">
        <v>25000</v>
      </c>
      <c r="G10" s="7"/>
      <c r="H10" s="7"/>
      <c r="I10" s="7"/>
      <c r="J10" s="19">
        <f t="shared" si="2"/>
        <v>2.083333333333333</v>
      </c>
      <c r="K10" s="19">
        <f t="shared" si="0"/>
        <v>1.0416666666666665</v>
      </c>
      <c r="L10" s="19">
        <f t="shared" si="0"/>
        <v>1.7361111111111112</v>
      </c>
      <c r="M10" s="19">
        <f t="shared" si="0"/>
        <v>0</v>
      </c>
      <c r="N10" s="19">
        <f t="shared" si="0"/>
        <v>0</v>
      </c>
      <c r="O10" s="19">
        <f t="shared" si="0"/>
        <v>0</v>
      </c>
      <c r="P10" s="34">
        <f>C10/3</f>
        <v>0.33333333333333331</v>
      </c>
      <c r="Q10" s="19">
        <f t="shared" si="3"/>
        <v>62.5</v>
      </c>
      <c r="R10" s="19">
        <f t="shared" si="1"/>
        <v>31.25</v>
      </c>
      <c r="S10" s="19">
        <f t="shared" si="1"/>
        <v>52.083333333333336</v>
      </c>
      <c r="T10" s="19">
        <f t="shared" si="1"/>
        <v>0</v>
      </c>
      <c r="U10" s="19">
        <f t="shared" si="1"/>
        <v>0</v>
      </c>
      <c r="V10" s="19">
        <f t="shared" si="1"/>
        <v>0</v>
      </c>
    </row>
    <row r="11" spans="1:23" x14ac:dyDescent="0.35">
      <c r="A11" s="15"/>
      <c r="B11" s="15" t="s">
        <v>50</v>
      </c>
      <c r="C11" s="27">
        <v>1</v>
      </c>
      <c r="D11" s="19">
        <v>30000</v>
      </c>
      <c r="E11" s="19">
        <v>15000</v>
      </c>
      <c r="F11" s="19">
        <v>25000</v>
      </c>
      <c r="G11" s="7"/>
      <c r="H11" s="7"/>
      <c r="I11" s="7"/>
      <c r="J11" s="19">
        <f t="shared" si="2"/>
        <v>2.083333333333333</v>
      </c>
      <c r="K11" s="19">
        <f t="shared" si="0"/>
        <v>1.0416666666666665</v>
      </c>
      <c r="L11" s="19">
        <f t="shared" si="0"/>
        <v>1.7361111111111112</v>
      </c>
      <c r="M11" s="19">
        <f t="shared" si="0"/>
        <v>0</v>
      </c>
      <c r="N11" s="19">
        <f t="shared" si="0"/>
        <v>0</v>
      </c>
      <c r="O11" s="19">
        <f t="shared" si="0"/>
        <v>0</v>
      </c>
      <c r="P11" s="34">
        <f>C11/3</f>
        <v>0.33333333333333331</v>
      </c>
      <c r="Q11" s="19">
        <f t="shared" si="3"/>
        <v>62.5</v>
      </c>
      <c r="R11" s="19">
        <f t="shared" si="1"/>
        <v>31.25</v>
      </c>
      <c r="S11" s="19">
        <f t="shared" si="1"/>
        <v>52.083333333333336</v>
      </c>
      <c r="T11" s="19">
        <f t="shared" si="1"/>
        <v>0</v>
      </c>
      <c r="U11" s="19">
        <f t="shared" si="1"/>
        <v>0</v>
      </c>
      <c r="V11" s="19">
        <f t="shared" si="1"/>
        <v>0</v>
      </c>
    </row>
    <row r="12" spans="1:23" x14ac:dyDescent="0.35">
      <c r="A12" s="105" t="s">
        <v>16</v>
      </c>
      <c r="B12" s="105"/>
      <c r="C12" s="26">
        <v>1</v>
      </c>
      <c r="D12" s="19">
        <v>30000</v>
      </c>
      <c r="E12" s="19"/>
      <c r="F12" s="19"/>
      <c r="G12" s="7"/>
      <c r="H12" s="7"/>
      <c r="I12" s="7"/>
      <c r="J12" s="19">
        <f t="shared" si="2"/>
        <v>2.083333333333333</v>
      </c>
      <c r="K12" s="19">
        <f t="shared" si="0"/>
        <v>0</v>
      </c>
      <c r="L12" s="19">
        <f t="shared" si="0"/>
        <v>0</v>
      </c>
      <c r="M12" s="19">
        <f t="shared" si="0"/>
        <v>0</v>
      </c>
      <c r="N12" s="19">
        <f t="shared" si="0"/>
        <v>0</v>
      </c>
      <c r="O12" s="19">
        <f t="shared" si="0"/>
        <v>0</v>
      </c>
      <c r="P12" s="34">
        <f>C12/1</f>
        <v>1</v>
      </c>
      <c r="Q12" s="19">
        <f t="shared" si="3"/>
        <v>62.5</v>
      </c>
      <c r="R12" s="19">
        <f t="shared" si="1"/>
        <v>0</v>
      </c>
      <c r="S12" s="19">
        <f t="shared" si="1"/>
        <v>0</v>
      </c>
      <c r="T12" s="19">
        <f t="shared" si="1"/>
        <v>0</v>
      </c>
      <c r="U12" s="19">
        <f t="shared" si="1"/>
        <v>0</v>
      </c>
      <c r="V12" s="19">
        <f t="shared" si="1"/>
        <v>0</v>
      </c>
    </row>
    <row r="13" spans="1:23" x14ac:dyDescent="0.35">
      <c r="A13" s="105" t="s">
        <v>17</v>
      </c>
      <c r="B13" s="105"/>
      <c r="C13" s="26">
        <v>1</v>
      </c>
      <c r="D13" s="19"/>
      <c r="E13" s="19">
        <v>20000</v>
      </c>
      <c r="F13" s="19"/>
      <c r="G13" s="7"/>
      <c r="H13" s="7"/>
      <c r="I13" s="7"/>
      <c r="J13" s="19">
        <f t="shared" si="2"/>
        <v>0</v>
      </c>
      <c r="K13" s="19">
        <f t="shared" si="0"/>
        <v>1.3888888888888888</v>
      </c>
      <c r="L13" s="19">
        <f t="shared" si="0"/>
        <v>0</v>
      </c>
      <c r="M13" s="19">
        <f t="shared" si="0"/>
        <v>0</v>
      </c>
      <c r="N13" s="19">
        <f t="shared" si="0"/>
        <v>0</v>
      </c>
      <c r="O13" s="19">
        <f t="shared" si="0"/>
        <v>0</v>
      </c>
      <c r="P13" s="34">
        <f>C13/1</f>
        <v>1</v>
      </c>
      <c r="Q13" s="19">
        <f t="shared" si="3"/>
        <v>0</v>
      </c>
      <c r="R13" s="19">
        <f t="shared" si="1"/>
        <v>41.666666666666671</v>
      </c>
      <c r="S13" s="19">
        <f t="shared" si="1"/>
        <v>0</v>
      </c>
      <c r="T13" s="19">
        <f t="shared" si="1"/>
        <v>0</v>
      </c>
      <c r="U13" s="19">
        <f t="shared" si="1"/>
        <v>0</v>
      </c>
      <c r="V13" s="19">
        <f t="shared" si="1"/>
        <v>0</v>
      </c>
    </row>
    <row r="14" spans="1:23" x14ac:dyDescent="0.35">
      <c r="A14" s="105" t="s">
        <v>18</v>
      </c>
      <c r="B14" s="105"/>
      <c r="C14" s="26">
        <v>1</v>
      </c>
      <c r="D14" s="19">
        <v>5000</v>
      </c>
      <c r="E14" s="19">
        <v>18000</v>
      </c>
      <c r="F14" s="19"/>
      <c r="G14" s="7"/>
      <c r="H14" s="7"/>
      <c r="I14" s="7"/>
      <c r="J14" s="19">
        <f t="shared" si="2"/>
        <v>0.34722222222222221</v>
      </c>
      <c r="K14" s="19">
        <f t="shared" si="0"/>
        <v>1.25</v>
      </c>
      <c r="L14" s="19">
        <f t="shared" si="0"/>
        <v>0</v>
      </c>
      <c r="M14" s="19">
        <f t="shared" si="0"/>
        <v>0</v>
      </c>
      <c r="N14" s="19">
        <f t="shared" si="0"/>
        <v>0</v>
      </c>
      <c r="O14" s="19">
        <f t="shared" si="0"/>
        <v>0</v>
      </c>
      <c r="P14" s="34">
        <f>C14/2</f>
        <v>0.5</v>
      </c>
      <c r="Q14" s="19">
        <f t="shared" si="3"/>
        <v>10.416666666666668</v>
      </c>
      <c r="R14" s="19">
        <f t="shared" si="1"/>
        <v>37.5</v>
      </c>
      <c r="S14" s="19">
        <f t="shared" si="1"/>
        <v>0</v>
      </c>
      <c r="T14" s="19">
        <f t="shared" si="1"/>
        <v>0</v>
      </c>
      <c r="U14" s="19">
        <f t="shared" si="1"/>
        <v>0</v>
      </c>
      <c r="V14" s="19">
        <f t="shared" si="1"/>
        <v>0</v>
      </c>
    </row>
    <row r="15" spans="1:23" x14ac:dyDescent="0.35">
      <c r="C15" s="28">
        <f>SUM(C4:C14)</f>
        <v>19</v>
      </c>
      <c r="D15" s="20">
        <f>SUM(D4:D14)</f>
        <v>648000</v>
      </c>
      <c r="E15" s="20">
        <f t="shared" ref="E15:I15" si="4">SUM(E4:E14)</f>
        <v>454650</v>
      </c>
      <c r="F15" s="20">
        <f t="shared" si="4"/>
        <v>250000</v>
      </c>
      <c r="G15" s="20">
        <f t="shared" si="4"/>
        <v>67800</v>
      </c>
      <c r="H15" s="20">
        <f t="shared" si="4"/>
        <v>56000</v>
      </c>
      <c r="I15" s="20">
        <f t="shared" si="4"/>
        <v>200000</v>
      </c>
      <c r="J15" s="22">
        <f>SUM(J4:J14)</f>
        <v>45.000000000000007</v>
      </c>
      <c r="K15" s="22">
        <f t="shared" ref="K15" si="5">SUM(K4:K14)</f>
        <v>31.572916666666668</v>
      </c>
      <c r="L15" s="22">
        <f t="shared" ref="L15" si="6">SUM(L4:L14)</f>
        <v>17.361111111111111</v>
      </c>
      <c r="M15" s="22">
        <f t="shared" ref="M15" si="7">SUM(M4:M14)</f>
        <v>4.7083333333333339</v>
      </c>
      <c r="N15" s="22">
        <f t="shared" ref="N15" si="8">SUM(N4:N14)</f>
        <v>3.8888888888888893</v>
      </c>
      <c r="O15" s="22">
        <f t="shared" ref="O15" si="9">SUM(O4:O14)</f>
        <v>13.888888888888889</v>
      </c>
      <c r="P15" s="22"/>
      <c r="Q15" s="25">
        <f>SUM(Q4:Q14)</f>
        <v>1350</v>
      </c>
      <c r="R15" s="25">
        <f t="shared" ref="R15" si="10">SUM(R4:R14)</f>
        <v>947.1875</v>
      </c>
      <c r="S15" s="25">
        <f t="shared" ref="S15" si="11">SUM(S4:S14)</f>
        <v>520.83333333333326</v>
      </c>
      <c r="T15" s="25">
        <f t="shared" ref="T15" si="12">SUM(T4:T14)</f>
        <v>141.25</v>
      </c>
      <c r="U15" s="25">
        <f t="shared" ref="U15" si="13">SUM(U4:U14)</f>
        <v>116.66666666666667</v>
      </c>
      <c r="V15" s="25">
        <f t="shared" ref="V15" si="14">SUM(V4:V14)</f>
        <v>416.66666666666663</v>
      </c>
    </row>
    <row r="16" spans="1:23" x14ac:dyDescent="0.35">
      <c r="O16" s="23">
        <f>SUM(J15:O15)</f>
        <v>116.42013888888889</v>
      </c>
      <c r="P16" s="23"/>
      <c r="V16" s="23">
        <f>SUM(Q15:V15)</f>
        <v>3492.6041666666661</v>
      </c>
    </row>
    <row r="17" spans="15:16" x14ac:dyDescent="0.35">
      <c r="O17" s="24"/>
      <c r="P17" s="24"/>
    </row>
  </sheetData>
  <mergeCells count="10">
    <mergeCell ref="A14:B14"/>
    <mergeCell ref="D1:I1"/>
    <mergeCell ref="J1:O1"/>
    <mergeCell ref="Q1:V1"/>
    <mergeCell ref="A4:A6"/>
    <mergeCell ref="A7:B7"/>
    <mergeCell ref="A8:B8"/>
    <mergeCell ref="A9:B9"/>
    <mergeCell ref="A12:B12"/>
    <mergeCell ref="A13:B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69C7B-A239-4FD9-BDAF-E13410DBFA76}">
  <dimension ref="A1:H28"/>
  <sheetViews>
    <sheetView topLeftCell="A13" zoomScale="85" zoomScaleNormal="85" workbookViewId="0">
      <selection activeCell="D25" sqref="D25"/>
    </sheetView>
  </sheetViews>
  <sheetFormatPr defaultRowHeight="14.5" x14ac:dyDescent="0.35"/>
  <cols>
    <col min="1" max="1" width="25.453125" customWidth="1"/>
    <col min="2" max="2" width="14.453125" customWidth="1"/>
    <col min="4" max="4" width="25.453125" customWidth="1"/>
    <col min="5" max="5" width="14.453125" customWidth="1"/>
    <col min="7" max="7" width="25.453125" customWidth="1"/>
    <col min="8" max="8" width="14.453125" customWidth="1"/>
  </cols>
  <sheetData>
    <row r="1" spans="1:8" x14ac:dyDescent="0.35">
      <c r="A1" s="111" t="s">
        <v>1</v>
      </c>
      <c r="B1" s="111"/>
      <c r="D1" s="111" t="s">
        <v>2</v>
      </c>
      <c r="E1" s="111"/>
      <c r="G1" s="111" t="s">
        <v>3</v>
      </c>
      <c r="H1" s="111"/>
    </row>
    <row r="2" spans="1:8" x14ac:dyDescent="0.35">
      <c r="A2" s="35" t="s">
        <v>63</v>
      </c>
      <c r="B2" s="37">
        <f>'Trips data'!Q15</f>
        <v>1350</v>
      </c>
      <c r="D2" s="35" t="s">
        <v>63</v>
      </c>
      <c r="E2" s="37">
        <f>'Trips data'!R15</f>
        <v>947.1875</v>
      </c>
      <c r="G2" s="35" t="s">
        <v>63</v>
      </c>
      <c r="H2" s="37">
        <f>'Trips data'!S15</f>
        <v>520.83333333333326</v>
      </c>
    </row>
    <row r="3" spans="1:8" x14ac:dyDescent="0.35">
      <c r="A3" s="35" t="s">
        <v>62</v>
      </c>
      <c r="B3" s="37">
        <f>'Trips data'!Q3</f>
        <v>3</v>
      </c>
      <c r="D3" s="35" t="s">
        <v>62</v>
      </c>
      <c r="E3" s="37">
        <f>'Trips data'!R3</f>
        <v>3</v>
      </c>
      <c r="G3" s="35" t="s">
        <v>62</v>
      </c>
      <c r="H3" s="37">
        <f>'Trips data'!S3</f>
        <v>3</v>
      </c>
    </row>
    <row r="4" spans="1:8" x14ac:dyDescent="0.35">
      <c r="A4" s="35" t="s">
        <v>54</v>
      </c>
      <c r="B4" s="37">
        <f>'Trips data'!P4+'Trips data'!P5+'Trips data'!P6+'Trips data'!P7+'Trips data'!P9+'Trips data'!P10+'Trips data'!P11+'Trips data'!P12+'Trips data'!P14</f>
        <v>7.083333333333333</v>
      </c>
      <c r="D4" s="35" t="s">
        <v>54</v>
      </c>
      <c r="E4" s="37">
        <f>'Trips data'!P4+'Trips data'!P5+'Trips data'!P6+'Trips data'!P8+'Trips data'!P10+'Trips data'!P11+'Trips data'!P13+'Trips data'!P14</f>
        <v>5.416666666666667</v>
      </c>
      <c r="G4" s="35" t="s">
        <v>54</v>
      </c>
      <c r="H4" s="37">
        <f>'Trips data'!P4+'Trips data'!P5+'Trips data'!P6+'Trips data'!P10+'Trips data'!P11</f>
        <v>2.916666666666667</v>
      </c>
    </row>
    <row r="5" spans="1:8" x14ac:dyDescent="0.35">
      <c r="A5" s="35" t="s">
        <v>56</v>
      </c>
      <c r="B5" s="37">
        <v>20000</v>
      </c>
      <c r="D5" s="35" t="s">
        <v>56</v>
      </c>
      <c r="E5" s="37">
        <v>20000</v>
      </c>
      <c r="G5" s="35" t="s">
        <v>56</v>
      </c>
      <c r="H5" s="37">
        <v>20000</v>
      </c>
    </row>
    <row r="6" spans="1:8" x14ac:dyDescent="0.35">
      <c r="A6" s="35" t="s">
        <v>57</v>
      </c>
      <c r="B6" s="37">
        <f>(B5+B4)*B3</f>
        <v>60021.25</v>
      </c>
      <c r="D6" s="35" t="s">
        <v>57</v>
      </c>
      <c r="E6" s="37">
        <f>(E5+E4)*E3</f>
        <v>60016.25</v>
      </c>
      <c r="G6" s="35" t="s">
        <v>57</v>
      </c>
      <c r="H6" s="37">
        <f>(H5+H4)*H3</f>
        <v>60008.75</v>
      </c>
    </row>
    <row r="7" spans="1:8" x14ac:dyDescent="0.35">
      <c r="A7" s="35" t="s">
        <v>64</v>
      </c>
      <c r="B7" s="37">
        <f>B6/B2</f>
        <v>44.460185185185182</v>
      </c>
      <c r="D7" s="35" t="s">
        <v>64</v>
      </c>
      <c r="E7" s="37">
        <f>E6/E2</f>
        <v>63.362586605080828</v>
      </c>
      <c r="G7" s="35" t="s">
        <v>64</v>
      </c>
      <c r="H7" s="37">
        <f>H6/H2</f>
        <v>115.21680000000002</v>
      </c>
    </row>
    <row r="8" spans="1:8" x14ac:dyDescent="0.35">
      <c r="A8" s="35" t="s">
        <v>59</v>
      </c>
      <c r="B8" s="37">
        <v>20</v>
      </c>
      <c r="D8" s="35" t="s">
        <v>59</v>
      </c>
      <c r="E8" s="37">
        <v>20</v>
      </c>
      <c r="G8" s="35" t="s">
        <v>59</v>
      </c>
      <c r="H8" s="37">
        <v>20</v>
      </c>
    </row>
    <row r="9" spans="1:8" x14ac:dyDescent="0.35">
      <c r="A9" s="35" t="s">
        <v>60</v>
      </c>
      <c r="B9" s="36">
        <v>2.5</v>
      </c>
      <c r="D9" s="35" t="s">
        <v>60</v>
      </c>
      <c r="E9" s="36">
        <v>2.5</v>
      </c>
      <c r="G9" s="35" t="s">
        <v>60</v>
      </c>
      <c r="H9" s="36">
        <v>2.5</v>
      </c>
    </row>
    <row r="10" spans="1:8" x14ac:dyDescent="0.35">
      <c r="A10" s="35" t="s">
        <v>61</v>
      </c>
      <c r="B10" s="37">
        <f>B8*B9</f>
        <v>50</v>
      </c>
      <c r="D10" s="35" t="s">
        <v>61</v>
      </c>
      <c r="E10" s="37">
        <f>E8*E9</f>
        <v>50</v>
      </c>
      <c r="G10" s="35" t="s">
        <v>61</v>
      </c>
      <c r="H10" s="37">
        <f>H8*H9</f>
        <v>50</v>
      </c>
    </row>
    <row r="12" spans="1:8" x14ac:dyDescent="0.35">
      <c r="A12" s="111" t="s">
        <v>4</v>
      </c>
      <c r="B12" s="111"/>
      <c r="D12" s="111" t="s">
        <v>5</v>
      </c>
      <c r="E12" s="111"/>
      <c r="G12" s="111" t="s">
        <v>6</v>
      </c>
      <c r="H12" s="111"/>
    </row>
    <row r="13" spans="1:8" x14ac:dyDescent="0.35">
      <c r="A13" s="35" t="s">
        <v>63</v>
      </c>
      <c r="B13" s="37">
        <f>'Trips data'!T15</f>
        <v>141.25</v>
      </c>
      <c r="D13" s="35" t="s">
        <v>63</v>
      </c>
      <c r="E13" s="37">
        <f>'Trips data'!U15</f>
        <v>116.66666666666667</v>
      </c>
      <c r="G13" s="35" t="s">
        <v>63</v>
      </c>
      <c r="H13" s="37">
        <f>'Trips data'!V15</f>
        <v>416.66666666666663</v>
      </c>
    </row>
    <row r="14" spans="1:8" x14ac:dyDescent="0.35">
      <c r="A14" s="35" t="s">
        <v>62</v>
      </c>
      <c r="B14" s="37">
        <f>'Trips data'!T3</f>
        <v>1</v>
      </c>
      <c r="D14" s="35" t="s">
        <v>62</v>
      </c>
      <c r="E14" s="37">
        <f>'Trips data'!U3</f>
        <v>1</v>
      </c>
      <c r="G14" s="35" t="s">
        <v>62</v>
      </c>
      <c r="H14" s="37">
        <f>'Trips data'!V3</f>
        <v>2</v>
      </c>
    </row>
    <row r="15" spans="1:8" x14ac:dyDescent="0.35">
      <c r="A15" s="35" t="s">
        <v>54</v>
      </c>
      <c r="B15" s="37">
        <f>'Trips data'!P9</f>
        <v>0.66666666666666663</v>
      </c>
      <c r="D15" s="35" t="s">
        <v>54</v>
      </c>
      <c r="E15" s="37">
        <f>'Trips data'!P9</f>
        <v>0.66666666666666663</v>
      </c>
      <c r="G15" s="35" t="s">
        <v>54</v>
      </c>
      <c r="H15" s="37">
        <f>'Trips data'!P4+'Trips data'!P5+'Trips data'!P6</f>
        <v>2.25</v>
      </c>
    </row>
    <row r="16" spans="1:8" x14ac:dyDescent="0.35">
      <c r="A16" s="35" t="s">
        <v>56</v>
      </c>
      <c r="B16" s="37">
        <v>20000</v>
      </c>
      <c r="D16" s="35" t="s">
        <v>56</v>
      </c>
      <c r="E16" s="37">
        <v>20000</v>
      </c>
      <c r="G16" s="35" t="s">
        <v>56</v>
      </c>
      <c r="H16" s="37">
        <v>20000</v>
      </c>
    </row>
    <row r="17" spans="1:8" x14ac:dyDescent="0.35">
      <c r="A17" s="35" t="s">
        <v>57</v>
      </c>
      <c r="B17" s="37">
        <f>(B16+B15)*B14</f>
        <v>20000.666666666668</v>
      </c>
      <c r="D17" s="35" t="s">
        <v>57</v>
      </c>
      <c r="E17" s="37">
        <f>(E16+E15)*E14</f>
        <v>20000.666666666668</v>
      </c>
      <c r="G17" s="35" t="s">
        <v>57</v>
      </c>
      <c r="H17" s="37">
        <f>(H16+H15)*H14</f>
        <v>40004.5</v>
      </c>
    </row>
    <row r="18" spans="1:8" x14ac:dyDescent="0.35">
      <c r="A18" s="35" t="s">
        <v>64</v>
      </c>
      <c r="B18" s="37">
        <f>B17/B13</f>
        <v>141.5976401179941</v>
      </c>
      <c r="D18" s="35" t="s">
        <v>64</v>
      </c>
      <c r="E18" s="37">
        <f>E17/E13</f>
        <v>171.43428571428572</v>
      </c>
      <c r="G18" s="35" t="s">
        <v>64</v>
      </c>
      <c r="H18" s="37">
        <f>H17/H13</f>
        <v>96.010800000000003</v>
      </c>
    </row>
    <row r="19" spans="1:8" x14ac:dyDescent="0.35">
      <c r="A19" s="35" t="s">
        <v>59</v>
      </c>
      <c r="B19" s="37">
        <v>20</v>
      </c>
      <c r="D19" s="35" t="s">
        <v>59</v>
      </c>
      <c r="E19" s="37">
        <v>20</v>
      </c>
      <c r="G19" s="35" t="s">
        <v>59</v>
      </c>
      <c r="H19" s="37">
        <v>20</v>
      </c>
    </row>
    <row r="20" spans="1:8" x14ac:dyDescent="0.35">
      <c r="A20" s="35" t="s">
        <v>60</v>
      </c>
      <c r="B20" s="36">
        <v>2.5</v>
      </c>
      <c r="D20" s="35" t="s">
        <v>60</v>
      </c>
      <c r="E20" s="36">
        <v>2.5</v>
      </c>
      <c r="G20" s="35" t="s">
        <v>60</v>
      </c>
      <c r="H20" s="36">
        <v>2.5</v>
      </c>
    </row>
    <row r="21" spans="1:8" x14ac:dyDescent="0.35">
      <c r="A21" s="35" t="s">
        <v>61</v>
      </c>
      <c r="B21" s="37">
        <f>B19*B20</f>
        <v>50</v>
      </c>
      <c r="D21" s="35" t="s">
        <v>61</v>
      </c>
      <c r="E21" s="37">
        <f>E19*E20</f>
        <v>50</v>
      </c>
      <c r="G21" s="35" t="s">
        <v>61</v>
      </c>
      <c r="H21" s="37">
        <f>H19*H20</f>
        <v>50</v>
      </c>
    </row>
    <row r="23" spans="1:8" x14ac:dyDescent="0.35">
      <c r="A23" s="111" t="s">
        <v>102</v>
      </c>
      <c r="B23" s="111"/>
      <c r="C23" s="111"/>
    </row>
    <row r="24" spans="1:8" x14ac:dyDescent="0.35">
      <c r="A24" s="31"/>
      <c r="B24" s="31" t="s">
        <v>46</v>
      </c>
      <c r="C24" s="31" t="s">
        <v>107</v>
      </c>
    </row>
    <row r="25" spans="1:8" x14ac:dyDescent="0.35">
      <c r="A25" s="35" t="s">
        <v>105</v>
      </c>
      <c r="B25" s="37">
        <v>3</v>
      </c>
      <c r="C25" s="63">
        <f>B25/6</f>
        <v>0.5</v>
      </c>
    </row>
    <row r="26" spans="1:8" x14ac:dyDescent="0.35">
      <c r="A26" s="35" t="s">
        <v>104</v>
      </c>
      <c r="B26" s="37">
        <v>3</v>
      </c>
      <c r="C26" s="63">
        <f>B26/6</f>
        <v>0.5</v>
      </c>
    </row>
    <row r="27" spans="1:8" x14ac:dyDescent="0.35">
      <c r="A27" s="35" t="s">
        <v>103</v>
      </c>
      <c r="B27" s="37">
        <v>1</v>
      </c>
      <c r="C27" s="63">
        <f>B27/6</f>
        <v>0.16666666666666666</v>
      </c>
    </row>
    <row r="28" spans="1:8" x14ac:dyDescent="0.35">
      <c r="A28" s="35" t="s">
        <v>88</v>
      </c>
      <c r="B28" s="37">
        <v>1</v>
      </c>
      <c r="C28" s="63">
        <f>B28/6</f>
        <v>0.16666666666666666</v>
      </c>
    </row>
  </sheetData>
  <mergeCells count="7">
    <mergeCell ref="A23:C23"/>
    <mergeCell ref="A1:B1"/>
    <mergeCell ref="D1:E1"/>
    <mergeCell ref="G1:H1"/>
    <mergeCell ref="A12:B12"/>
    <mergeCell ref="D12:E12"/>
    <mergeCell ref="G12:H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958E5-3F93-4585-96CB-20568111E54F}">
  <dimension ref="B1:L37"/>
  <sheetViews>
    <sheetView topLeftCell="A16" zoomScale="85" zoomScaleNormal="85" workbookViewId="0">
      <selection activeCell="H13" sqref="H13"/>
    </sheetView>
  </sheetViews>
  <sheetFormatPr defaultRowHeight="14.5" x14ac:dyDescent="0.35"/>
  <cols>
    <col min="2" max="2" width="17.81640625" bestFit="1" customWidth="1"/>
    <col min="3" max="3" width="22.6328125" bestFit="1" customWidth="1"/>
    <col min="5" max="5" width="10" customWidth="1"/>
    <col min="6" max="6" width="7.08984375" customWidth="1"/>
    <col min="7" max="7" width="25" customWidth="1"/>
    <col min="8" max="8" width="11.453125" customWidth="1"/>
    <col min="10" max="10" width="2.81640625" customWidth="1"/>
    <col min="11" max="11" width="16.453125" bestFit="1" customWidth="1"/>
  </cols>
  <sheetData>
    <row r="1" spans="2:12" ht="15" thickBot="1" x14ac:dyDescent="0.4"/>
    <row r="2" spans="2:12" x14ac:dyDescent="0.35">
      <c r="C2" s="112" t="s">
        <v>140</v>
      </c>
      <c r="D2" s="113"/>
      <c r="E2" s="113"/>
      <c r="F2" s="113"/>
      <c r="G2" s="113"/>
      <c r="H2" s="113"/>
      <c r="I2" s="113"/>
      <c r="J2" s="113"/>
      <c r="K2" s="113"/>
      <c r="L2" s="114"/>
    </row>
    <row r="3" spans="2:12" x14ac:dyDescent="0.35">
      <c r="C3" s="38" t="s">
        <v>65</v>
      </c>
      <c r="G3" s="39" t="s">
        <v>66</v>
      </c>
      <c r="K3" s="39" t="s">
        <v>67</v>
      </c>
      <c r="L3" s="40"/>
    </row>
    <row r="4" spans="2:12" x14ac:dyDescent="0.35">
      <c r="C4" s="41" t="s">
        <v>68</v>
      </c>
      <c r="D4" s="32">
        <f>'Field manpower per plant'!B2</f>
        <v>1350</v>
      </c>
      <c r="G4" s="32" t="s">
        <v>69</v>
      </c>
      <c r="H4" s="42">
        <f>D15*E15/D4</f>
        <v>15.707654320987654</v>
      </c>
      <c r="I4" s="43">
        <f t="shared" ref="I4:I14" si="0">H4/$H$14</f>
        <v>4.3881698208476698E-2</v>
      </c>
      <c r="K4" s="44" t="s">
        <v>70</v>
      </c>
      <c r="L4" s="45">
        <v>1</v>
      </c>
    </row>
    <row r="5" spans="2:12" x14ac:dyDescent="0.35">
      <c r="C5" s="41" t="s">
        <v>71</v>
      </c>
      <c r="D5" s="44">
        <v>8</v>
      </c>
      <c r="G5" s="32" t="s">
        <v>72</v>
      </c>
      <c r="H5" s="42">
        <f>D15*E16/D4</f>
        <v>3.9269135802469135</v>
      </c>
      <c r="I5" s="43">
        <f t="shared" si="0"/>
        <v>1.0970424552119174E-2</v>
      </c>
      <c r="K5" s="32" t="s">
        <v>73</v>
      </c>
      <c r="L5" s="46">
        <f>D4*(H14-H10)</f>
        <v>469738.66666666663</v>
      </c>
    </row>
    <row r="6" spans="2:12" x14ac:dyDescent="0.35">
      <c r="C6" s="47" t="s">
        <v>74</v>
      </c>
      <c r="D6" s="42">
        <f>30/D5</f>
        <v>3.75</v>
      </c>
      <c r="G6" s="32" t="s">
        <v>36</v>
      </c>
      <c r="H6" s="42">
        <f>D16/D4</f>
        <v>176.66666666666666</v>
      </c>
      <c r="I6" s="43">
        <f t="shared" si="0"/>
        <v>0.49354494259565324</v>
      </c>
      <c r="K6" s="32" t="s">
        <v>75</v>
      </c>
      <c r="L6" s="46">
        <f>L5*12</f>
        <v>5636864</v>
      </c>
    </row>
    <row r="7" spans="2:12" x14ac:dyDescent="0.35">
      <c r="C7" s="41" t="s">
        <v>76</v>
      </c>
      <c r="D7" s="48">
        <v>0.15</v>
      </c>
      <c r="F7" s="44">
        <v>38</v>
      </c>
      <c r="G7" s="32" t="s">
        <v>77</v>
      </c>
      <c r="H7" s="42">
        <f>D8*F7/D4</f>
        <v>11.653333333333332</v>
      </c>
      <c r="I7" s="43">
        <f t="shared" si="0"/>
        <v>3.2555341873856669E-2</v>
      </c>
      <c r="K7" s="32" t="s">
        <v>78</v>
      </c>
      <c r="L7" s="46">
        <f>L5*L4</f>
        <v>469738.66666666663</v>
      </c>
    </row>
    <row r="8" spans="2:12" x14ac:dyDescent="0.35">
      <c r="C8" s="41" t="s">
        <v>79</v>
      </c>
      <c r="D8" s="49">
        <f>D4/D6*(1+D7)</f>
        <v>413.99999999999994</v>
      </c>
      <c r="E8" s="62">
        <v>1200</v>
      </c>
      <c r="G8" s="32" t="s">
        <v>80</v>
      </c>
      <c r="H8" s="32">
        <v>5</v>
      </c>
      <c r="I8" s="43">
        <f t="shared" si="0"/>
        <v>1.3968253092329809E-2</v>
      </c>
      <c r="L8" s="40"/>
    </row>
    <row r="9" spans="2:12" x14ac:dyDescent="0.35">
      <c r="B9" t="s">
        <v>81</v>
      </c>
      <c r="C9" s="41" t="s">
        <v>82</v>
      </c>
      <c r="D9" s="64">
        <f>'Field manpower per plant'!B3+'Field manpower per plant'!B4</f>
        <v>10.083333333333332</v>
      </c>
      <c r="E9" s="62">
        <v>20000</v>
      </c>
      <c r="G9" s="44" t="s">
        <v>83</v>
      </c>
      <c r="H9" s="32">
        <f>'Field manpower per plant'!B10</f>
        <v>50</v>
      </c>
      <c r="I9" s="43">
        <f t="shared" si="0"/>
        <v>0.13968253092329808</v>
      </c>
      <c r="L9" s="40"/>
    </row>
    <row r="10" spans="2:12" x14ac:dyDescent="0.35">
      <c r="C10" s="41" t="s">
        <v>86</v>
      </c>
      <c r="D10" s="64">
        <f>'Field manpower per plant'!C25</f>
        <v>0.5</v>
      </c>
      <c r="E10" s="62">
        <v>22000</v>
      </c>
      <c r="G10" s="44" t="s">
        <v>85</v>
      </c>
      <c r="H10" s="44">
        <v>10</v>
      </c>
      <c r="I10" s="43">
        <f t="shared" si="0"/>
        <v>2.7936506184659617E-2</v>
      </c>
      <c r="L10" s="40"/>
    </row>
    <row r="11" spans="2:12" x14ac:dyDescent="0.35">
      <c r="C11" s="41" t="s">
        <v>84</v>
      </c>
      <c r="D11" s="64">
        <f>'Field manpower per plant'!C26</f>
        <v>0.5</v>
      </c>
      <c r="E11" s="62">
        <v>25000</v>
      </c>
      <c r="G11" s="44" t="s">
        <v>87</v>
      </c>
      <c r="H11" s="44">
        <v>25</v>
      </c>
      <c r="I11" s="43">
        <f t="shared" si="0"/>
        <v>6.9841265461649038E-2</v>
      </c>
      <c r="L11" s="40"/>
    </row>
    <row r="12" spans="2:12" x14ac:dyDescent="0.35">
      <c r="C12" s="41" t="s">
        <v>106</v>
      </c>
      <c r="D12" s="64">
        <f>'Field manpower per plant'!C27</f>
        <v>0.16666666666666666</v>
      </c>
      <c r="E12" s="62">
        <v>30000</v>
      </c>
      <c r="G12" s="44" t="s">
        <v>89</v>
      </c>
      <c r="H12" s="44">
        <v>0</v>
      </c>
      <c r="I12" s="43">
        <f t="shared" si="0"/>
        <v>0</v>
      </c>
      <c r="L12" s="40"/>
    </row>
    <row r="13" spans="2:12" x14ac:dyDescent="0.35">
      <c r="C13" s="41" t="s">
        <v>88</v>
      </c>
      <c r="D13" s="64">
        <f>'Field manpower per plant'!C28</f>
        <v>0.16666666666666666</v>
      </c>
      <c r="E13" s="62">
        <v>50000</v>
      </c>
      <c r="G13" s="51" t="s">
        <v>90</v>
      </c>
      <c r="H13" s="52">
        <v>60</v>
      </c>
      <c r="I13" s="43">
        <f t="shared" si="0"/>
        <v>0.1676190371079577</v>
      </c>
      <c r="L13" s="40"/>
    </row>
    <row r="14" spans="2:12" x14ac:dyDescent="0.35">
      <c r="C14" s="53" t="s">
        <v>91</v>
      </c>
      <c r="D14" s="54">
        <f>SUM(D10:D13)</f>
        <v>1.3333333333333335</v>
      </c>
      <c r="E14" s="62">
        <v>25000</v>
      </c>
      <c r="G14" s="32" t="s">
        <v>92</v>
      </c>
      <c r="H14" s="33">
        <f>SUM(H4:H13)</f>
        <v>357.95456790123455</v>
      </c>
      <c r="I14" s="43">
        <f t="shared" si="0"/>
        <v>1</v>
      </c>
      <c r="L14" s="40"/>
    </row>
    <row r="15" spans="2:12" x14ac:dyDescent="0.35">
      <c r="C15" s="47" t="s">
        <v>93</v>
      </c>
      <c r="D15" s="32">
        <f>D8*E8+D14*E14</f>
        <v>530133.33333333326</v>
      </c>
      <c r="E15" s="48">
        <v>0.04</v>
      </c>
      <c r="F15" t="s">
        <v>94</v>
      </c>
      <c r="G15" s="55" t="s">
        <v>90</v>
      </c>
      <c r="H15" s="32">
        <f>H13*D4</f>
        <v>81000</v>
      </c>
      <c r="I15" s="43"/>
      <c r="L15" s="40"/>
    </row>
    <row r="16" spans="2:12" x14ac:dyDescent="0.35">
      <c r="C16" s="47" t="s">
        <v>95</v>
      </c>
      <c r="D16" s="32">
        <f>SUMPRODUCT(D9:D13,E9:E13)</f>
        <v>238500</v>
      </c>
      <c r="E16" s="48">
        <v>0.01</v>
      </c>
      <c r="F16" t="s">
        <v>96</v>
      </c>
      <c r="G16" s="32" t="s">
        <v>97</v>
      </c>
      <c r="H16" s="32">
        <f>(H12+H13)*D4</f>
        <v>81000</v>
      </c>
      <c r="K16" s="56"/>
      <c r="L16" s="40"/>
    </row>
    <row r="17" spans="2:12" x14ac:dyDescent="0.35">
      <c r="C17" s="57"/>
      <c r="G17" s="32" t="s">
        <v>98</v>
      </c>
      <c r="H17" s="42">
        <f>D15/(H16+H4*D4)</f>
        <v>5.1869439298666729</v>
      </c>
      <c r="L17" s="40"/>
    </row>
    <row r="18" spans="2:12" ht="15" thickBot="1" x14ac:dyDescent="0.4">
      <c r="C18" s="58"/>
      <c r="D18" s="59"/>
      <c r="E18" s="59"/>
      <c r="F18" s="59"/>
      <c r="G18" s="59"/>
      <c r="H18" s="59"/>
      <c r="I18" s="59"/>
      <c r="J18" s="59"/>
      <c r="K18" s="59"/>
      <c r="L18" s="60"/>
    </row>
    <row r="20" spans="2:12" ht="15" thickBot="1" x14ac:dyDescent="0.4">
      <c r="H20" s="61"/>
    </row>
    <row r="21" spans="2:12" x14ac:dyDescent="0.35">
      <c r="C21" s="112" t="s">
        <v>141</v>
      </c>
      <c r="D21" s="113"/>
      <c r="E21" s="113"/>
      <c r="F21" s="113"/>
      <c r="G21" s="113"/>
      <c r="H21" s="113"/>
      <c r="I21" s="113"/>
      <c r="J21" s="113"/>
      <c r="K21" s="113"/>
      <c r="L21" s="114"/>
    </row>
    <row r="22" spans="2:12" x14ac:dyDescent="0.35">
      <c r="C22" s="38" t="s">
        <v>65</v>
      </c>
      <c r="G22" s="39" t="s">
        <v>66</v>
      </c>
      <c r="K22" s="39" t="s">
        <v>67</v>
      </c>
      <c r="L22" s="40"/>
    </row>
    <row r="23" spans="2:12" x14ac:dyDescent="0.35">
      <c r="C23" s="41" t="s">
        <v>68</v>
      </c>
      <c r="D23" s="32">
        <f>D4</f>
        <v>1350</v>
      </c>
      <c r="G23" s="32" t="s">
        <v>69</v>
      </c>
      <c r="H23" s="42">
        <f>D34*E34/D23</f>
        <v>14.843456790123454</v>
      </c>
      <c r="I23" s="43">
        <f t="shared" ref="I23:I33" si="1">H23/$H$14</f>
        <v>4.1467432241901164E-2</v>
      </c>
      <c r="K23" s="44" t="s">
        <v>70</v>
      </c>
      <c r="L23" s="45">
        <v>1</v>
      </c>
    </row>
    <row r="24" spans="2:12" x14ac:dyDescent="0.35">
      <c r="C24" s="41" t="s">
        <v>71</v>
      </c>
      <c r="D24" s="44">
        <v>8</v>
      </c>
      <c r="G24" s="32" t="s">
        <v>72</v>
      </c>
      <c r="H24" s="42">
        <f>D34*E35/D23</f>
        <v>3.7108641975308636</v>
      </c>
      <c r="I24" s="43">
        <f t="shared" si="1"/>
        <v>1.0366858060475291E-2</v>
      </c>
      <c r="K24" s="32" t="s">
        <v>73</v>
      </c>
      <c r="L24" s="46">
        <f>D23*(H33-H29)</f>
        <v>204363.66666666666</v>
      </c>
    </row>
    <row r="25" spans="2:12" x14ac:dyDescent="0.35">
      <c r="C25" s="47" t="s">
        <v>74</v>
      </c>
      <c r="D25" s="42">
        <f>30/D24</f>
        <v>3.75</v>
      </c>
      <c r="G25" s="32" t="s">
        <v>36</v>
      </c>
      <c r="H25" s="42">
        <f>D35/D23</f>
        <v>6.1728395061728385</v>
      </c>
      <c r="I25" s="43">
        <f t="shared" si="1"/>
        <v>1.7244756904110873E-2</v>
      </c>
      <c r="K25" s="32" t="s">
        <v>75</v>
      </c>
      <c r="L25" s="46">
        <f>L24*12</f>
        <v>2452364</v>
      </c>
    </row>
    <row r="26" spans="2:12" x14ac:dyDescent="0.35">
      <c r="C26" s="41" t="s">
        <v>76</v>
      </c>
      <c r="D26" s="48">
        <v>0.15</v>
      </c>
      <c r="F26" s="44">
        <v>38</v>
      </c>
      <c r="G26" s="32" t="s">
        <v>77</v>
      </c>
      <c r="H26" s="42">
        <f>D27*F26/D23</f>
        <v>11.653333333333332</v>
      </c>
      <c r="I26" s="43">
        <f t="shared" si="1"/>
        <v>3.2555341873856669E-2</v>
      </c>
      <c r="K26" s="32" t="s">
        <v>78</v>
      </c>
      <c r="L26" s="46">
        <f>L24*L23</f>
        <v>204363.66666666666</v>
      </c>
    </row>
    <row r="27" spans="2:12" x14ac:dyDescent="0.35">
      <c r="C27" s="41" t="s">
        <v>79</v>
      </c>
      <c r="D27" s="49">
        <f>D23/D25*(1+D26)</f>
        <v>413.99999999999994</v>
      </c>
      <c r="E27" s="62">
        <v>1200</v>
      </c>
      <c r="G27" s="32" t="s">
        <v>80</v>
      </c>
      <c r="H27" s="32">
        <v>5</v>
      </c>
      <c r="I27" s="43">
        <f t="shared" si="1"/>
        <v>1.3968253092329809E-2</v>
      </c>
      <c r="L27" s="40"/>
    </row>
    <row r="28" spans="2:12" x14ac:dyDescent="0.35">
      <c r="B28" t="s">
        <v>81</v>
      </c>
      <c r="C28" s="41" t="s">
        <v>82</v>
      </c>
      <c r="D28" s="64">
        <v>0</v>
      </c>
      <c r="E28" s="62">
        <v>20000</v>
      </c>
      <c r="G28" s="44" t="s">
        <v>83</v>
      </c>
      <c r="H28" s="32">
        <f>H9</f>
        <v>50</v>
      </c>
      <c r="I28" s="43">
        <f t="shared" si="1"/>
        <v>0.13968253092329808</v>
      </c>
      <c r="L28" s="40"/>
    </row>
    <row r="29" spans="2:12" x14ac:dyDescent="0.35">
      <c r="C29" s="41" t="s">
        <v>86</v>
      </c>
      <c r="D29" s="64">
        <v>0</v>
      </c>
      <c r="E29" s="62">
        <v>22000</v>
      </c>
      <c r="G29" s="44" t="s">
        <v>85</v>
      </c>
      <c r="H29" s="44">
        <v>10</v>
      </c>
      <c r="I29" s="43">
        <f t="shared" si="1"/>
        <v>2.7936506184659617E-2</v>
      </c>
      <c r="L29" s="40"/>
    </row>
    <row r="30" spans="2:12" x14ac:dyDescent="0.35">
      <c r="C30" s="41" t="s">
        <v>84</v>
      </c>
      <c r="D30" s="64">
        <v>0</v>
      </c>
      <c r="E30" s="62">
        <v>25000</v>
      </c>
      <c r="G30" s="44" t="s">
        <v>87</v>
      </c>
      <c r="H30" s="44">
        <v>0</v>
      </c>
      <c r="I30" s="43">
        <f t="shared" si="1"/>
        <v>0</v>
      </c>
      <c r="L30" s="40"/>
    </row>
    <row r="31" spans="2:12" x14ac:dyDescent="0.35">
      <c r="C31" s="41" t="s">
        <v>106</v>
      </c>
      <c r="D31" s="64" t="s">
        <v>143</v>
      </c>
      <c r="E31" s="62">
        <v>30000</v>
      </c>
      <c r="G31" s="44" t="s">
        <v>89</v>
      </c>
      <c r="H31" s="44">
        <v>0</v>
      </c>
      <c r="I31" s="43">
        <f t="shared" si="1"/>
        <v>0</v>
      </c>
      <c r="L31" s="40"/>
    </row>
    <row r="32" spans="2:12" x14ac:dyDescent="0.35">
      <c r="C32" s="41" t="s">
        <v>88</v>
      </c>
      <c r="D32" s="64">
        <f>D13</f>
        <v>0.16666666666666666</v>
      </c>
      <c r="E32" s="62">
        <v>50000</v>
      </c>
      <c r="G32" s="51" t="s">
        <v>90</v>
      </c>
      <c r="H32" s="52">
        <v>60</v>
      </c>
      <c r="I32" s="43">
        <f t="shared" si="1"/>
        <v>0.1676190371079577</v>
      </c>
      <c r="L32" s="40"/>
    </row>
    <row r="33" spans="3:12" x14ac:dyDescent="0.35">
      <c r="C33" s="53" t="s">
        <v>91</v>
      </c>
      <c r="D33" s="54">
        <f>SUM(D29:D32)</f>
        <v>0.16666666666666666</v>
      </c>
      <c r="E33" s="62">
        <v>25000</v>
      </c>
      <c r="G33" s="32" t="s">
        <v>92</v>
      </c>
      <c r="H33" s="33">
        <f>SUM(H23:H32)</f>
        <v>161.38049382716048</v>
      </c>
      <c r="I33" s="43">
        <f t="shared" si="1"/>
        <v>0.45084071638858919</v>
      </c>
      <c r="L33" s="40"/>
    </row>
    <row r="34" spans="3:12" x14ac:dyDescent="0.35">
      <c r="C34" s="47" t="s">
        <v>93</v>
      </c>
      <c r="D34" s="32">
        <f>D27*E27+D33*E33</f>
        <v>500966.66666666663</v>
      </c>
      <c r="E34" s="48">
        <v>0.04</v>
      </c>
      <c r="F34" t="s">
        <v>94</v>
      </c>
      <c r="G34" s="55" t="s">
        <v>90</v>
      </c>
      <c r="H34" s="32">
        <f>H32*D23</f>
        <v>81000</v>
      </c>
      <c r="I34" s="43"/>
      <c r="L34" s="40"/>
    </row>
    <row r="35" spans="3:12" x14ac:dyDescent="0.35">
      <c r="C35" s="47" t="s">
        <v>95</v>
      </c>
      <c r="D35" s="32">
        <f>SUMPRODUCT(D28:D32,E28:E32)</f>
        <v>8333.3333333333321</v>
      </c>
      <c r="E35" s="48">
        <v>0.01</v>
      </c>
      <c r="F35" t="s">
        <v>96</v>
      </c>
      <c r="G35" s="32" t="s">
        <v>97</v>
      </c>
      <c r="H35" s="32">
        <f>(H31+H32)*D23</f>
        <v>81000</v>
      </c>
      <c r="K35" s="56"/>
      <c r="L35" s="40"/>
    </row>
    <row r="36" spans="3:12" x14ac:dyDescent="0.35">
      <c r="C36" s="57"/>
      <c r="G36" s="32" t="s">
        <v>98</v>
      </c>
      <c r="H36" s="42">
        <f>D34/(H35+H23*D23)</f>
        <v>4.9581678301376373</v>
      </c>
      <c r="L36" s="40"/>
    </row>
    <row r="37" spans="3:12" ht="15" thickBot="1" x14ac:dyDescent="0.4">
      <c r="C37" s="58"/>
      <c r="D37" s="59"/>
      <c r="E37" s="59"/>
      <c r="F37" s="59"/>
      <c r="G37" s="59"/>
      <c r="H37" s="59"/>
      <c r="I37" s="59"/>
      <c r="J37" s="59"/>
      <c r="K37" s="59"/>
      <c r="L37" s="60"/>
    </row>
  </sheetData>
  <mergeCells count="2">
    <mergeCell ref="C2:L2"/>
    <mergeCell ref="C21:L2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232E9-F513-4FC0-B0D8-A533239E9009}">
  <dimension ref="B1:L37"/>
  <sheetViews>
    <sheetView topLeftCell="A6" zoomScaleNormal="100" workbookViewId="0">
      <selection activeCell="E8" sqref="E8"/>
    </sheetView>
  </sheetViews>
  <sheetFormatPr defaultRowHeight="14.5" x14ac:dyDescent="0.35"/>
  <cols>
    <col min="2" max="2" width="17.81640625" bestFit="1" customWidth="1"/>
    <col min="3" max="3" width="22.6328125" bestFit="1" customWidth="1"/>
    <col min="5" max="5" width="10" customWidth="1"/>
    <col min="6" max="6" width="7.08984375" customWidth="1"/>
    <col min="7" max="7" width="25" customWidth="1"/>
    <col min="8" max="8" width="11.453125" customWidth="1"/>
    <col min="10" max="10" width="2.81640625" customWidth="1"/>
    <col min="11" max="11" width="16.453125" bestFit="1" customWidth="1"/>
  </cols>
  <sheetData>
    <row r="1" spans="2:12" ht="15" thickBot="1" x14ac:dyDescent="0.4"/>
    <row r="2" spans="2:12" x14ac:dyDescent="0.35">
      <c r="C2" s="112" t="s">
        <v>148</v>
      </c>
      <c r="D2" s="113"/>
      <c r="E2" s="113"/>
      <c r="F2" s="113"/>
      <c r="G2" s="113"/>
      <c r="H2" s="113"/>
      <c r="I2" s="113"/>
      <c r="J2" s="113"/>
      <c r="K2" s="113"/>
      <c r="L2" s="114"/>
    </row>
    <row r="3" spans="2:12" x14ac:dyDescent="0.35">
      <c r="C3" s="38" t="s">
        <v>65</v>
      </c>
      <c r="G3" s="39" t="s">
        <v>66</v>
      </c>
      <c r="K3" s="39" t="s">
        <v>67</v>
      </c>
      <c r="L3" s="40"/>
    </row>
    <row r="4" spans="2:12" x14ac:dyDescent="0.35">
      <c r="C4" s="41" t="s">
        <v>68</v>
      </c>
      <c r="D4" s="50">
        <f>'Field manpower per plant'!E2</f>
        <v>947.1875</v>
      </c>
      <c r="G4" s="32" t="s">
        <v>69</v>
      </c>
      <c r="H4" s="42">
        <f>D15*E15/D4</f>
        <v>16.127676234466069</v>
      </c>
      <c r="I4" s="43">
        <f t="shared" ref="I4:I14" si="0">H4/$H$14</f>
        <v>4.0479173467988905E-2</v>
      </c>
      <c r="K4" s="44" t="s">
        <v>70</v>
      </c>
      <c r="L4" s="45">
        <v>1</v>
      </c>
    </row>
    <row r="5" spans="2:12" x14ac:dyDescent="0.35">
      <c r="C5" s="41" t="s">
        <v>71</v>
      </c>
      <c r="D5" s="44">
        <v>8</v>
      </c>
      <c r="G5" s="32" t="s">
        <v>72</v>
      </c>
      <c r="H5" s="42">
        <f>D15*E16/D4</f>
        <v>4.0319190586165172</v>
      </c>
      <c r="I5" s="43">
        <f t="shared" si="0"/>
        <v>1.0119793366997226E-2</v>
      </c>
      <c r="K5" s="32" t="s">
        <v>73</v>
      </c>
      <c r="L5" s="46">
        <f>D4*(H14-H10)</f>
        <v>367905.72500000003</v>
      </c>
    </row>
    <row r="6" spans="2:12" x14ac:dyDescent="0.35">
      <c r="C6" s="47" t="s">
        <v>74</v>
      </c>
      <c r="D6" s="42">
        <f>30/D5</f>
        <v>3.75</v>
      </c>
      <c r="G6" s="32" t="s">
        <v>36</v>
      </c>
      <c r="H6" s="42">
        <f>D16/D4</f>
        <v>216.60618057846696</v>
      </c>
      <c r="I6" s="43">
        <f t="shared" si="0"/>
        <v>0.54366413551484416</v>
      </c>
      <c r="K6" s="32" t="s">
        <v>75</v>
      </c>
      <c r="L6" s="46">
        <f>L5*12</f>
        <v>4414868.7</v>
      </c>
    </row>
    <row r="7" spans="2:12" x14ac:dyDescent="0.35">
      <c r="C7" s="41" t="s">
        <v>76</v>
      </c>
      <c r="D7" s="48">
        <v>0.15</v>
      </c>
      <c r="F7" s="44">
        <v>38</v>
      </c>
      <c r="G7" s="32" t="s">
        <v>77</v>
      </c>
      <c r="H7" s="42">
        <f>D8*F7/D4</f>
        <v>11.653333333333332</v>
      </c>
      <c r="I7" s="43">
        <f t="shared" si="0"/>
        <v>2.9248931750762805E-2</v>
      </c>
      <c r="K7" s="32" t="s">
        <v>78</v>
      </c>
      <c r="L7" s="46">
        <f>L5*L4</f>
        <v>367905.72500000003</v>
      </c>
    </row>
    <row r="8" spans="2:12" x14ac:dyDescent="0.35">
      <c r="C8" s="41" t="s">
        <v>79</v>
      </c>
      <c r="D8" s="49">
        <f>D4/D6*(1+D7)</f>
        <v>290.4708333333333</v>
      </c>
      <c r="E8" s="62">
        <v>1200</v>
      </c>
      <c r="G8" s="32" t="s">
        <v>80</v>
      </c>
      <c r="H8" s="32">
        <v>5</v>
      </c>
      <c r="I8" s="43">
        <f t="shared" si="0"/>
        <v>1.2549598863313562E-2</v>
      </c>
      <c r="L8" s="40"/>
    </row>
    <row r="9" spans="2:12" x14ac:dyDescent="0.35">
      <c r="B9" t="s">
        <v>81</v>
      </c>
      <c r="C9" s="41" t="s">
        <v>82</v>
      </c>
      <c r="D9" s="64">
        <f>'Field manpower per plant'!E3+'Field manpower per plant'!E4</f>
        <v>8.4166666666666679</v>
      </c>
      <c r="E9" s="62">
        <v>20000</v>
      </c>
      <c r="G9" s="44" t="s">
        <v>83</v>
      </c>
      <c r="H9" s="32">
        <f>'Field manpower per plant'!E10</f>
        <v>50</v>
      </c>
      <c r="I9" s="43">
        <f t="shared" si="0"/>
        <v>0.1254959886331356</v>
      </c>
      <c r="L9" s="40"/>
    </row>
    <row r="10" spans="2:12" x14ac:dyDescent="0.35">
      <c r="C10" s="41" t="s">
        <v>86</v>
      </c>
      <c r="D10" s="64">
        <f>'Field manpower per plant'!C25</f>
        <v>0.5</v>
      </c>
      <c r="E10" s="62">
        <v>22000</v>
      </c>
      <c r="G10" s="44" t="s">
        <v>85</v>
      </c>
      <c r="H10" s="44">
        <v>10</v>
      </c>
      <c r="I10" s="43">
        <f t="shared" si="0"/>
        <v>2.5099197726627123E-2</v>
      </c>
      <c r="L10" s="40"/>
    </row>
    <row r="11" spans="2:12" x14ac:dyDescent="0.35">
      <c r="C11" s="41" t="s">
        <v>84</v>
      </c>
      <c r="D11" s="64">
        <f>'Field manpower per plant'!C26</f>
        <v>0.5</v>
      </c>
      <c r="E11" s="62">
        <v>25000</v>
      </c>
      <c r="G11" s="44" t="s">
        <v>87</v>
      </c>
      <c r="H11" s="44">
        <v>25</v>
      </c>
      <c r="I11" s="43">
        <f t="shared" si="0"/>
        <v>6.2747994316567801E-2</v>
      </c>
      <c r="L11" s="40"/>
    </row>
    <row r="12" spans="2:12" x14ac:dyDescent="0.35">
      <c r="C12" s="41" t="s">
        <v>106</v>
      </c>
      <c r="D12" s="64">
        <f>'Field manpower per plant'!C27</f>
        <v>0.16666666666666666</v>
      </c>
      <c r="E12" s="62">
        <v>30000</v>
      </c>
      <c r="G12" s="44" t="s">
        <v>89</v>
      </c>
      <c r="H12" s="44">
        <v>0</v>
      </c>
      <c r="I12" s="43">
        <f t="shared" si="0"/>
        <v>0</v>
      </c>
      <c r="L12" s="40"/>
    </row>
    <row r="13" spans="2:12" x14ac:dyDescent="0.35">
      <c r="C13" s="41" t="s">
        <v>88</v>
      </c>
      <c r="D13" s="64">
        <f>'Field manpower per plant'!C28</f>
        <v>0.16666666666666666</v>
      </c>
      <c r="E13" s="62">
        <v>50000</v>
      </c>
      <c r="G13" s="51" t="s">
        <v>90</v>
      </c>
      <c r="H13" s="52">
        <v>60</v>
      </c>
      <c r="I13" s="43">
        <f t="shared" si="0"/>
        <v>0.15059518635976274</v>
      </c>
      <c r="L13" s="40"/>
    </row>
    <row r="14" spans="2:12" x14ac:dyDescent="0.35">
      <c r="C14" s="53" t="s">
        <v>91</v>
      </c>
      <c r="D14" s="54">
        <f>SUM(D10:D13)</f>
        <v>1.3333333333333335</v>
      </c>
      <c r="E14" s="62">
        <v>25000</v>
      </c>
      <c r="G14" s="32" t="s">
        <v>92</v>
      </c>
      <c r="H14" s="33">
        <f>SUM(H4:H13)</f>
        <v>398.41910920488289</v>
      </c>
      <c r="I14" s="43">
        <f t="shared" si="0"/>
        <v>1</v>
      </c>
      <c r="L14" s="40"/>
    </row>
    <row r="15" spans="2:12" x14ac:dyDescent="0.35">
      <c r="C15" s="47" t="s">
        <v>93</v>
      </c>
      <c r="D15" s="32">
        <f>D8*E8+D14*E14</f>
        <v>381898.33333333326</v>
      </c>
      <c r="E15" s="48">
        <v>0.04</v>
      </c>
      <c r="F15" t="s">
        <v>94</v>
      </c>
      <c r="G15" s="55" t="s">
        <v>90</v>
      </c>
      <c r="H15" s="32">
        <f>H13*D4</f>
        <v>56831.25</v>
      </c>
      <c r="I15" s="43"/>
      <c r="L15" s="40"/>
    </row>
    <row r="16" spans="2:12" x14ac:dyDescent="0.35">
      <c r="C16" s="47" t="s">
        <v>95</v>
      </c>
      <c r="D16" s="32">
        <f>SUMPRODUCT(D9:D13,E9:E13)</f>
        <v>205166.66666666669</v>
      </c>
      <c r="E16" s="48">
        <v>0.01</v>
      </c>
      <c r="F16" t="s">
        <v>96</v>
      </c>
      <c r="G16" s="32" t="s">
        <v>97</v>
      </c>
      <c r="H16" s="32">
        <f>(H12+H13)*D4</f>
        <v>56831.25</v>
      </c>
      <c r="K16" s="56"/>
      <c r="L16" s="40"/>
    </row>
    <row r="17" spans="2:12" x14ac:dyDescent="0.35">
      <c r="C17" s="57"/>
      <c r="G17" s="32" t="s">
        <v>98</v>
      </c>
      <c r="H17" s="42">
        <f>D15/(H16+H4*D4)</f>
        <v>5.2962592030243858</v>
      </c>
      <c r="J17">
        <v>2</v>
      </c>
      <c r="L17" s="40"/>
    </row>
    <row r="18" spans="2:12" ht="15" thickBot="1" x14ac:dyDescent="0.4">
      <c r="C18" s="58"/>
      <c r="D18" s="59"/>
      <c r="E18" s="59"/>
      <c r="F18" s="59"/>
      <c r="G18" s="59"/>
      <c r="H18" s="59"/>
      <c r="I18" s="59"/>
      <c r="J18" s="59"/>
      <c r="K18" s="59"/>
      <c r="L18" s="60"/>
    </row>
    <row r="20" spans="2:12" ht="15" thickBot="1" x14ac:dyDescent="0.4">
      <c r="H20" s="61"/>
    </row>
    <row r="21" spans="2:12" x14ac:dyDescent="0.35">
      <c r="C21" s="112" t="s">
        <v>142</v>
      </c>
      <c r="D21" s="113"/>
      <c r="E21" s="113"/>
      <c r="F21" s="113"/>
      <c r="G21" s="113"/>
      <c r="H21" s="113"/>
      <c r="I21" s="113"/>
      <c r="J21" s="113"/>
      <c r="K21" s="113"/>
      <c r="L21" s="114"/>
    </row>
    <row r="22" spans="2:12" x14ac:dyDescent="0.35">
      <c r="C22" s="38" t="s">
        <v>65</v>
      </c>
      <c r="G22" s="39" t="s">
        <v>66</v>
      </c>
      <c r="K22" s="39" t="s">
        <v>67</v>
      </c>
      <c r="L22" s="40"/>
    </row>
    <row r="23" spans="2:12" x14ac:dyDescent="0.35">
      <c r="C23" s="41" t="s">
        <v>68</v>
      </c>
      <c r="D23" s="32">
        <f>D4</f>
        <v>947.1875</v>
      </c>
      <c r="G23" s="32" t="s">
        <v>69</v>
      </c>
      <c r="H23" s="42">
        <f>D34*E34/D23</f>
        <v>14.895959529308257</v>
      </c>
      <c r="I23" s="43">
        <f t="shared" ref="I23:I33" si="1">H23/$H$14</f>
        <v>3.738766335539434E-2</v>
      </c>
      <c r="K23" s="44" t="s">
        <v>70</v>
      </c>
      <c r="L23" s="45">
        <v>1</v>
      </c>
    </row>
    <row r="24" spans="2:12" x14ac:dyDescent="0.35">
      <c r="C24" s="41" t="s">
        <v>71</v>
      </c>
      <c r="D24" s="44">
        <v>8</v>
      </c>
      <c r="G24" s="32" t="s">
        <v>72</v>
      </c>
      <c r="H24" s="42">
        <f>D34*E35/D23</f>
        <v>3.7239898823270643</v>
      </c>
      <c r="I24" s="43">
        <f t="shared" si="1"/>
        <v>9.3469158388485851E-3</v>
      </c>
      <c r="K24" s="32" t="s">
        <v>73</v>
      </c>
      <c r="L24" s="46">
        <f>D23*(H33-H29)</f>
        <v>145934.37083333332</v>
      </c>
    </row>
    <row r="25" spans="2:12" x14ac:dyDescent="0.35">
      <c r="C25" s="47" t="s">
        <v>74</v>
      </c>
      <c r="D25" s="42">
        <f>30/D24</f>
        <v>3.75</v>
      </c>
      <c r="G25" s="32" t="s">
        <v>36</v>
      </c>
      <c r="H25" s="42">
        <f>D35/D23</f>
        <v>8.7979764654129529</v>
      </c>
      <c r="I25" s="43">
        <f t="shared" si="1"/>
        <v>2.2082215089961173E-2</v>
      </c>
      <c r="K25" s="32" t="s">
        <v>75</v>
      </c>
      <c r="L25" s="46">
        <f>L24*12</f>
        <v>1751212.4499999997</v>
      </c>
    </row>
    <row r="26" spans="2:12" x14ac:dyDescent="0.35">
      <c r="C26" s="41" t="s">
        <v>76</v>
      </c>
      <c r="D26" s="48">
        <v>0.15</v>
      </c>
      <c r="F26" s="44">
        <v>38</v>
      </c>
      <c r="G26" s="32" t="s">
        <v>77</v>
      </c>
      <c r="H26" s="42">
        <f>D27*F26/D23</f>
        <v>11.653333333333332</v>
      </c>
      <c r="I26" s="43">
        <f t="shared" si="1"/>
        <v>2.9248931750762805E-2</v>
      </c>
      <c r="K26" s="32" t="s">
        <v>78</v>
      </c>
      <c r="L26" s="46">
        <f>L24*L23</f>
        <v>145934.37083333332</v>
      </c>
    </row>
    <row r="27" spans="2:12" x14ac:dyDescent="0.35">
      <c r="C27" s="41" t="s">
        <v>79</v>
      </c>
      <c r="D27" s="49">
        <f>D23/D25*(1+D26)</f>
        <v>290.4708333333333</v>
      </c>
      <c r="E27" s="62">
        <v>1200</v>
      </c>
      <c r="G27" s="32" t="s">
        <v>80</v>
      </c>
      <c r="H27" s="32">
        <v>5</v>
      </c>
      <c r="I27" s="43">
        <f t="shared" si="1"/>
        <v>1.2549598863313562E-2</v>
      </c>
      <c r="L27" s="40"/>
    </row>
    <row r="28" spans="2:12" x14ac:dyDescent="0.35">
      <c r="B28" t="s">
        <v>81</v>
      </c>
      <c r="C28" s="41" t="s">
        <v>82</v>
      </c>
      <c r="D28" s="64">
        <v>0</v>
      </c>
      <c r="E28" s="62">
        <v>20000</v>
      </c>
      <c r="G28" s="44" t="s">
        <v>83</v>
      </c>
      <c r="H28" s="32">
        <f>H9</f>
        <v>50</v>
      </c>
      <c r="I28" s="43">
        <f t="shared" si="1"/>
        <v>0.1254959886331356</v>
      </c>
      <c r="L28" s="40"/>
    </row>
    <row r="29" spans="2:12" x14ac:dyDescent="0.35">
      <c r="C29" s="41" t="s">
        <v>86</v>
      </c>
      <c r="D29" s="64">
        <v>0</v>
      </c>
      <c r="E29" s="62">
        <v>22000</v>
      </c>
      <c r="G29" s="44" t="s">
        <v>85</v>
      </c>
      <c r="H29" s="44">
        <v>10</v>
      </c>
      <c r="I29" s="43">
        <f t="shared" si="1"/>
        <v>2.5099197726627123E-2</v>
      </c>
      <c r="L29" s="40"/>
    </row>
    <row r="30" spans="2:12" x14ac:dyDescent="0.35">
      <c r="C30" s="41" t="s">
        <v>84</v>
      </c>
      <c r="D30" s="64">
        <v>0</v>
      </c>
      <c r="E30" s="62">
        <v>25000</v>
      </c>
      <c r="G30" s="44" t="s">
        <v>87</v>
      </c>
      <c r="H30" s="44">
        <v>0</v>
      </c>
      <c r="I30" s="43">
        <f t="shared" si="1"/>
        <v>0</v>
      </c>
      <c r="L30" s="40"/>
    </row>
    <row r="31" spans="2:12" x14ac:dyDescent="0.35">
      <c r="C31" s="41" t="s">
        <v>106</v>
      </c>
      <c r="D31" s="64">
        <v>0</v>
      </c>
      <c r="E31" s="62">
        <v>30000</v>
      </c>
      <c r="G31" s="44" t="s">
        <v>89</v>
      </c>
      <c r="H31" s="44">
        <v>0</v>
      </c>
      <c r="I31" s="43">
        <f t="shared" si="1"/>
        <v>0</v>
      </c>
      <c r="L31" s="40"/>
    </row>
    <row r="32" spans="2:12" x14ac:dyDescent="0.35">
      <c r="C32" s="41" t="s">
        <v>88</v>
      </c>
      <c r="D32" s="64">
        <f>D13</f>
        <v>0.16666666666666666</v>
      </c>
      <c r="E32" s="62">
        <v>50000</v>
      </c>
      <c r="G32" s="51" t="s">
        <v>90</v>
      </c>
      <c r="H32" s="52">
        <v>60</v>
      </c>
      <c r="I32" s="43">
        <f t="shared" si="1"/>
        <v>0.15059518635976274</v>
      </c>
      <c r="L32" s="40"/>
    </row>
    <row r="33" spans="3:12" x14ac:dyDescent="0.35">
      <c r="C33" s="53" t="s">
        <v>91</v>
      </c>
      <c r="D33" s="54">
        <f>SUM(D29:D32)</f>
        <v>0.16666666666666666</v>
      </c>
      <c r="E33" s="62">
        <v>25000</v>
      </c>
      <c r="G33" s="32" t="s">
        <v>92</v>
      </c>
      <c r="H33" s="33">
        <f>SUM(H23:H32)</f>
        <v>164.07125921038161</v>
      </c>
      <c r="I33" s="43">
        <f t="shared" si="1"/>
        <v>0.41180569761780594</v>
      </c>
      <c r="L33" s="40"/>
    </row>
    <row r="34" spans="3:12" x14ac:dyDescent="0.35">
      <c r="C34" s="47" t="s">
        <v>93</v>
      </c>
      <c r="D34" s="32">
        <f>D27*E27+D33*E33</f>
        <v>352731.66666666663</v>
      </c>
      <c r="E34" s="48">
        <v>0.04</v>
      </c>
      <c r="F34" t="s">
        <v>94</v>
      </c>
      <c r="G34" s="55" t="s">
        <v>90</v>
      </c>
      <c r="H34" s="32">
        <f>H32*D23</f>
        <v>56831.25</v>
      </c>
      <c r="I34" s="43"/>
      <c r="L34" s="40"/>
    </row>
    <row r="35" spans="3:12" x14ac:dyDescent="0.35">
      <c r="C35" s="47" t="s">
        <v>95</v>
      </c>
      <c r="D35" s="32">
        <f>SUMPRODUCT(D28:D32,E28:E32)</f>
        <v>8333.3333333333321</v>
      </c>
      <c r="E35" s="48">
        <v>0.01</v>
      </c>
      <c r="F35" t="s">
        <v>96</v>
      </c>
      <c r="G35" s="32" t="s">
        <v>97</v>
      </c>
      <c r="H35" s="32">
        <f>(H31+H32)*D23</f>
        <v>56831.25</v>
      </c>
      <c r="K35" s="56"/>
      <c r="L35" s="40"/>
    </row>
    <row r="36" spans="3:12" x14ac:dyDescent="0.35">
      <c r="C36" s="57"/>
      <c r="G36" s="32" t="s">
        <v>98</v>
      </c>
      <c r="H36" s="42">
        <f>D34/(H35+H23*D23)</f>
        <v>4.9722173341938349</v>
      </c>
      <c r="L36" s="40"/>
    </row>
    <row r="37" spans="3:12" ht="15" thickBot="1" x14ac:dyDescent="0.4">
      <c r="C37" s="58"/>
      <c r="D37" s="59"/>
      <c r="E37" s="59"/>
      <c r="F37" s="59"/>
      <c r="G37" s="59"/>
      <c r="H37" s="59"/>
      <c r="I37" s="59"/>
      <c r="J37" s="59"/>
      <c r="K37" s="59"/>
      <c r="L37" s="60"/>
    </row>
  </sheetData>
  <mergeCells count="2">
    <mergeCell ref="C2:L2"/>
    <mergeCell ref="C21:L2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04D46-948C-4428-BE79-FEC601C7B35C}">
  <dimension ref="B1:L37"/>
  <sheetViews>
    <sheetView topLeftCell="B3" zoomScale="104" zoomScaleNormal="85" workbookViewId="0">
      <selection activeCell="E8" sqref="E8"/>
    </sheetView>
  </sheetViews>
  <sheetFormatPr defaultRowHeight="14.5" x14ac:dyDescent="0.35"/>
  <cols>
    <col min="2" max="2" width="17.81640625" bestFit="1" customWidth="1"/>
    <col min="3" max="3" width="22.6328125" bestFit="1" customWidth="1"/>
    <col min="5" max="5" width="10" customWidth="1"/>
    <col min="6" max="6" width="7.08984375" customWidth="1"/>
    <col min="7" max="7" width="25" customWidth="1"/>
    <col min="8" max="8" width="11.453125" customWidth="1"/>
    <col min="10" max="10" width="2.81640625" customWidth="1"/>
    <col min="11" max="11" width="16.453125" bestFit="1" customWidth="1"/>
  </cols>
  <sheetData>
    <row r="1" spans="2:12" ht="15" thickBot="1" x14ac:dyDescent="0.4"/>
    <row r="2" spans="2:12" x14ac:dyDescent="0.35">
      <c r="C2" s="112" t="s">
        <v>149</v>
      </c>
      <c r="D2" s="113"/>
      <c r="E2" s="113"/>
      <c r="F2" s="113"/>
      <c r="G2" s="113"/>
      <c r="H2" s="113"/>
      <c r="I2" s="113"/>
      <c r="J2" s="113"/>
      <c r="K2" s="113"/>
      <c r="L2" s="114"/>
    </row>
    <row r="3" spans="2:12" x14ac:dyDescent="0.35">
      <c r="C3" s="38" t="s">
        <v>65</v>
      </c>
      <c r="G3" s="39" t="s">
        <v>66</v>
      </c>
      <c r="K3" s="39" t="s">
        <v>67</v>
      </c>
      <c r="L3" s="40"/>
    </row>
    <row r="4" spans="2:12" x14ac:dyDescent="0.35">
      <c r="C4" s="41" t="s">
        <v>68</v>
      </c>
      <c r="D4" s="50">
        <f>'Field manpower per plant'!H2</f>
        <v>520.83333333333326</v>
      </c>
      <c r="G4" s="32" t="s">
        <v>69</v>
      </c>
      <c r="H4" s="42">
        <f>D15*E15/D4</f>
        <v>17.279999999999998</v>
      </c>
      <c r="I4" s="43">
        <f t="shared" ref="I4:I14" si="0">H4/$H$14</f>
        <v>3.5912214586566162E-2</v>
      </c>
      <c r="K4" s="44" t="s">
        <v>70</v>
      </c>
      <c r="L4" s="45">
        <v>1</v>
      </c>
    </row>
    <row r="5" spans="2:12" x14ac:dyDescent="0.35">
      <c r="C5" s="41" t="s">
        <v>71</v>
      </c>
      <c r="D5" s="44">
        <v>8</v>
      </c>
      <c r="G5" s="32" t="s">
        <v>72</v>
      </c>
      <c r="H5" s="42">
        <f>D15*E16/D4</f>
        <v>4.3199999999999994</v>
      </c>
      <c r="I5" s="43">
        <f t="shared" si="0"/>
        <v>8.9780536466415404E-3</v>
      </c>
      <c r="K5" s="32" t="s">
        <v>73</v>
      </c>
      <c r="L5" s="46">
        <f>D4*(H14-H10)</f>
        <v>245402.77777777778</v>
      </c>
    </row>
    <row r="6" spans="2:12" x14ac:dyDescent="0.35">
      <c r="C6" s="47" t="s">
        <v>74</v>
      </c>
      <c r="D6" s="42">
        <f>30/D5</f>
        <v>3.75</v>
      </c>
      <c r="G6" s="32" t="s">
        <v>36</v>
      </c>
      <c r="H6" s="42">
        <f>D16/D4</f>
        <v>297.92000000000007</v>
      </c>
      <c r="I6" s="43">
        <f t="shared" si="0"/>
        <v>0.61915318111283535</v>
      </c>
      <c r="K6" s="32" t="s">
        <v>75</v>
      </c>
      <c r="L6" s="46">
        <f>L5*12</f>
        <v>2944833.3333333335</v>
      </c>
    </row>
    <row r="7" spans="2:12" x14ac:dyDescent="0.35">
      <c r="C7" s="41" t="s">
        <v>76</v>
      </c>
      <c r="D7" s="48">
        <v>0.15</v>
      </c>
      <c r="F7" s="44">
        <v>38</v>
      </c>
      <c r="G7" s="32" t="s">
        <v>77</v>
      </c>
      <c r="H7" s="42">
        <f>D8*F7/D4</f>
        <v>11.653333333333331</v>
      </c>
      <c r="I7" s="43">
        <f t="shared" si="0"/>
        <v>2.4218576812236745E-2</v>
      </c>
      <c r="K7" s="32" t="s">
        <v>78</v>
      </c>
      <c r="L7" s="46">
        <f>L5*L4</f>
        <v>245402.77777777778</v>
      </c>
    </row>
    <row r="8" spans="2:12" x14ac:dyDescent="0.35">
      <c r="C8" s="41" t="s">
        <v>79</v>
      </c>
      <c r="D8" s="49">
        <f>D4/D6*(1+D7)</f>
        <v>159.72222222222217</v>
      </c>
      <c r="E8" s="62">
        <v>1200</v>
      </c>
      <c r="G8" s="32" t="s">
        <v>80</v>
      </c>
      <c r="H8" s="32">
        <v>5</v>
      </c>
      <c r="I8" s="43">
        <f t="shared" si="0"/>
        <v>1.0391265794724007E-2</v>
      </c>
      <c r="L8" s="40"/>
    </row>
    <row r="9" spans="2:12" x14ac:dyDescent="0.35">
      <c r="B9" t="s">
        <v>81</v>
      </c>
      <c r="C9" s="41" t="s">
        <v>82</v>
      </c>
      <c r="D9" s="64">
        <f>'Field manpower per plant'!H3+'Field manpower per plant'!H4</f>
        <v>5.916666666666667</v>
      </c>
      <c r="E9" s="62">
        <v>20000</v>
      </c>
      <c r="G9" s="44" t="s">
        <v>83</v>
      </c>
      <c r="H9" s="32">
        <f>'Field manpower per plant'!H10</f>
        <v>50</v>
      </c>
      <c r="I9" s="43">
        <f t="shared" si="0"/>
        <v>0.10391265794724007</v>
      </c>
      <c r="L9" s="40"/>
    </row>
    <row r="10" spans="2:12" x14ac:dyDescent="0.35">
      <c r="C10" s="41" t="s">
        <v>86</v>
      </c>
      <c r="D10" s="64">
        <f>'Field manpower per plant'!C25</f>
        <v>0.5</v>
      </c>
      <c r="E10" s="62">
        <v>22000</v>
      </c>
      <c r="G10" s="44" t="s">
        <v>85</v>
      </c>
      <c r="H10" s="44">
        <v>10</v>
      </c>
      <c r="I10" s="43">
        <f t="shared" si="0"/>
        <v>2.0782531589448015E-2</v>
      </c>
      <c r="L10" s="40"/>
    </row>
    <row r="11" spans="2:12" x14ac:dyDescent="0.35">
      <c r="C11" s="41" t="s">
        <v>84</v>
      </c>
      <c r="D11" s="64">
        <f>'Field manpower per plant'!C26</f>
        <v>0.5</v>
      </c>
      <c r="E11" s="62">
        <v>25000</v>
      </c>
      <c r="G11" s="44" t="s">
        <v>87</v>
      </c>
      <c r="H11" s="44">
        <v>25</v>
      </c>
      <c r="I11" s="43">
        <f t="shared" si="0"/>
        <v>5.1956328973620035E-2</v>
      </c>
      <c r="L11" s="40"/>
    </row>
    <row r="12" spans="2:12" x14ac:dyDescent="0.35">
      <c r="C12" s="41" t="s">
        <v>106</v>
      </c>
      <c r="D12" s="64">
        <f>'Field manpower per plant'!C27</f>
        <v>0.16666666666666666</v>
      </c>
      <c r="E12" s="62">
        <v>30000</v>
      </c>
      <c r="G12" s="44" t="s">
        <v>89</v>
      </c>
      <c r="H12" s="44">
        <v>0</v>
      </c>
      <c r="I12" s="43">
        <f t="shared" si="0"/>
        <v>0</v>
      </c>
      <c r="L12" s="40"/>
    </row>
    <row r="13" spans="2:12" x14ac:dyDescent="0.35">
      <c r="C13" s="41" t="s">
        <v>88</v>
      </c>
      <c r="D13" s="64">
        <f>'Field manpower per plant'!C28</f>
        <v>0.16666666666666666</v>
      </c>
      <c r="E13" s="62">
        <v>50000</v>
      </c>
      <c r="G13" s="51" t="s">
        <v>90</v>
      </c>
      <c r="H13" s="52">
        <v>60</v>
      </c>
      <c r="I13" s="43">
        <f t="shared" si="0"/>
        <v>0.12469518953668808</v>
      </c>
      <c r="L13" s="40"/>
    </row>
    <row r="14" spans="2:12" x14ac:dyDescent="0.35">
      <c r="C14" s="53" t="s">
        <v>91</v>
      </c>
      <c r="D14" s="54">
        <f>SUM(D10:D13)</f>
        <v>1.3333333333333335</v>
      </c>
      <c r="E14" s="62">
        <v>25000</v>
      </c>
      <c r="G14" s="32" t="s">
        <v>92</v>
      </c>
      <c r="H14" s="33">
        <f>SUM(H4:H13)</f>
        <v>481.1733333333334</v>
      </c>
      <c r="I14" s="43">
        <f t="shared" si="0"/>
        <v>1</v>
      </c>
      <c r="L14" s="40"/>
    </row>
    <row r="15" spans="2:12" x14ac:dyDescent="0.35">
      <c r="C15" s="47" t="s">
        <v>93</v>
      </c>
      <c r="D15" s="32">
        <f>D8*E8+D14*E14</f>
        <v>224999.99999999994</v>
      </c>
      <c r="E15" s="48">
        <v>0.04</v>
      </c>
      <c r="F15" t="s">
        <v>94</v>
      </c>
      <c r="G15" s="55" t="s">
        <v>90</v>
      </c>
      <c r="H15" s="32">
        <f>H13*D4</f>
        <v>31249.999999999996</v>
      </c>
      <c r="I15" s="43"/>
      <c r="L15" s="40"/>
    </row>
    <row r="16" spans="2:12" x14ac:dyDescent="0.35">
      <c r="C16" s="47" t="s">
        <v>95</v>
      </c>
      <c r="D16" s="32">
        <f>SUMPRODUCT(D9:D13,E9:E13)</f>
        <v>155166.66666666669</v>
      </c>
      <c r="E16" s="48">
        <v>0.01</v>
      </c>
      <c r="F16" t="s">
        <v>96</v>
      </c>
      <c r="G16" s="32" t="s">
        <v>97</v>
      </c>
      <c r="H16" s="32">
        <f>(H12+H13)*D4</f>
        <v>31249.999999999996</v>
      </c>
      <c r="K16" s="56"/>
      <c r="L16" s="40"/>
    </row>
    <row r="17" spans="2:12" x14ac:dyDescent="0.35">
      <c r="C17" s="57"/>
      <c r="G17" s="32" t="s">
        <v>98</v>
      </c>
      <c r="H17" s="42">
        <f>D15/(H16+H4*D4)</f>
        <v>5.5900621118012417</v>
      </c>
      <c r="J17">
        <v>2</v>
      </c>
      <c r="L17" s="40"/>
    </row>
    <row r="18" spans="2:12" ht="15" thickBot="1" x14ac:dyDescent="0.4">
      <c r="C18" s="58"/>
      <c r="D18" s="59"/>
      <c r="E18" s="59"/>
      <c r="F18" s="59"/>
      <c r="G18" s="59"/>
      <c r="H18" s="59"/>
      <c r="I18" s="59"/>
      <c r="J18" s="59"/>
      <c r="K18" s="59"/>
      <c r="L18" s="60"/>
    </row>
    <row r="20" spans="2:12" ht="15" thickBot="1" x14ac:dyDescent="0.4">
      <c r="H20" s="61"/>
    </row>
    <row r="21" spans="2:12" x14ac:dyDescent="0.35">
      <c r="C21" s="112" t="s">
        <v>144</v>
      </c>
      <c r="D21" s="113"/>
      <c r="E21" s="113"/>
      <c r="F21" s="113"/>
      <c r="G21" s="113"/>
      <c r="H21" s="113"/>
      <c r="I21" s="113"/>
      <c r="J21" s="113"/>
      <c r="K21" s="113"/>
      <c r="L21" s="114"/>
    </row>
    <row r="22" spans="2:12" x14ac:dyDescent="0.35">
      <c r="C22" s="38" t="s">
        <v>65</v>
      </c>
      <c r="G22" s="39" t="s">
        <v>66</v>
      </c>
      <c r="K22" s="39" t="s">
        <v>67</v>
      </c>
      <c r="L22" s="40"/>
    </row>
    <row r="23" spans="2:12" x14ac:dyDescent="0.35">
      <c r="C23" s="41" t="s">
        <v>68</v>
      </c>
      <c r="D23" s="32">
        <f>D4</f>
        <v>520.83333333333326</v>
      </c>
      <c r="G23" s="32" t="s">
        <v>69</v>
      </c>
      <c r="H23" s="42">
        <f>D34*E34/D23</f>
        <v>15.039999999999996</v>
      </c>
      <c r="I23" s="43">
        <f t="shared" ref="I23:I33" si="1">H23/$H$14</f>
        <v>3.1256927510529803E-2</v>
      </c>
      <c r="K23" s="44" t="s">
        <v>70</v>
      </c>
      <c r="L23" s="45">
        <v>1</v>
      </c>
    </row>
    <row r="24" spans="2:12" x14ac:dyDescent="0.35">
      <c r="C24" s="41" t="s">
        <v>71</v>
      </c>
      <c r="D24" s="44">
        <v>8</v>
      </c>
      <c r="G24" s="32" t="s">
        <v>72</v>
      </c>
      <c r="H24" s="42">
        <f>D34*E35/D23</f>
        <v>3.7599999999999989</v>
      </c>
      <c r="I24" s="43">
        <f t="shared" si="1"/>
        <v>7.8142318776324507E-3</v>
      </c>
      <c r="K24" s="32" t="s">
        <v>73</v>
      </c>
      <c r="L24" s="46">
        <f>D23*(H33-H29)</f>
        <v>84090.277777777752</v>
      </c>
    </row>
    <row r="25" spans="2:12" x14ac:dyDescent="0.35">
      <c r="C25" s="47" t="s">
        <v>74</v>
      </c>
      <c r="D25" s="42">
        <f>30/D24</f>
        <v>3.75</v>
      </c>
      <c r="G25" s="32" t="s">
        <v>36</v>
      </c>
      <c r="H25" s="42">
        <f>D35/D23</f>
        <v>16</v>
      </c>
      <c r="I25" s="43">
        <f t="shared" si="1"/>
        <v>3.3252050543116821E-2</v>
      </c>
      <c r="K25" s="32" t="s">
        <v>75</v>
      </c>
      <c r="L25" s="46">
        <f>L24*12</f>
        <v>1009083.333333333</v>
      </c>
    </row>
    <row r="26" spans="2:12" x14ac:dyDescent="0.35">
      <c r="C26" s="41" t="s">
        <v>76</v>
      </c>
      <c r="D26" s="48">
        <v>0.15</v>
      </c>
      <c r="F26" s="44">
        <v>38</v>
      </c>
      <c r="G26" s="32" t="s">
        <v>77</v>
      </c>
      <c r="H26" s="42">
        <f>D27*F26/D23</f>
        <v>11.653333333333331</v>
      </c>
      <c r="I26" s="43">
        <f t="shared" si="1"/>
        <v>2.4218576812236745E-2</v>
      </c>
      <c r="K26" s="32" t="s">
        <v>78</v>
      </c>
      <c r="L26" s="46">
        <f>L24*L23</f>
        <v>84090.277777777752</v>
      </c>
    </row>
    <row r="27" spans="2:12" x14ac:dyDescent="0.35">
      <c r="C27" s="41" t="s">
        <v>79</v>
      </c>
      <c r="D27" s="49">
        <f>D23/D25*(1+D26)</f>
        <v>159.72222222222217</v>
      </c>
      <c r="E27" s="62">
        <v>1200</v>
      </c>
      <c r="G27" s="32" t="s">
        <v>80</v>
      </c>
      <c r="H27" s="32">
        <v>5</v>
      </c>
      <c r="I27" s="43">
        <f t="shared" si="1"/>
        <v>1.0391265794724007E-2</v>
      </c>
      <c r="L27" s="40"/>
    </row>
    <row r="28" spans="2:12" x14ac:dyDescent="0.35">
      <c r="B28" t="s">
        <v>81</v>
      </c>
      <c r="C28" s="41" t="s">
        <v>82</v>
      </c>
      <c r="D28" s="64">
        <v>0</v>
      </c>
      <c r="E28" s="62">
        <v>20000</v>
      </c>
      <c r="G28" s="44" t="s">
        <v>83</v>
      </c>
      <c r="H28" s="32">
        <f>H9</f>
        <v>50</v>
      </c>
      <c r="I28" s="43">
        <f t="shared" si="1"/>
        <v>0.10391265794724007</v>
      </c>
      <c r="L28" s="40"/>
    </row>
    <row r="29" spans="2:12" x14ac:dyDescent="0.35">
      <c r="C29" s="41" t="s">
        <v>86</v>
      </c>
      <c r="D29" s="64">
        <v>0</v>
      </c>
      <c r="E29" s="62">
        <v>22000</v>
      </c>
      <c r="G29" s="44" t="s">
        <v>85</v>
      </c>
      <c r="H29" s="44">
        <v>10</v>
      </c>
      <c r="I29" s="43">
        <f t="shared" si="1"/>
        <v>2.0782531589448015E-2</v>
      </c>
      <c r="L29" s="40"/>
    </row>
    <row r="30" spans="2:12" x14ac:dyDescent="0.35">
      <c r="C30" s="41" t="s">
        <v>84</v>
      </c>
      <c r="D30" s="64">
        <v>0</v>
      </c>
      <c r="E30" s="62">
        <v>25000</v>
      </c>
      <c r="G30" s="44" t="s">
        <v>87</v>
      </c>
      <c r="H30" s="44">
        <v>0</v>
      </c>
      <c r="I30" s="43">
        <f t="shared" si="1"/>
        <v>0</v>
      </c>
      <c r="L30" s="40"/>
    </row>
    <row r="31" spans="2:12" x14ac:dyDescent="0.35">
      <c r="C31" s="41" t="s">
        <v>106</v>
      </c>
      <c r="D31" s="64">
        <v>0</v>
      </c>
      <c r="E31" s="62">
        <v>30000</v>
      </c>
      <c r="G31" s="44" t="s">
        <v>89</v>
      </c>
      <c r="H31" s="44">
        <v>0</v>
      </c>
      <c r="I31" s="43">
        <f t="shared" si="1"/>
        <v>0</v>
      </c>
      <c r="L31" s="40"/>
    </row>
    <row r="32" spans="2:12" x14ac:dyDescent="0.35">
      <c r="C32" s="41" t="s">
        <v>88</v>
      </c>
      <c r="D32" s="64">
        <f>D13</f>
        <v>0.16666666666666666</v>
      </c>
      <c r="E32" s="62">
        <v>50000</v>
      </c>
      <c r="G32" s="51" t="s">
        <v>90</v>
      </c>
      <c r="H32" s="52">
        <v>60</v>
      </c>
      <c r="I32" s="43">
        <f t="shared" si="1"/>
        <v>0.12469518953668808</v>
      </c>
      <c r="L32" s="40"/>
    </row>
    <row r="33" spans="3:12" x14ac:dyDescent="0.35">
      <c r="C33" s="53" t="s">
        <v>91</v>
      </c>
      <c r="D33" s="54">
        <f>SUM(D29:D32)</f>
        <v>0.16666666666666666</v>
      </c>
      <c r="E33" s="62">
        <v>25000</v>
      </c>
      <c r="G33" s="32" t="s">
        <v>92</v>
      </c>
      <c r="H33" s="33">
        <f>SUM(H23:H32)</f>
        <v>171.45333333333332</v>
      </c>
      <c r="I33" s="43">
        <f t="shared" si="1"/>
        <v>0.35632343161161595</v>
      </c>
      <c r="L33" s="40"/>
    </row>
    <row r="34" spans="3:12" x14ac:dyDescent="0.35">
      <c r="C34" s="47" t="s">
        <v>93</v>
      </c>
      <c r="D34" s="32">
        <f>D27*E27+D33*E33</f>
        <v>195833.33333333326</v>
      </c>
      <c r="E34" s="48">
        <v>0.04</v>
      </c>
      <c r="F34" t="s">
        <v>94</v>
      </c>
      <c r="G34" s="55" t="s">
        <v>90</v>
      </c>
      <c r="H34" s="32">
        <f>H32*D23</f>
        <v>31249.999999999996</v>
      </c>
      <c r="I34" s="43"/>
      <c r="L34" s="40"/>
    </row>
    <row r="35" spans="3:12" x14ac:dyDescent="0.35">
      <c r="C35" s="47" t="s">
        <v>95</v>
      </c>
      <c r="D35" s="32">
        <f>SUMPRODUCT(D28:D32,E28:E32)</f>
        <v>8333.3333333333321</v>
      </c>
      <c r="E35" s="48">
        <v>0.01</v>
      </c>
      <c r="F35" t="s">
        <v>96</v>
      </c>
      <c r="G35" s="32" t="s">
        <v>97</v>
      </c>
      <c r="H35" s="32">
        <f>(H31+H32)*D23</f>
        <v>31249.999999999996</v>
      </c>
      <c r="K35" s="56"/>
      <c r="L35" s="40"/>
    </row>
    <row r="36" spans="3:12" x14ac:dyDescent="0.35">
      <c r="C36" s="57"/>
      <c r="G36" s="32" t="s">
        <v>98</v>
      </c>
      <c r="H36" s="42">
        <f>D34/(H35+H23*D23)</f>
        <v>5.0106609808102336</v>
      </c>
      <c r="L36" s="40"/>
    </row>
    <row r="37" spans="3:12" ht="15" thickBot="1" x14ac:dyDescent="0.4">
      <c r="C37" s="58"/>
      <c r="D37" s="59"/>
      <c r="E37" s="59"/>
      <c r="F37" s="59"/>
      <c r="G37" s="59"/>
      <c r="H37" s="59"/>
      <c r="I37" s="59"/>
      <c r="J37" s="59"/>
      <c r="K37" s="59"/>
      <c r="L37" s="60"/>
    </row>
  </sheetData>
  <mergeCells count="2">
    <mergeCell ref="C2:L2"/>
    <mergeCell ref="C21:L2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0E41B-1C59-440B-9C60-C0169A9FF3C3}">
  <dimension ref="B1:L37"/>
  <sheetViews>
    <sheetView topLeftCell="B1" zoomScale="104" zoomScaleNormal="85" workbookViewId="0">
      <selection activeCell="E8" sqref="E8"/>
    </sheetView>
  </sheetViews>
  <sheetFormatPr defaultRowHeight="14.5" x14ac:dyDescent="0.35"/>
  <cols>
    <col min="2" max="2" width="17.81640625" bestFit="1" customWidth="1"/>
    <col min="3" max="3" width="22.6328125" bestFit="1" customWidth="1"/>
    <col min="5" max="5" width="10" customWidth="1"/>
    <col min="6" max="6" width="7.08984375" customWidth="1"/>
    <col min="7" max="7" width="25" customWidth="1"/>
    <col min="8" max="8" width="11.453125" customWidth="1"/>
    <col min="10" max="10" width="2.81640625" customWidth="1"/>
    <col min="11" max="11" width="16.453125" bestFit="1" customWidth="1"/>
  </cols>
  <sheetData>
    <row r="1" spans="2:12" ht="15" thickBot="1" x14ac:dyDescent="0.4"/>
    <row r="2" spans="2:12" x14ac:dyDescent="0.35">
      <c r="C2" s="112" t="s">
        <v>150</v>
      </c>
      <c r="D2" s="113"/>
      <c r="E2" s="113"/>
      <c r="F2" s="113"/>
      <c r="G2" s="113"/>
      <c r="H2" s="113"/>
      <c r="I2" s="113"/>
      <c r="J2" s="113"/>
      <c r="K2" s="113"/>
      <c r="L2" s="114"/>
    </row>
    <row r="3" spans="2:12" x14ac:dyDescent="0.35">
      <c r="C3" s="38" t="s">
        <v>65</v>
      </c>
      <c r="G3" s="39" t="s">
        <v>66</v>
      </c>
      <c r="K3" s="39" t="s">
        <v>67</v>
      </c>
      <c r="L3" s="40"/>
    </row>
    <row r="4" spans="2:12" x14ac:dyDescent="0.35">
      <c r="C4" s="41" t="s">
        <v>68</v>
      </c>
      <c r="D4" s="50">
        <f>'Field manpower per plant'!B13</f>
        <v>141.25</v>
      </c>
      <c r="G4" s="32" t="s">
        <v>69</v>
      </c>
      <c r="H4" s="42">
        <f>D15*E15/D4</f>
        <v>24.159528023598821</v>
      </c>
      <c r="I4" s="43">
        <f t="shared" ref="I4:I14" si="0">H4/$H$14</f>
        <v>3.5084592882189576E-2</v>
      </c>
      <c r="K4" s="44" t="s">
        <v>70</v>
      </c>
      <c r="L4" s="45">
        <v>1</v>
      </c>
    </row>
    <row r="5" spans="2:12" x14ac:dyDescent="0.35">
      <c r="C5" s="41" t="s">
        <v>71</v>
      </c>
      <c r="D5" s="44">
        <v>8</v>
      </c>
      <c r="G5" s="32" t="s">
        <v>72</v>
      </c>
      <c r="H5" s="42">
        <f>D15*E16/D4</f>
        <v>6.0398820058997051</v>
      </c>
      <c r="I5" s="43">
        <f t="shared" si="0"/>
        <v>8.771148220547394E-3</v>
      </c>
      <c r="K5" s="32" t="s">
        <v>73</v>
      </c>
      <c r="L5" s="46">
        <f>D4*(H14-H10)</f>
        <v>95853.366666666654</v>
      </c>
    </row>
    <row r="6" spans="2:12" x14ac:dyDescent="0.35">
      <c r="C6" s="47" t="s">
        <v>74</v>
      </c>
      <c r="D6" s="42">
        <f>30/D5</f>
        <v>3.75</v>
      </c>
      <c r="G6" s="32" t="s">
        <v>36</v>
      </c>
      <c r="H6" s="42">
        <f>D16/D4</f>
        <v>496.75516224188783</v>
      </c>
      <c r="I6" s="43">
        <f t="shared" si="0"/>
        <v>0.72139044323873802</v>
      </c>
      <c r="K6" s="32" t="s">
        <v>75</v>
      </c>
      <c r="L6" s="46">
        <f>L5*12</f>
        <v>1150240.3999999999</v>
      </c>
    </row>
    <row r="7" spans="2:12" x14ac:dyDescent="0.35">
      <c r="C7" s="41" t="s">
        <v>76</v>
      </c>
      <c r="D7" s="48">
        <v>0.15</v>
      </c>
      <c r="F7" s="44">
        <v>38</v>
      </c>
      <c r="G7" s="32" t="s">
        <v>77</v>
      </c>
      <c r="H7" s="42">
        <f>D8*F7/D4</f>
        <v>11.653333333333332</v>
      </c>
      <c r="I7" s="43">
        <f t="shared" si="0"/>
        <v>1.6923031580794359E-2</v>
      </c>
      <c r="K7" s="32" t="s">
        <v>78</v>
      </c>
      <c r="L7" s="46">
        <f>L5*L4</f>
        <v>95853.366666666654</v>
      </c>
    </row>
    <row r="8" spans="2:12" x14ac:dyDescent="0.35">
      <c r="C8" s="41" t="s">
        <v>79</v>
      </c>
      <c r="D8" s="49">
        <f>D4/D6*(1+D7)</f>
        <v>43.316666666666663</v>
      </c>
      <c r="E8" s="62">
        <v>1200</v>
      </c>
      <c r="G8" s="32" t="s">
        <v>80</v>
      </c>
      <c r="H8" s="32">
        <v>5</v>
      </c>
      <c r="I8" s="43">
        <f t="shared" si="0"/>
        <v>7.2610261359243537E-3</v>
      </c>
      <c r="L8" s="40"/>
    </row>
    <row r="9" spans="2:12" x14ac:dyDescent="0.35">
      <c r="B9" t="s">
        <v>81</v>
      </c>
      <c r="C9" s="41" t="s">
        <v>82</v>
      </c>
      <c r="D9" s="64">
        <f>'Field manpower per plant'!B14+'Field manpower per plant'!B15</f>
        <v>1.6666666666666665</v>
      </c>
      <c r="E9" s="62">
        <v>20000</v>
      </c>
      <c r="G9" s="44" t="s">
        <v>83</v>
      </c>
      <c r="H9" s="32">
        <f>'Field manpower per plant'!B21</f>
        <v>50</v>
      </c>
      <c r="I9" s="43">
        <f t="shared" si="0"/>
        <v>7.2610261359243533E-2</v>
      </c>
      <c r="L9" s="40"/>
    </row>
    <row r="10" spans="2:12" x14ac:dyDescent="0.35">
      <c r="C10" s="41" t="s">
        <v>86</v>
      </c>
      <c r="D10" s="64">
        <f>'Field manpower per plant'!C25</f>
        <v>0.5</v>
      </c>
      <c r="E10" s="62">
        <v>22000</v>
      </c>
      <c r="G10" s="44" t="s">
        <v>85</v>
      </c>
      <c r="H10" s="44">
        <v>10</v>
      </c>
      <c r="I10" s="43">
        <f t="shared" si="0"/>
        <v>1.4522052271848707E-2</v>
      </c>
      <c r="L10" s="40"/>
    </row>
    <row r="11" spans="2:12" x14ac:dyDescent="0.35">
      <c r="C11" s="41" t="s">
        <v>84</v>
      </c>
      <c r="D11" s="64">
        <f>'Field manpower per plant'!C26</f>
        <v>0.5</v>
      </c>
      <c r="E11" s="62">
        <v>25000</v>
      </c>
      <c r="G11" s="44" t="s">
        <v>87</v>
      </c>
      <c r="H11" s="44">
        <v>25</v>
      </c>
      <c r="I11" s="43">
        <f t="shared" si="0"/>
        <v>3.6305130679621767E-2</v>
      </c>
      <c r="L11" s="40"/>
    </row>
    <row r="12" spans="2:12" x14ac:dyDescent="0.35">
      <c r="C12" s="41" t="s">
        <v>106</v>
      </c>
      <c r="D12" s="64">
        <f>'Field manpower per plant'!C27</f>
        <v>0.16666666666666666</v>
      </c>
      <c r="E12" s="62">
        <v>30000</v>
      </c>
      <c r="G12" s="44" t="s">
        <v>89</v>
      </c>
      <c r="H12" s="44">
        <v>0</v>
      </c>
      <c r="I12" s="43">
        <f t="shared" si="0"/>
        <v>0</v>
      </c>
      <c r="L12" s="40"/>
    </row>
    <row r="13" spans="2:12" x14ac:dyDescent="0.35">
      <c r="C13" s="41" t="s">
        <v>88</v>
      </c>
      <c r="D13" s="64">
        <f>'Field manpower per plant'!C28</f>
        <v>0.16666666666666666</v>
      </c>
      <c r="E13" s="62">
        <v>50000</v>
      </c>
      <c r="G13" s="51" t="s">
        <v>90</v>
      </c>
      <c r="H13" s="52">
        <v>60</v>
      </c>
      <c r="I13" s="43">
        <f t="shared" si="0"/>
        <v>8.7132313631092251E-2</v>
      </c>
      <c r="L13" s="40"/>
    </row>
    <row r="14" spans="2:12" x14ac:dyDescent="0.35">
      <c r="C14" s="53" t="s">
        <v>91</v>
      </c>
      <c r="D14" s="54">
        <f>SUM(D10:D13)</f>
        <v>1.3333333333333335</v>
      </c>
      <c r="E14" s="62">
        <v>25000</v>
      </c>
      <c r="G14" s="32" t="s">
        <v>92</v>
      </c>
      <c r="H14" s="33">
        <f>SUM(H4:H13)</f>
        <v>688.60790560471969</v>
      </c>
      <c r="I14" s="43">
        <f t="shared" si="0"/>
        <v>1</v>
      </c>
      <c r="L14" s="40"/>
    </row>
    <row r="15" spans="2:12" x14ac:dyDescent="0.35">
      <c r="C15" s="47" t="s">
        <v>93</v>
      </c>
      <c r="D15" s="32">
        <f>D8*E8+D14*E14</f>
        <v>85313.333333333328</v>
      </c>
      <c r="E15" s="48">
        <v>0.04</v>
      </c>
      <c r="F15" t="s">
        <v>94</v>
      </c>
      <c r="G15" s="55" t="s">
        <v>90</v>
      </c>
      <c r="H15" s="32">
        <f>H13*D4</f>
        <v>8475</v>
      </c>
      <c r="I15" s="43"/>
      <c r="L15" s="40"/>
    </row>
    <row r="16" spans="2:12" x14ac:dyDescent="0.35">
      <c r="C16" s="47" t="s">
        <v>95</v>
      </c>
      <c r="D16" s="32">
        <f>SUMPRODUCT(D9:D13,E9:E13)</f>
        <v>70166.666666666657</v>
      </c>
      <c r="E16" s="48">
        <v>0.01</v>
      </c>
      <c r="F16" t="s">
        <v>96</v>
      </c>
      <c r="G16" s="32" t="s">
        <v>97</v>
      </c>
      <c r="H16" s="32">
        <f>(H12+H13)*D4</f>
        <v>8475</v>
      </c>
      <c r="K16" s="56"/>
      <c r="L16" s="40"/>
    </row>
    <row r="17" spans="2:12" x14ac:dyDescent="0.35">
      <c r="C17" s="57"/>
      <c r="G17" s="32" t="s">
        <v>98</v>
      </c>
      <c r="H17" s="42">
        <f>D15/(H16+H4*D4)</f>
        <v>7.1767061291100482</v>
      </c>
      <c r="J17">
        <v>2</v>
      </c>
      <c r="L17" s="40"/>
    </row>
    <row r="18" spans="2:12" ht="15" thickBot="1" x14ac:dyDescent="0.4">
      <c r="C18" s="58"/>
      <c r="D18" s="59"/>
      <c r="E18" s="59"/>
      <c r="F18" s="59"/>
      <c r="G18" s="59"/>
      <c r="H18" s="59"/>
      <c r="I18" s="59"/>
      <c r="J18" s="59"/>
      <c r="K18" s="59"/>
      <c r="L18" s="60"/>
    </row>
    <row r="20" spans="2:12" ht="15" thickBot="1" x14ac:dyDescent="0.4">
      <c r="H20" s="61"/>
    </row>
    <row r="21" spans="2:12" x14ac:dyDescent="0.35">
      <c r="C21" s="112" t="s">
        <v>145</v>
      </c>
      <c r="D21" s="113"/>
      <c r="E21" s="113"/>
      <c r="F21" s="113"/>
      <c r="G21" s="113"/>
      <c r="H21" s="113"/>
      <c r="I21" s="113"/>
      <c r="J21" s="113"/>
      <c r="K21" s="113"/>
      <c r="L21" s="114"/>
    </row>
    <row r="22" spans="2:12" x14ac:dyDescent="0.35">
      <c r="C22" s="38" t="s">
        <v>65</v>
      </c>
      <c r="G22" s="39" t="s">
        <v>66</v>
      </c>
      <c r="K22" s="39" t="s">
        <v>67</v>
      </c>
      <c r="L22" s="40"/>
    </row>
    <row r="23" spans="2:12" x14ac:dyDescent="0.35">
      <c r="C23" s="41" t="s">
        <v>68</v>
      </c>
      <c r="D23" s="32">
        <f>D4</f>
        <v>141.25</v>
      </c>
      <c r="G23" s="32" t="s">
        <v>69</v>
      </c>
      <c r="H23" s="42">
        <f>D34*E34/D23</f>
        <v>15.89994100294985</v>
      </c>
      <c r="I23" s="43">
        <f t="shared" ref="I23:I33" si="1">H23/$H$14</f>
        <v>2.3089977436414829E-2</v>
      </c>
      <c r="K23" s="44" t="s">
        <v>70</v>
      </c>
      <c r="L23" s="45">
        <v>1</v>
      </c>
    </row>
    <row r="24" spans="2:12" x14ac:dyDescent="0.35">
      <c r="C24" s="41" t="s">
        <v>71</v>
      </c>
      <c r="D24" s="44">
        <v>8</v>
      </c>
      <c r="G24" s="32" t="s">
        <v>72</v>
      </c>
      <c r="H24" s="42">
        <f>D34*E35/D23</f>
        <v>3.9749852507374626</v>
      </c>
      <c r="I24" s="43">
        <f t="shared" si="1"/>
        <v>5.7724943591037072E-3</v>
      </c>
      <c r="K24" s="32" t="s">
        <v>73</v>
      </c>
      <c r="L24" s="46">
        <f>D23*(H33-H29)</f>
        <v>29030.449999999997</v>
      </c>
    </row>
    <row r="25" spans="2:12" x14ac:dyDescent="0.35">
      <c r="C25" s="47" t="s">
        <v>74</v>
      </c>
      <c r="D25" s="42">
        <f>30/D24</f>
        <v>3.75</v>
      </c>
      <c r="G25" s="32" t="s">
        <v>36</v>
      </c>
      <c r="H25" s="42">
        <f>D35/D23</f>
        <v>58.997050147492615</v>
      </c>
      <c r="I25" s="43">
        <f t="shared" si="1"/>
        <v>8.5675824612676726E-2</v>
      </c>
      <c r="K25" s="32" t="s">
        <v>75</v>
      </c>
      <c r="L25" s="46">
        <f>L24*12</f>
        <v>348365.39999999997</v>
      </c>
    </row>
    <row r="26" spans="2:12" x14ac:dyDescent="0.35">
      <c r="C26" s="41" t="s">
        <v>76</v>
      </c>
      <c r="D26" s="48">
        <v>0.15</v>
      </c>
      <c r="F26" s="44">
        <v>38</v>
      </c>
      <c r="G26" s="32" t="s">
        <v>77</v>
      </c>
      <c r="H26" s="42">
        <f>D27*F26/D23</f>
        <v>11.653333333333332</v>
      </c>
      <c r="I26" s="43">
        <f t="shared" si="1"/>
        <v>1.6923031580794359E-2</v>
      </c>
      <c r="K26" s="32" t="s">
        <v>78</v>
      </c>
      <c r="L26" s="46">
        <f>L24*L23</f>
        <v>29030.449999999997</v>
      </c>
    </row>
    <row r="27" spans="2:12" x14ac:dyDescent="0.35">
      <c r="C27" s="41" t="s">
        <v>79</v>
      </c>
      <c r="D27" s="49">
        <f>D23/D25*(1+D26)</f>
        <v>43.316666666666663</v>
      </c>
      <c r="E27" s="62">
        <v>1200</v>
      </c>
      <c r="G27" s="32" t="s">
        <v>80</v>
      </c>
      <c r="H27" s="32">
        <v>5</v>
      </c>
      <c r="I27" s="43">
        <f t="shared" si="1"/>
        <v>7.2610261359243537E-3</v>
      </c>
      <c r="L27" s="40"/>
    </row>
    <row r="28" spans="2:12" x14ac:dyDescent="0.35">
      <c r="B28" t="s">
        <v>81</v>
      </c>
      <c r="C28" s="41" t="s">
        <v>82</v>
      </c>
      <c r="D28" s="64">
        <v>0</v>
      </c>
      <c r="E28" s="62">
        <v>20000</v>
      </c>
      <c r="G28" s="44" t="s">
        <v>83</v>
      </c>
      <c r="H28" s="32">
        <f>H9</f>
        <v>50</v>
      </c>
      <c r="I28" s="43">
        <f t="shared" si="1"/>
        <v>7.2610261359243533E-2</v>
      </c>
      <c r="L28" s="40"/>
    </row>
    <row r="29" spans="2:12" x14ac:dyDescent="0.35">
      <c r="C29" s="41" t="s">
        <v>86</v>
      </c>
      <c r="D29" s="64">
        <v>0</v>
      </c>
      <c r="E29" s="62">
        <v>22000</v>
      </c>
      <c r="G29" s="44" t="s">
        <v>85</v>
      </c>
      <c r="H29" s="44">
        <v>10</v>
      </c>
      <c r="I29" s="43">
        <f t="shared" si="1"/>
        <v>1.4522052271848707E-2</v>
      </c>
      <c r="L29" s="40"/>
    </row>
    <row r="30" spans="2:12" x14ac:dyDescent="0.35">
      <c r="C30" s="41" t="s">
        <v>84</v>
      </c>
      <c r="D30" s="64">
        <v>0</v>
      </c>
      <c r="E30" s="62">
        <v>25000</v>
      </c>
      <c r="G30" s="44" t="s">
        <v>87</v>
      </c>
      <c r="H30" s="44">
        <v>0</v>
      </c>
      <c r="I30" s="43">
        <f t="shared" si="1"/>
        <v>0</v>
      </c>
      <c r="L30" s="40"/>
    </row>
    <row r="31" spans="2:12" x14ac:dyDescent="0.35">
      <c r="C31" s="41" t="s">
        <v>106</v>
      </c>
      <c r="D31" s="64">
        <v>0</v>
      </c>
      <c r="E31" s="62">
        <v>30000</v>
      </c>
      <c r="G31" s="44" t="s">
        <v>89</v>
      </c>
      <c r="H31" s="44">
        <v>0</v>
      </c>
      <c r="I31" s="43">
        <f t="shared" si="1"/>
        <v>0</v>
      </c>
      <c r="L31" s="40"/>
    </row>
    <row r="32" spans="2:12" x14ac:dyDescent="0.35">
      <c r="C32" s="41" t="s">
        <v>88</v>
      </c>
      <c r="D32" s="64">
        <f>D13</f>
        <v>0.16666666666666666</v>
      </c>
      <c r="E32" s="62">
        <v>50000</v>
      </c>
      <c r="G32" s="51" t="s">
        <v>90</v>
      </c>
      <c r="H32" s="52">
        <v>60</v>
      </c>
      <c r="I32" s="43">
        <f t="shared" si="1"/>
        <v>8.7132313631092251E-2</v>
      </c>
      <c r="L32" s="40"/>
    </row>
    <row r="33" spans="3:12" x14ac:dyDescent="0.35">
      <c r="C33" s="53" t="s">
        <v>91</v>
      </c>
      <c r="D33" s="54">
        <f>SUM(D29:D32)</f>
        <v>0.16666666666666666</v>
      </c>
      <c r="E33" s="62">
        <v>25000</v>
      </c>
      <c r="G33" s="32" t="s">
        <v>92</v>
      </c>
      <c r="H33" s="33">
        <f>SUM(H23:H32)</f>
        <v>215.52530973451326</v>
      </c>
      <c r="I33" s="43">
        <f t="shared" si="1"/>
        <v>0.31298698138709846</v>
      </c>
      <c r="L33" s="40"/>
    </row>
    <row r="34" spans="3:12" x14ac:dyDescent="0.35">
      <c r="C34" s="47" t="s">
        <v>93</v>
      </c>
      <c r="D34" s="32">
        <f>D27*E27+D33*E33</f>
        <v>56146.666666666657</v>
      </c>
      <c r="E34" s="48">
        <v>0.04</v>
      </c>
      <c r="F34" t="s">
        <v>94</v>
      </c>
      <c r="G34" s="55" t="s">
        <v>90</v>
      </c>
      <c r="H34" s="32">
        <f>H32*D23</f>
        <v>8475</v>
      </c>
      <c r="I34" s="43"/>
      <c r="L34" s="40"/>
    </row>
    <row r="35" spans="3:12" x14ac:dyDescent="0.35">
      <c r="C35" s="47" t="s">
        <v>95</v>
      </c>
      <c r="D35" s="32">
        <f>SUMPRODUCT(D28:D32,E28:E32)</f>
        <v>8333.3333333333321</v>
      </c>
      <c r="E35" s="48">
        <v>0.01</v>
      </c>
      <c r="F35" t="s">
        <v>96</v>
      </c>
      <c r="G35" s="32" t="s">
        <v>97</v>
      </c>
      <c r="H35" s="32">
        <f>(H31+H32)*D23</f>
        <v>8475</v>
      </c>
      <c r="K35" s="56"/>
      <c r="L35" s="40"/>
    </row>
    <row r="36" spans="3:12" x14ac:dyDescent="0.35">
      <c r="C36" s="57"/>
      <c r="G36" s="32" t="s">
        <v>98</v>
      </c>
      <c r="H36" s="42">
        <f>D34/(H35+H23*D23)</f>
        <v>5.2371387885307774</v>
      </c>
      <c r="L36" s="40"/>
    </row>
    <row r="37" spans="3:12" ht="15" thickBot="1" x14ac:dyDescent="0.4">
      <c r="C37" s="58"/>
      <c r="D37" s="59"/>
      <c r="E37" s="59"/>
      <c r="F37" s="59"/>
      <c r="G37" s="59"/>
      <c r="H37" s="59"/>
      <c r="I37" s="59"/>
      <c r="J37" s="59"/>
      <c r="K37" s="59"/>
      <c r="L37" s="60"/>
    </row>
  </sheetData>
  <mergeCells count="2">
    <mergeCell ref="C2:L2"/>
    <mergeCell ref="C21:L2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15646-68E6-4C40-B6F2-797D2F435255}">
  <dimension ref="B1:L37"/>
  <sheetViews>
    <sheetView topLeftCell="B22" zoomScale="104" zoomScaleNormal="85" workbookViewId="0">
      <selection activeCell="E27" sqref="E27"/>
    </sheetView>
  </sheetViews>
  <sheetFormatPr defaultRowHeight="14.5" x14ac:dyDescent="0.35"/>
  <cols>
    <col min="2" max="2" width="17.81640625" bestFit="1" customWidth="1"/>
    <col min="3" max="3" width="22.6328125" bestFit="1" customWidth="1"/>
    <col min="5" max="5" width="10" customWidth="1"/>
    <col min="6" max="6" width="7.08984375" customWidth="1"/>
    <col min="7" max="7" width="25" customWidth="1"/>
    <col min="8" max="8" width="11.453125" customWidth="1"/>
    <col min="10" max="10" width="2.81640625" customWidth="1"/>
    <col min="11" max="11" width="16.453125" bestFit="1" customWidth="1"/>
  </cols>
  <sheetData>
    <row r="1" spans="2:12" ht="15" thickBot="1" x14ac:dyDescent="0.4"/>
    <row r="2" spans="2:12" x14ac:dyDescent="0.35">
      <c r="C2" s="112" t="s">
        <v>151</v>
      </c>
      <c r="D2" s="113"/>
      <c r="E2" s="113"/>
      <c r="F2" s="113"/>
      <c r="G2" s="113"/>
      <c r="H2" s="113"/>
      <c r="I2" s="113"/>
      <c r="J2" s="113"/>
      <c r="K2" s="113"/>
      <c r="L2" s="114"/>
    </row>
    <row r="3" spans="2:12" x14ac:dyDescent="0.35">
      <c r="C3" s="38" t="s">
        <v>65</v>
      </c>
      <c r="G3" s="39" t="s">
        <v>66</v>
      </c>
      <c r="K3" s="39" t="s">
        <v>67</v>
      </c>
      <c r="L3" s="40"/>
    </row>
    <row r="4" spans="2:12" x14ac:dyDescent="0.35">
      <c r="C4" s="41" t="s">
        <v>68</v>
      </c>
      <c r="D4" s="50">
        <f>'Field manpower per plant'!E13</f>
        <v>116.66666666666667</v>
      </c>
      <c r="G4" s="32" t="s">
        <v>69</v>
      </c>
      <c r="H4" s="42">
        <f>D15*E15/D4</f>
        <v>26.148571428571426</v>
      </c>
      <c r="I4" s="43">
        <f t="shared" ref="I4:I14" si="0">H4/$H$14</f>
        <v>3.2859556989597347E-2</v>
      </c>
      <c r="K4" s="44" t="s">
        <v>70</v>
      </c>
      <c r="L4" s="45">
        <v>1</v>
      </c>
    </row>
    <row r="5" spans="2:12" x14ac:dyDescent="0.35">
      <c r="C5" s="41" t="s">
        <v>71</v>
      </c>
      <c r="D5" s="44">
        <v>8</v>
      </c>
      <c r="G5" s="32" t="s">
        <v>72</v>
      </c>
      <c r="H5" s="42">
        <f>D15*E16/D4</f>
        <v>6.5371428571428565</v>
      </c>
      <c r="I5" s="43">
        <f t="shared" si="0"/>
        <v>8.2148892473993367E-3</v>
      </c>
      <c r="K5" s="32" t="s">
        <v>73</v>
      </c>
      <c r="L5" s="46">
        <f>D4*(H14-H10)</f>
        <v>91672.888888888876</v>
      </c>
    </row>
    <row r="6" spans="2:12" x14ac:dyDescent="0.35">
      <c r="C6" s="47" t="s">
        <v>74</v>
      </c>
      <c r="D6" s="42">
        <f>30/D5</f>
        <v>3.75</v>
      </c>
      <c r="G6" s="32" t="s">
        <v>36</v>
      </c>
      <c r="H6" s="42">
        <f>D16/D4</f>
        <v>601.42857142857133</v>
      </c>
      <c r="I6" s="43">
        <f t="shared" si="0"/>
        <v>0.75578417245522733</v>
      </c>
      <c r="K6" s="32" t="s">
        <v>75</v>
      </c>
      <c r="L6" s="46">
        <f>L5*12</f>
        <v>1100074.6666666665</v>
      </c>
    </row>
    <row r="7" spans="2:12" x14ac:dyDescent="0.35">
      <c r="C7" s="41" t="s">
        <v>76</v>
      </c>
      <c r="D7" s="48">
        <v>0.15</v>
      </c>
      <c r="F7" s="44">
        <v>38</v>
      </c>
      <c r="G7" s="32" t="s">
        <v>77</v>
      </c>
      <c r="H7" s="42">
        <f>D8*F7/D4</f>
        <v>11.653333333333331</v>
      </c>
      <c r="I7" s="43">
        <f t="shared" si="0"/>
        <v>1.464414114673343E-2</v>
      </c>
      <c r="K7" s="32" t="s">
        <v>78</v>
      </c>
      <c r="L7" s="46">
        <f>L5*L4</f>
        <v>91672.888888888876</v>
      </c>
    </row>
    <row r="8" spans="2:12" x14ac:dyDescent="0.35">
      <c r="C8" s="41" t="s">
        <v>79</v>
      </c>
      <c r="D8" s="49">
        <f>D4/D6*(1+D7)</f>
        <v>35.777777777777771</v>
      </c>
      <c r="E8" s="62">
        <v>1200</v>
      </c>
      <c r="G8" s="32" t="s">
        <v>80</v>
      </c>
      <c r="H8" s="32">
        <v>5</v>
      </c>
      <c r="I8" s="43">
        <f t="shared" si="0"/>
        <v>6.283241338701416E-3</v>
      </c>
      <c r="L8" s="40"/>
    </row>
    <row r="9" spans="2:12" x14ac:dyDescent="0.35">
      <c r="B9" t="s">
        <v>81</v>
      </c>
      <c r="C9" s="41" t="s">
        <v>82</v>
      </c>
      <c r="D9" s="64">
        <f>'Field manpower per plant'!E14+'Field manpower per plant'!E15</f>
        <v>1.6666666666666665</v>
      </c>
      <c r="E9" s="62">
        <v>20000</v>
      </c>
      <c r="G9" s="44" t="s">
        <v>83</v>
      </c>
      <c r="H9" s="32">
        <f>'Field manpower per plant'!E21</f>
        <v>50</v>
      </c>
      <c r="I9" s="43">
        <f t="shared" si="0"/>
        <v>6.283241338701416E-2</v>
      </c>
      <c r="L9" s="40"/>
    </row>
    <row r="10" spans="2:12" x14ac:dyDescent="0.35">
      <c r="C10" s="41" t="s">
        <v>86</v>
      </c>
      <c r="D10" s="64">
        <f>'Field manpower per plant'!C25</f>
        <v>0.5</v>
      </c>
      <c r="E10" s="62">
        <v>22000</v>
      </c>
      <c r="G10" s="44" t="s">
        <v>85</v>
      </c>
      <c r="H10" s="44">
        <v>10</v>
      </c>
      <c r="I10" s="43">
        <f t="shared" si="0"/>
        <v>1.2566482677402832E-2</v>
      </c>
      <c r="L10" s="40"/>
    </row>
    <row r="11" spans="2:12" x14ac:dyDescent="0.35">
      <c r="C11" s="41" t="s">
        <v>84</v>
      </c>
      <c r="D11" s="64">
        <f>'Field manpower per plant'!C26</f>
        <v>0.5</v>
      </c>
      <c r="E11" s="62">
        <v>25000</v>
      </c>
      <c r="G11" s="44" t="s">
        <v>87</v>
      </c>
      <c r="H11" s="44">
        <v>25</v>
      </c>
      <c r="I11" s="43">
        <f t="shared" si="0"/>
        <v>3.141620669350708E-2</v>
      </c>
      <c r="L11" s="40"/>
    </row>
    <row r="12" spans="2:12" x14ac:dyDescent="0.35">
      <c r="C12" s="41" t="s">
        <v>106</v>
      </c>
      <c r="D12" s="64">
        <f>'Field manpower per plant'!C27</f>
        <v>0.16666666666666666</v>
      </c>
      <c r="E12" s="62">
        <v>30000</v>
      </c>
      <c r="G12" s="44" t="s">
        <v>89</v>
      </c>
      <c r="H12" s="44">
        <v>0</v>
      </c>
      <c r="I12" s="43">
        <f t="shared" si="0"/>
        <v>0</v>
      </c>
      <c r="L12" s="40"/>
    </row>
    <row r="13" spans="2:12" x14ac:dyDescent="0.35">
      <c r="C13" s="41" t="s">
        <v>88</v>
      </c>
      <c r="D13" s="64">
        <f>'Field manpower per plant'!C28</f>
        <v>0.16666666666666666</v>
      </c>
      <c r="E13" s="62">
        <v>50000</v>
      </c>
      <c r="G13" s="51" t="s">
        <v>90</v>
      </c>
      <c r="H13" s="52">
        <v>60</v>
      </c>
      <c r="I13" s="43">
        <f t="shared" si="0"/>
        <v>7.5398896064416993E-2</v>
      </c>
      <c r="L13" s="40"/>
    </row>
    <row r="14" spans="2:12" x14ac:dyDescent="0.35">
      <c r="C14" s="53" t="s">
        <v>91</v>
      </c>
      <c r="D14" s="54">
        <f>SUM(D10:D13)</f>
        <v>1.3333333333333335</v>
      </c>
      <c r="E14" s="62">
        <v>25000</v>
      </c>
      <c r="G14" s="32" t="s">
        <v>92</v>
      </c>
      <c r="H14" s="33">
        <f>SUM(H4:H13)</f>
        <v>795.76761904761895</v>
      </c>
      <c r="I14" s="43">
        <f t="shared" si="0"/>
        <v>1</v>
      </c>
      <c r="L14" s="40"/>
    </row>
    <row r="15" spans="2:12" x14ac:dyDescent="0.35">
      <c r="C15" s="47" t="s">
        <v>93</v>
      </c>
      <c r="D15" s="32">
        <f>D8*E8+D14*E14</f>
        <v>76266.666666666657</v>
      </c>
      <c r="E15" s="48">
        <v>0.04</v>
      </c>
      <c r="F15" t="s">
        <v>94</v>
      </c>
      <c r="G15" s="55" t="s">
        <v>90</v>
      </c>
      <c r="H15" s="32">
        <f>H13*D4</f>
        <v>7000</v>
      </c>
      <c r="I15" s="43"/>
      <c r="L15" s="40"/>
    </row>
    <row r="16" spans="2:12" x14ac:dyDescent="0.35">
      <c r="C16" s="47" t="s">
        <v>95</v>
      </c>
      <c r="D16" s="32">
        <f>SUMPRODUCT(D9:D13,E9:E13)</f>
        <v>70166.666666666657</v>
      </c>
      <c r="E16" s="48">
        <v>0.01</v>
      </c>
      <c r="F16" t="s">
        <v>96</v>
      </c>
      <c r="G16" s="32" t="s">
        <v>97</v>
      </c>
      <c r="H16" s="32">
        <f>(H12+H13)*D4</f>
        <v>7000</v>
      </c>
      <c r="K16" s="56"/>
      <c r="L16" s="40"/>
    </row>
    <row r="17" spans="2:12" x14ac:dyDescent="0.35">
      <c r="C17" s="57"/>
      <c r="G17" s="32" t="s">
        <v>98</v>
      </c>
      <c r="H17" s="42">
        <f>D15/(H16+H4*D4)</f>
        <v>7.588219686919607</v>
      </c>
      <c r="J17">
        <v>2</v>
      </c>
      <c r="L17" s="40"/>
    </row>
    <row r="18" spans="2:12" ht="15" thickBot="1" x14ac:dyDescent="0.4">
      <c r="C18" s="58"/>
      <c r="D18" s="59"/>
      <c r="E18" s="59"/>
      <c r="F18" s="59"/>
      <c r="G18" s="59"/>
      <c r="H18" s="59"/>
      <c r="I18" s="59"/>
      <c r="J18" s="59"/>
      <c r="K18" s="59"/>
      <c r="L18" s="60"/>
    </row>
    <row r="20" spans="2:12" ht="15" thickBot="1" x14ac:dyDescent="0.4">
      <c r="H20" s="61"/>
    </row>
    <row r="21" spans="2:12" x14ac:dyDescent="0.35">
      <c r="C21" s="112" t="s">
        <v>146</v>
      </c>
      <c r="D21" s="113"/>
      <c r="E21" s="113"/>
      <c r="F21" s="113"/>
      <c r="G21" s="113"/>
      <c r="H21" s="113"/>
      <c r="I21" s="113"/>
      <c r="J21" s="113"/>
      <c r="K21" s="113"/>
      <c r="L21" s="114"/>
    </row>
    <row r="22" spans="2:12" x14ac:dyDescent="0.35">
      <c r="C22" s="38" t="s">
        <v>65</v>
      </c>
      <c r="G22" s="39" t="s">
        <v>66</v>
      </c>
      <c r="K22" s="39" t="s">
        <v>67</v>
      </c>
      <c r="L22" s="40"/>
    </row>
    <row r="23" spans="2:12" x14ac:dyDescent="0.35">
      <c r="C23" s="41" t="s">
        <v>68</v>
      </c>
      <c r="D23" s="32">
        <f>D4</f>
        <v>116.66666666666667</v>
      </c>
      <c r="G23" s="32" t="s">
        <v>69</v>
      </c>
      <c r="H23" s="42">
        <f>D34*E34/D23</f>
        <v>16.148571428571426</v>
      </c>
      <c r="I23" s="43">
        <f t="shared" ref="I23:I33" si="1">H23/$H$14</f>
        <v>2.0293074312194515E-2</v>
      </c>
      <c r="K23" s="44" t="s">
        <v>70</v>
      </c>
      <c r="L23" s="45">
        <v>1</v>
      </c>
    </row>
    <row r="24" spans="2:12" x14ac:dyDescent="0.35">
      <c r="C24" s="41" t="s">
        <v>71</v>
      </c>
      <c r="D24" s="44">
        <v>8</v>
      </c>
      <c r="G24" s="32" t="s">
        <v>72</v>
      </c>
      <c r="H24" s="42">
        <f>D34*E35/D23</f>
        <v>4.0371428571428565</v>
      </c>
      <c r="I24" s="43">
        <f t="shared" si="1"/>
        <v>5.0732685780486286E-3</v>
      </c>
      <c r="K24" s="32" t="s">
        <v>73</v>
      </c>
      <c r="L24" s="46">
        <f>D23*(H33-H29)</f>
        <v>25464.555555555555</v>
      </c>
    </row>
    <row r="25" spans="2:12" x14ac:dyDescent="0.35">
      <c r="C25" s="47" t="s">
        <v>74</v>
      </c>
      <c r="D25" s="42">
        <f>30/D24</f>
        <v>3.75</v>
      </c>
      <c r="G25" s="32" t="s">
        <v>36</v>
      </c>
      <c r="H25" s="42">
        <f>D35/D23</f>
        <v>71.428571428571416</v>
      </c>
      <c r="I25" s="43">
        <f t="shared" si="1"/>
        <v>8.9760590552877356E-2</v>
      </c>
      <c r="K25" s="32" t="s">
        <v>75</v>
      </c>
      <c r="L25" s="46">
        <f>L24*12</f>
        <v>305574.66666666663</v>
      </c>
    </row>
    <row r="26" spans="2:12" x14ac:dyDescent="0.35">
      <c r="C26" s="41" t="s">
        <v>76</v>
      </c>
      <c r="D26" s="48">
        <v>0.15</v>
      </c>
      <c r="F26" s="44">
        <v>38</v>
      </c>
      <c r="G26" s="32" t="s">
        <v>77</v>
      </c>
      <c r="H26" s="42">
        <f>D27*F26/D23</f>
        <v>11.653333333333331</v>
      </c>
      <c r="I26" s="43">
        <f t="shared" si="1"/>
        <v>1.464414114673343E-2</v>
      </c>
      <c r="K26" s="32" t="s">
        <v>78</v>
      </c>
      <c r="L26" s="46">
        <f>L24*L23</f>
        <v>25464.555555555555</v>
      </c>
    </row>
    <row r="27" spans="2:12" x14ac:dyDescent="0.35">
      <c r="C27" s="41" t="s">
        <v>79</v>
      </c>
      <c r="D27" s="49">
        <f>D23/D25*(1+D26)</f>
        <v>35.777777777777771</v>
      </c>
      <c r="E27" s="62">
        <v>1200</v>
      </c>
      <c r="G27" s="32" t="s">
        <v>80</v>
      </c>
      <c r="H27" s="32">
        <v>5</v>
      </c>
      <c r="I27" s="43">
        <f t="shared" si="1"/>
        <v>6.283241338701416E-3</v>
      </c>
      <c r="L27" s="40"/>
    </row>
    <row r="28" spans="2:12" x14ac:dyDescent="0.35">
      <c r="B28" t="s">
        <v>81</v>
      </c>
      <c r="C28" s="41" t="s">
        <v>82</v>
      </c>
      <c r="D28" s="64">
        <v>0</v>
      </c>
      <c r="E28" s="62">
        <v>20000</v>
      </c>
      <c r="G28" s="44" t="s">
        <v>83</v>
      </c>
      <c r="H28" s="32">
        <f>H9</f>
        <v>50</v>
      </c>
      <c r="I28" s="43">
        <f t="shared" si="1"/>
        <v>6.283241338701416E-2</v>
      </c>
      <c r="L28" s="40"/>
    </row>
    <row r="29" spans="2:12" x14ac:dyDescent="0.35">
      <c r="C29" s="41" t="s">
        <v>86</v>
      </c>
      <c r="D29" s="64">
        <v>0</v>
      </c>
      <c r="E29" s="62">
        <v>22000</v>
      </c>
      <c r="G29" s="44" t="s">
        <v>85</v>
      </c>
      <c r="H29" s="44">
        <v>10</v>
      </c>
      <c r="I29" s="43">
        <f t="shared" si="1"/>
        <v>1.2566482677402832E-2</v>
      </c>
      <c r="L29" s="40"/>
    </row>
    <row r="30" spans="2:12" x14ac:dyDescent="0.35">
      <c r="C30" s="41" t="s">
        <v>84</v>
      </c>
      <c r="D30" s="64">
        <v>0</v>
      </c>
      <c r="E30" s="62">
        <v>25000</v>
      </c>
      <c r="G30" s="44" t="s">
        <v>87</v>
      </c>
      <c r="H30" s="44">
        <v>0</v>
      </c>
      <c r="I30" s="43">
        <f t="shared" si="1"/>
        <v>0</v>
      </c>
      <c r="L30" s="40"/>
    </row>
    <row r="31" spans="2:12" x14ac:dyDescent="0.35">
      <c r="C31" s="41" t="s">
        <v>106</v>
      </c>
      <c r="D31" s="64">
        <v>0</v>
      </c>
      <c r="E31" s="62">
        <v>30000</v>
      </c>
      <c r="G31" s="44" t="s">
        <v>89</v>
      </c>
      <c r="H31" s="44">
        <v>0</v>
      </c>
      <c r="I31" s="43">
        <f t="shared" si="1"/>
        <v>0</v>
      </c>
      <c r="L31" s="40"/>
    </row>
    <row r="32" spans="2:12" x14ac:dyDescent="0.35">
      <c r="C32" s="41" t="s">
        <v>88</v>
      </c>
      <c r="D32" s="64">
        <f>D13</f>
        <v>0.16666666666666666</v>
      </c>
      <c r="E32" s="62">
        <v>50000</v>
      </c>
      <c r="G32" s="51" t="s">
        <v>90</v>
      </c>
      <c r="H32" s="52">
        <v>60</v>
      </c>
      <c r="I32" s="43">
        <f t="shared" si="1"/>
        <v>7.5398896064416993E-2</v>
      </c>
      <c r="L32" s="40"/>
    </row>
    <row r="33" spans="3:12" x14ac:dyDescent="0.35">
      <c r="C33" s="53" t="s">
        <v>91</v>
      </c>
      <c r="D33" s="54">
        <f>SUM(D29:D32)</f>
        <v>0.16666666666666666</v>
      </c>
      <c r="E33" s="62">
        <v>25000</v>
      </c>
      <c r="G33" s="32" t="s">
        <v>92</v>
      </c>
      <c r="H33" s="33">
        <f>SUM(H23:H32)</f>
        <v>228.26761904761904</v>
      </c>
      <c r="I33" s="43">
        <f t="shared" si="1"/>
        <v>0.28685210805738937</v>
      </c>
      <c r="L33" s="40"/>
    </row>
    <row r="34" spans="3:12" x14ac:dyDescent="0.35">
      <c r="C34" s="47" t="s">
        <v>93</v>
      </c>
      <c r="D34" s="32">
        <f>D27*E27+D33*E33</f>
        <v>47099.999999999993</v>
      </c>
      <c r="E34" s="48">
        <v>0.04</v>
      </c>
      <c r="F34" t="s">
        <v>94</v>
      </c>
      <c r="G34" s="55" t="s">
        <v>90</v>
      </c>
      <c r="H34" s="32">
        <f>H32*D23</f>
        <v>7000</v>
      </c>
      <c r="I34" s="43"/>
      <c r="L34" s="40"/>
    </row>
    <row r="35" spans="3:12" x14ac:dyDescent="0.35">
      <c r="C35" s="47" t="s">
        <v>95</v>
      </c>
      <c r="D35" s="32">
        <f>SUMPRODUCT(D28:D32,E28:E32)</f>
        <v>8333.3333333333321</v>
      </c>
      <c r="E35" s="48">
        <v>0.01</v>
      </c>
      <c r="F35" t="s">
        <v>96</v>
      </c>
      <c r="G35" s="32" t="s">
        <v>97</v>
      </c>
      <c r="H35" s="32">
        <f>(H31+H32)*D23</f>
        <v>7000</v>
      </c>
      <c r="K35" s="56"/>
      <c r="L35" s="40"/>
    </row>
    <row r="36" spans="3:12" x14ac:dyDescent="0.35">
      <c r="C36" s="57"/>
      <c r="G36" s="32" t="s">
        <v>98</v>
      </c>
      <c r="H36" s="42">
        <f>D34/(H35+H23*D23)</f>
        <v>5.3016659162539392</v>
      </c>
      <c r="L36" s="40"/>
    </row>
    <row r="37" spans="3:12" ht="15" thickBot="1" x14ac:dyDescent="0.4">
      <c r="C37" s="58"/>
      <c r="D37" s="59"/>
      <c r="E37" s="59"/>
      <c r="F37" s="59"/>
      <c r="G37" s="59"/>
      <c r="H37" s="59"/>
      <c r="I37" s="59"/>
      <c r="J37" s="59"/>
      <c r="K37" s="59"/>
      <c r="L37" s="60"/>
    </row>
  </sheetData>
  <mergeCells count="2">
    <mergeCell ref="C2:L2"/>
    <mergeCell ref="C21:L2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985F1-10EC-4305-BC30-FB18404788AE}">
  <dimension ref="B1:L37"/>
  <sheetViews>
    <sheetView topLeftCell="B4" zoomScale="104" zoomScaleNormal="85" workbookViewId="0">
      <selection activeCell="E8" sqref="E8"/>
    </sheetView>
  </sheetViews>
  <sheetFormatPr defaultRowHeight="14.5" x14ac:dyDescent="0.35"/>
  <cols>
    <col min="2" max="2" width="17.81640625" bestFit="1" customWidth="1"/>
    <col min="3" max="3" width="22.6328125" bestFit="1" customWidth="1"/>
    <col min="5" max="5" width="10" customWidth="1"/>
    <col min="6" max="6" width="7.08984375" customWidth="1"/>
    <col min="7" max="7" width="25" customWidth="1"/>
    <col min="8" max="8" width="11.453125" customWidth="1"/>
    <col min="10" max="10" width="2.81640625" customWidth="1"/>
    <col min="11" max="11" width="16.453125" bestFit="1" customWidth="1"/>
  </cols>
  <sheetData>
    <row r="1" spans="2:12" ht="15" thickBot="1" x14ac:dyDescent="0.4"/>
    <row r="2" spans="2:12" x14ac:dyDescent="0.35">
      <c r="C2" s="112" t="s">
        <v>152</v>
      </c>
      <c r="D2" s="113"/>
      <c r="E2" s="113"/>
      <c r="F2" s="113"/>
      <c r="G2" s="113"/>
      <c r="H2" s="113"/>
      <c r="I2" s="113"/>
      <c r="J2" s="113"/>
      <c r="K2" s="113"/>
      <c r="L2" s="114"/>
    </row>
    <row r="3" spans="2:12" x14ac:dyDescent="0.35">
      <c r="C3" s="38" t="s">
        <v>65</v>
      </c>
      <c r="G3" s="39" t="s">
        <v>66</v>
      </c>
      <c r="K3" s="39" t="s">
        <v>67</v>
      </c>
      <c r="L3" s="40"/>
    </row>
    <row r="4" spans="2:12" x14ac:dyDescent="0.35">
      <c r="C4" s="41" t="s">
        <v>68</v>
      </c>
      <c r="D4" s="50">
        <f>'Field manpower per plant'!H13</f>
        <v>416.66666666666663</v>
      </c>
      <c r="G4" s="32" t="s">
        <v>69</v>
      </c>
      <c r="H4" s="42">
        <f>D15*E15/D4</f>
        <v>17.920000000000002</v>
      </c>
      <c r="I4" s="43">
        <f t="shared" ref="I4:I14" si="0">H4/$H$14</f>
        <v>3.7611238596294852E-2</v>
      </c>
      <c r="K4" s="44" t="s">
        <v>70</v>
      </c>
      <c r="L4" s="45">
        <v>1</v>
      </c>
    </row>
    <row r="5" spans="2:12" x14ac:dyDescent="0.35">
      <c r="C5" s="41" t="s">
        <v>71</v>
      </c>
      <c r="D5" s="44">
        <v>8</v>
      </c>
      <c r="G5" s="32" t="s">
        <v>72</v>
      </c>
      <c r="H5" s="42">
        <f>D15*E16/D4</f>
        <v>4.4800000000000004</v>
      </c>
      <c r="I5" s="43">
        <f t="shared" si="0"/>
        <v>9.402809649073713E-3</v>
      </c>
      <c r="K5" s="32" t="s">
        <v>73</v>
      </c>
      <c r="L5" s="46">
        <f>D4*(H14-H10)</f>
        <v>194355.55555555553</v>
      </c>
    </row>
    <row r="6" spans="2:12" x14ac:dyDescent="0.35">
      <c r="C6" s="47" t="s">
        <v>74</v>
      </c>
      <c r="D6" s="42">
        <f>30/D5</f>
        <v>3.75</v>
      </c>
      <c r="G6" s="32" t="s">
        <v>36</v>
      </c>
      <c r="H6" s="42">
        <f>D16/D4</f>
        <v>292.40000000000003</v>
      </c>
      <c r="I6" s="43">
        <f t="shared" si="0"/>
        <v>0.61370123691722178</v>
      </c>
      <c r="K6" s="32" t="s">
        <v>75</v>
      </c>
      <c r="L6" s="46">
        <f>L5*12</f>
        <v>2332266.6666666665</v>
      </c>
    </row>
    <row r="7" spans="2:12" x14ac:dyDescent="0.35">
      <c r="C7" s="41" t="s">
        <v>76</v>
      </c>
      <c r="D7" s="48">
        <v>0.15</v>
      </c>
      <c r="F7" s="44">
        <v>38</v>
      </c>
      <c r="G7" s="32" t="s">
        <v>77</v>
      </c>
      <c r="H7" s="42">
        <f>D8*F7/D4</f>
        <v>11.653333333333332</v>
      </c>
      <c r="I7" s="43">
        <f t="shared" si="0"/>
        <v>2.4458498908602449E-2</v>
      </c>
      <c r="K7" s="32" t="s">
        <v>78</v>
      </c>
      <c r="L7" s="46">
        <f>L5*L4</f>
        <v>194355.55555555553</v>
      </c>
    </row>
    <row r="8" spans="2:12" x14ac:dyDescent="0.35">
      <c r="C8" s="41" t="s">
        <v>79</v>
      </c>
      <c r="D8" s="49">
        <f>D4/D6*(1+D7)</f>
        <v>127.77777777777776</v>
      </c>
      <c r="E8" s="62">
        <v>1200</v>
      </c>
      <c r="G8" s="32" t="s">
        <v>80</v>
      </c>
      <c r="H8" s="32">
        <v>5</v>
      </c>
      <c r="I8" s="43">
        <f t="shared" si="0"/>
        <v>1.049420719762691E-2</v>
      </c>
      <c r="L8" s="40"/>
    </row>
    <row r="9" spans="2:12" x14ac:dyDescent="0.35">
      <c r="B9" t="s">
        <v>81</v>
      </c>
      <c r="C9" s="41" t="s">
        <v>82</v>
      </c>
      <c r="D9" s="64">
        <f>'Field manpower per plant'!H14+'Field manpower per plant'!H15</f>
        <v>4.25</v>
      </c>
      <c r="E9" s="62">
        <v>20000</v>
      </c>
      <c r="G9" s="44" t="s">
        <v>83</v>
      </c>
      <c r="H9" s="32">
        <f>'Field manpower per plant'!H21</f>
        <v>50</v>
      </c>
      <c r="I9" s="43">
        <f t="shared" si="0"/>
        <v>0.10494207197626911</v>
      </c>
      <c r="L9" s="40"/>
    </row>
    <row r="10" spans="2:12" x14ac:dyDescent="0.35">
      <c r="C10" s="41" t="s">
        <v>86</v>
      </c>
      <c r="D10" s="64">
        <f>'Field manpower per plant'!C25</f>
        <v>0.5</v>
      </c>
      <c r="E10" s="62">
        <v>22000</v>
      </c>
      <c r="G10" s="44" t="s">
        <v>85</v>
      </c>
      <c r="H10" s="44">
        <v>10</v>
      </c>
      <c r="I10" s="43">
        <f t="shared" si="0"/>
        <v>2.098841439525382E-2</v>
      </c>
      <c r="L10" s="40"/>
    </row>
    <row r="11" spans="2:12" x14ac:dyDescent="0.35">
      <c r="C11" s="41" t="s">
        <v>84</v>
      </c>
      <c r="D11" s="64">
        <f>'Field manpower per plant'!C26</f>
        <v>0.5</v>
      </c>
      <c r="E11" s="62">
        <v>25000</v>
      </c>
      <c r="G11" s="44" t="s">
        <v>87</v>
      </c>
      <c r="H11" s="44">
        <v>25</v>
      </c>
      <c r="I11" s="43">
        <f t="shared" si="0"/>
        <v>5.2471035988134553E-2</v>
      </c>
      <c r="L11" s="40"/>
    </row>
    <row r="12" spans="2:12" x14ac:dyDescent="0.35">
      <c r="C12" s="41" t="s">
        <v>106</v>
      </c>
      <c r="D12" s="64">
        <f>'Field manpower per plant'!C27</f>
        <v>0.16666666666666666</v>
      </c>
      <c r="E12" s="62">
        <v>30000</v>
      </c>
      <c r="G12" s="44" t="s">
        <v>89</v>
      </c>
      <c r="H12" s="44">
        <v>0</v>
      </c>
      <c r="I12" s="43">
        <f t="shared" si="0"/>
        <v>0</v>
      </c>
      <c r="L12" s="40"/>
    </row>
    <row r="13" spans="2:12" x14ac:dyDescent="0.35">
      <c r="C13" s="41" t="s">
        <v>88</v>
      </c>
      <c r="D13" s="64">
        <f>'Field manpower per plant'!C28</f>
        <v>0.16666666666666666</v>
      </c>
      <c r="E13" s="62">
        <v>50000</v>
      </c>
      <c r="G13" s="51" t="s">
        <v>90</v>
      </c>
      <c r="H13" s="52">
        <v>60</v>
      </c>
      <c r="I13" s="43">
        <f t="shared" si="0"/>
        <v>0.12593048637152293</v>
      </c>
      <c r="L13" s="40"/>
    </row>
    <row r="14" spans="2:12" x14ac:dyDescent="0.35">
      <c r="C14" s="53" t="s">
        <v>91</v>
      </c>
      <c r="D14" s="54">
        <f>SUM(D10:D13)</f>
        <v>1.3333333333333335</v>
      </c>
      <c r="E14" s="62">
        <v>25000</v>
      </c>
      <c r="G14" s="32" t="s">
        <v>92</v>
      </c>
      <c r="H14" s="33">
        <f>SUM(H4:H13)</f>
        <v>476.45333333333332</v>
      </c>
      <c r="I14" s="43">
        <f t="shared" si="0"/>
        <v>1</v>
      </c>
      <c r="L14" s="40"/>
    </row>
    <row r="15" spans="2:12" x14ac:dyDescent="0.35">
      <c r="C15" s="47" t="s">
        <v>93</v>
      </c>
      <c r="D15" s="32">
        <f>D8*E8+D14*E14</f>
        <v>186666.66666666666</v>
      </c>
      <c r="E15" s="48">
        <v>0.04</v>
      </c>
      <c r="F15" t="s">
        <v>94</v>
      </c>
      <c r="G15" s="55" t="s">
        <v>90</v>
      </c>
      <c r="H15" s="32">
        <f>H13*D4</f>
        <v>24999.999999999996</v>
      </c>
      <c r="I15" s="43"/>
      <c r="L15" s="40"/>
    </row>
    <row r="16" spans="2:12" x14ac:dyDescent="0.35">
      <c r="C16" s="47" t="s">
        <v>95</v>
      </c>
      <c r="D16" s="32">
        <f>SUMPRODUCT(D9:D13,E9:E13)</f>
        <v>121833.33333333333</v>
      </c>
      <c r="E16" s="48">
        <v>0.01</v>
      </c>
      <c r="F16" t="s">
        <v>96</v>
      </c>
      <c r="G16" s="32" t="s">
        <v>97</v>
      </c>
      <c r="H16" s="32">
        <f>(H12+H13)*D4</f>
        <v>24999.999999999996</v>
      </c>
      <c r="K16" s="56"/>
      <c r="L16" s="40"/>
    </row>
    <row r="17" spans="2:12" x14ac:dyDescent="0.35">
      <c r="C17" s="57"/>
      <c r="G17" s="32" t="s">
        <v>98</v>
      </c>
      <c r="H17" s="42">
        <f>D15/(H16+H4*D4)</f>
        <v>5.7494866529774127</v>
      </c>
      <c r="J17">
        <v>2</v>
      </c>
      <c r="L17" s="40"/>
    </row>
    <row r="18" spans="2:12" ht="15" thickBot="1" x14ac:dyDescent="0.4">
      <c r="C18" s="58"/>
      <c r="D18" s="59"/>
      <c r="E18" s="59"/>
      <c r="F18" s="59"/>
      <c r="G18" s="59"/>
      <c r="H18" s="59"/>
      <c r="I18" s="59"/>
      <c r="J18" s="59"/>
      <c r="K18" s="59"/>
      <c r="L18" s="60"/>
    </row>
    <row r="20" spans="2:12" ht="15" thickBot="1" x14ac:dyDescent="0.4">
      <c r="H20" s="61"/>
    </row>
    <row r="21" spans="2:12" x14ac:dyDescent="0.35">
      <c r="C21" s="112" t="s">
        <v>147</v>
      </c>
      <c r="D21" s="113"/>
      <c r="E21" s="113"/>
      <c r="F21" s="113"/>
      <c r="G21" s="113"/>
      <c r="H21" s="113"/>
      <c r="I21" s="113"/>
      <c r="J21" s="113"/>
      <c r="K21" s="113"/>
      <c r="L21" s="114"/>
    </row>
    <row r="22" spans="2:12" x14ac:dyDescent="0.35">
      <c r="C22" s="38" t="s">
        <v>65</v>
      </c>
      <c r="G22" s="39" t="s">
        <v>66</v>
      </c>
      <c r="K22" s="39" t="s">
        <v>67</v>
      </c>
      <c r="L22" s="40"/>
    </row>
    <row r="23" spans="2:12" x14ac:dyDescent="0.35">
      <c r="C23" s="41" t="s">
        <v>68</v>
      </c>
      <c r="D23" s="32">
        <f>D4</f>
        <v>416.66666666666663</v>
      </c>
      <c r="G23" s="32" t="s">
        <v>69</v>
      </c>
      <c r="H23" s="42">
        <f>D34*E34/D23</f>
        <v>15.12</v>
      </c>
      <c r="I23" s="43">
        <f t="shared" ref="I23:I33" si="1">H23/$H$14</f>
        <v>3.1734482565623778E-2</v>
      </c>
      <c r="K23" s="44" t="s">
        <v>70</v>
      </c>
      <c r="L23" s="45">
        <v>1</v>
      </c>
    </row>
    <row r="24" spans="2:12" x14ac:dyDescent="0.35">
      <c r="C24" s="41" t="s">
        <v>71</v>
      </c>
      <c r="D24" s="44">
        <v>8</v>
      </c>
      <c r="G24" s="32" t="s">
        <v>72</v>
      </c>
      <c r="H24" s="42">
        <f>D34*E35/D23</f>
        <v>3.78</v>
      </c>
      <c r="I24" s="43">
        <f t="shared" si="1"/>
        <v>7.9336206414059446E-3</v>
      </c>
      <c r="K24" s="32" t="s">
        <v>73</v>
      </c>
      <c r="L24" s="46">
        <f>D23*(H33-H29)</f>
        <v>68980.555555555547</v>
      </c>
    </row>
    <row r="25" spans="2:12" x14ac:dyDescent="0.35">
      <c r="C25" s="47" t="s">
        <v>74</v>
      </c>
      <c r="D25" s="42">
        <f>30/D24</f>
        <v>3.75</v>
      </c>
      <c r="G25" s="32" t="s">
        <v>36</v>
      </c>
      <c r="H25" s="42">
        <f>D35/D23</f>
        <v>20</v>
      </c>
      <c r="I25" s="43">
        <f t="shared" si="1"/>
        <v>4.1976828790507639E-2</v>
      </c>
      <c r="K25" s="32" t="s">
        <v>75</v>
      </c>
      <c r="L25" s="46">
        <f>L24*12</f>
        <v>827766.66666666651</v>
      </c>
    </row>
    <row r="26" spans="2:12" x14ac:dyDescent="0.35">
      <c r="C26" s="41" t="s">
        <v>76</v>
      </c>
      <c r="D26" s="48">
        <v>0.15</v>
      </c>
      <c r="F26" s="44">
        <v>38</v>
      </c>
      <c r="G26" s="32" t="s">
        <v>77</v>
      </c>
      <c r="H26" s="42">
        <f>D27*F26/D23</f>
        <v>11.653333333333332</v>
      </c>
      <c r="I26" s="43">
        <f t="shared" si="1"/>
        <v>2.4458498908602449E-2</v>
      </c>
      <c r="K26" s="32" t="s">
        <v>78</v>
      </c>
      <c r="L26" s="46">
        <f>L24*L23</f>
        <v>68980.555555555547</v>
      </c>
    </row>
    <row r="27" spans="2:12" x14ac:dyDescent="0.35">
      <c r="C27" s="41" t="s">
        <v>79</v>
      </c>
      <c r="D27" s="49">
        <f>D23/D25*(1+D26)</f>
        <v>127.77777777777776</v>
      </c>
      <c r="E27" s="62">
        <v>1200</v>
      </c>
      <c r="G27" s="32" t="s">
        <v>80</v>
      </c>
      <c r="H27" s="32">
        <v>5</v>
      </c>
      <c r="I27" s="43">
        <f t="shared" si="1"/>
        <v>1.049420719762691E-2</v>
      </c>
      <c r="L27" s="40"/>
    </row>
    <row r="28" spans="2:12" x14ac:dyDescent="0.35">
      <c r="B28" t="s">
        <v>81</v>
      </c>
      <c r="C28" s="41" t="s">
        <v>82</v>
      </c>
      <c r="D28" s="64">
        <v>0</v>
      </c>
      <c r="E28" s="62">
        <v>20000</v>
      </c>
      <c r="G28" s="44" t="s">
        <v>83</v>
      </c>
      <c r="H28" s="32">
        <f>H9</f>
        <v>50</v>
      </c>
      <c r="I28" s="43">
        <f t="shared" si="1"/>
        <v>0.10494207197626911</v>
      </c>
      <c r="L28" s="40"/>
    </row>
    <row r="29" spans="2:12" x14ac:dyDescent="0.35">
      <c r="C29" s="41" t="s">
        <v>86</v>
      </c>
      <c r="D29" s="64">
        <v>0</v>
      </c>
      <c r="E29" s="62">
        <v>22000</v>
      </c>
      <c r="G29" s="44" t="s">
        <v>85</v>
      </c>
      <c r="H29" s="44">
        <v>10</v>
      </c>
      <c r="I29" s="43">
        <f t="shared" si="1"/>
        <v>2.098841439525382E-2</v>
      </c>
      <c r="L29" s="40"/>
    </row>
    <row r="30" spans="2:12" x14ac:dyDescent="0.35">
      <c r="C30" s="41" t="s">
        <v>84</v>
      </c>
      <c r="D30" s="64">
        <v>0</v>
      </c>
      <c r="E30" s="62">
        <v>25000</v>
      </c>
      <c r="G30" s="44" t="s">
        <v>87</v>
      </c>
      <c r="H30" s="44">
        <v>0</v>
      </c>
      <c r="I30" s="43">
        <f t="shared" si="1"/>
        <v>0</v>
      </c>
      <c r="L30" s="40"/>
    </row>
    <row r="31" spans="2:12" x14ac:dyDescent="0.35">
      <c r="C31" s="41" t="s">
        <v>106</v>
      </c>
      <c r="D31" s="64">
        <v>0</v>
      </c>
      <c r="E31" s="62">
        <v>30000</v>
      </c>
      <c r="G31" s="44" t="s">
        <v>89</v>
      </c>
      <c r="H31" s="44">
        <v>0</v>
      </c>
      <c r="I31" s="43">
        <f t="shared" si="1"/>
        <v>0</v>
      </c>
      <c r="L31" s="40"/>
    </row>
    <row r="32" spans="2:12" x14ac:dyDescent="0.35">
      <c r="C32" s="41" t="s">
        <v>88</v>
      </c>
      <c r="D32" s="64">
        <f>D13</f>
        <v>0.16666666666666666</v>
      </c>
      <c r="E32" s="62">
        <v>50000</v>
      </c>
      <c r="G32" s="51" t="s">
        <v>90</v>
      </c>
      <c r="H32" s="52">
        <v>60</v>
      </c>
      <c r="I32" s="43">
        <f t="shared" si="1"/>
        <v>0.12593048637152293</v>
      </c>
      <c r="L32" s="40"/>
    </row>
    <row r="33" spans="3:12" x14ac:dyDescent="0.35">
      <c r="C33" s="53" t="s">
        <v>91</v>
      </c>
      <c r="D33" s="54">
        <f>SUM(D29:D32)</f>
        <v>0.16666666666666666</v>
      </c>
      <c r="E33" s="62">
        <v>25000</v>
      </c>
      <c r="G33" s="32" t="s">
        <v>92</v>
      </c>
      <c r="H33" s="33">
        <f>SUM(H23:H32)</f>
        <v>175.55333333333334</v>
      </c>
      <c r="I33" s="43">
        <f t="shared" si="1"/>
        <v>0.36845861084681258</v>
      </c>
      <c r="L33" s="40"/>
    </row>
    <row r="34" spans="3:12" x14ac:dyDescent="0.35">
      <c r="C34" s="47" t="s">
        <v>93</v>
      </c>
      <c r="D34" s="32">
        <f>D27*E27+D33*E33</f>
        <v>157499.99999999997</v>
      </c>
      <c r="E34" s="48">
        <v>0.04</v>
      </c>
      <c r="F34" t="s">
        <v>94</v>
      </c>
      <c r="G34" s="55" t="s">
        <v>90</v>
      </c>
      <c r="H34" s="32">
        <f>H32*D23</f>
        <v>24999.999999999996</v>
      </c>
      <c r="I34" s="43"/>
      <c r="L34" s="40"/>
    </row>
    <row r="35" spans="3:12" x14ac:dyDescent="0.35">
      <c r="C35" s="47" t="s">
        <v>95</v>
      </c>
      <c r="D35" s="32">
        <f>SUMPRODUCT(D28:D32,E28:E32)</f>
        <v>8333.3333333333321</v>
      </c>
      <c r="E35" s="48">
        <v>0.01</v>
      </c>
      <c r="F35" t="s">
        <v>96</v>
      </c>
      <c r="G35" s="32" t="s">
        <v>97</v>
      </c>
      <c r="H35" s="32">
        <f>(H31+H32)*D23</f>
        <v>24999.999999999996</v>
      </c>
      <c r="K35" s="56"/>
      <c r="L35" s="40"/>
    </row>
    <row r="36" spans="3:12" x14ac:dyDescent="0.35">
      <c r="C36" s="57"/>
      <c r="G36" s="32" t="s">
        <v>98</v>
      </c>
      <c r="H36" s="42">
        <f>D34/(H35+H23*D23)</f>
        <v>5.0319488817891367</v>
      </c>
      <c r="L36" s="40"/>
    </row>
    <row r="37" spans="3:12" ht="15" thickBot="1" x14ac:dyDescent="0.4">
      <c r="C37" s="58"/>
      <c r="D37" s="59"/>
      <c r="E37" s="59"/>
      <c r="F37" s="59"/>
      <c r="G37" s="59"/>
      <c r="H37" s="59"/>
      <c r="I37" s="59"/>
      <c r="J37" s="59"/>
      <c r="K37" s="59"/>
      <c r="L37" s="60"/>
    </row>
  </sheetData>
  <mergeCells count="2">
    <mergeCell ref="C2:L2"/>
    <mergeCell ref="C21:L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Quotation Final</vt:lpstr>
      <vt:lpstr>Client Data</vt:lpstr>
      <vt:lpstr>Ops Estimations- Ashish</vt:lpstr>
      <vt:lpstr>Trips data</vt:lpstr>
      <vt:lpstr>Field manpower per plant</vt:lpstr>
      <vt:lpstr>KPL Meghnagar MP</vt:lpstr>
      <vt:lpstr>MBAPL-Saugor(MP)</vt:lpstr>
      <vt:lpstr>MBAPL-Dhule (MH)</vt:lpstr>
      <vt:lpstr>OPIL Rajasthan BHL</vt:lpstr>
      <vt:lpstr>SGFL Kapasan Rajasthan</vt:lpstr>
      <vt:lpstr>Imported Fertilizers (Kandla)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rghav rthi</dc:creator>
  <cp:lastModifiedBy>Gagan Mathur</cp:lastModifiedBy>
  <cp:lastPrinted>2026-04-15T06:00:34Z</cp:lastPrinted>
  <dcterms:created xsi:type="dcterms:W3CDTF">2026-04-04T06:29:29Z</dcterms:created>
  <dcterms:modified xsi:type="dcterms:W3CDTF">2026-04-15T06:00:39Z</dcterms:modified>
</cp:coreProperties>
</file>