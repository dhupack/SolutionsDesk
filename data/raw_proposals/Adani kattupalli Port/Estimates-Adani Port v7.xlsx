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D:\Proposals\Adani Port Kattupalli\Estimae\"/>
    </mc:Choice>
  </mc:AlternateContent>
  <xr:revisionPtr revIDLastSave="0" documentId="13_ncr:1_{C0C1DF81-A148-4A88-BE0A-C8EF63E1A752}" xr6:coauthVersionLast="47" xr6:coauthVersionMax="47" xr10:uidLastSave="{00000000-0000-0000-0000-000000000000}"/>
  <bookViews>
    <workbookView xWindow="-110" yWindow="-110" windowWidth="19420" windowHeight="10300" tabRatio="757" xr2:uid="{49B73D68-D680-4076-B8B3-1D5CB70C91AA}"/>
  </bookViews>
  <sheets>
    <sheet name="Quotation " sheetId="41" r:id="rId1"/>
    <sheet name="Quote Nomeclature" sheetId="58" state="hidden" r:id="rId2"/>
    <sheet name="Quotation BOQ1" sheetId="60" r:id="rId3"/>
    <sheet name="Quotation BOQ" sheetId="59" state="hidden" r:id="rId4"/>
    <sheet name="Commercials (C) " sheetId="57" r:id="rId5"/>
    <sheet name="Manpower-PM Cost" sheetId="27" r:id="rId6"/>
    <sheet name="Total Hardware" sheetId="18" r:id="rId7"/>
    <sheet name="CIVIL" sheetId="61" r:id="rId8"/>
    <sheet name="BOQ" sheetId="1" r:id="rId9"/>
    <sheet name="Master" sheetId="2" r:id="rId10"/>
  </sheets>
  <definedNames>
    <definedName name="_xlnm._FilterDatabase" localSheetId="8" hidden="1">BOQ!$A$3:$C$55</definedName>
    <definedName name="_xlnm._FilterDatabase" localSheetId="7" hidden="1">CIVIL!$A$3:$C$33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8" i="2" l="1"/>
  <c r="B17" i="2"/>
  <c r="B16" i="2"/>
  <c r="B15" i="2"/>
  <c r="C32" i="61"/>
  <c r="C31" i="61"/>
  <c r="C30" i="61"/>
  <c r="C29" i="61"/>
  <c r="C26" i="61"/>
  <c r="C25" i="61"/>
  <c r="C24" i="61"/>
  <c r="C23" i="61"/>
  <c r="C19" i="61"/>
  <c r="C18" i="61"/>
  <c r="C17" i="61"/>
  <c r="C16" i="61"/>
  <c r="C22" i="61"/>
  <c r="C21" i="61"/>
  <c r="D20" i="61"/>
  <c r="C20" i="61"/>
  <c r="D9" i="61"/>
  <c r="C11" i="61"/>
  <c r="C10" i="61"/>
  <c r="C9" i="61"/>
  <c r="M26" i="57"/>
  <c r="E6" i="61" l="1"/>
  <c r="E32" i="61" l="1"/>
  <c r="F32" i="61" s="1"/>
  <c r="E31" i="61"/>
  <c r="F31" i="61" s="1"/>
  <c r="E30" i="61"/>
  <c r="F30" i="61" s="1"/>
  <c r="E29" i="61"/>
  <c r="F29" i="61" s="1"/>
  <c r="E28" i="61"/>
  <c r="F28" i="61" s="1"/>
  <c r="C28" i="61"/>
  <c r="E27" i="61"/>
  <c r="F27" i="61" s="1"/>
  <c r="C27" i="61"/>
  <c r="E26" i="61"/>
  <c r="F26" i="61" s="1"/>
  <c r="E25" i="61"/>
  <c r="F25" i="61" s="1"/>
  <c r="E24" i="61"/>
  <c r="F24" i="61" s="1"/>
  <c r="E23" i="61"/>
  <c r="F23" i="61" s="1"/>
  <c r="E22" i="61"/>
  <c r="F22" i="61" s="1"/>
  <c r="E21" i="61"/>
  <c r="F21" i="61" s="1"/>
  <c r="E20" i="61"/>
  <c r="F20" i="61" s="1"/>
  <c r="E19" i="61"/>
  <c r="F19" i="61" s="1"/>
  <c r="E18" i="61"/>
  <c r="F18" i="61" s="1"/>
  <c r="E17" i="61"/>
  <c r="F17" i="61" s="1"/>
  <c r="E16" i="61"/>
  <c r="F16" i="61" s="1"/>
  <c r="E15" i="61"/>
  <c r="F15" i="61" s="1"/>
  <c r="C15" i="61"/>
  <c r="E14" i="61"/>
  <c r="F14" i="61" s="1"/>
  <c r="C14" i="61"/>
  <c r="E13" i="61"/>
  <c r="F13" i="61" s="1"/>
  <c r="C13" i="61"/>
  <c r="E12" i="61"/>
  <c r="F12" i="61" s="1"/>
  <c r="C12" i="61"/>
  <c r="E11" i="61"/>
  <c r="F11" i="61" s="1"/>
  <c r="E10" i="61"/>
  <c r="F10" i="61" s="1"/>
  <c r="E9" i="61"/>
  <c r="F9" i="61" s="1"/>
  <c r="E8" i="61"/>
  <c r="F8" i="61" s="1"/>
  <c r="C8" i="61"/>
  <c r="E7" i="61"/>
  <c r="F7" i="61" s="1"/>
  <c r="C7" i="61"/>
  <c r="F6" i="61"/>
  <c r="C6" i="61"/>
  <c r="E5" i="61"/>
  <c r="F5" i="61" s="1"/>
  <c r="C5" i="61"/>
  <c r="E4" i="61"/>
  <c r="F4" i="61" s="1"/>
  <c r="C4" i="61"/>
  <c r="G7" i="61" l="1"/>
  <c r="G11" i="61"/>
  <c r="G23" i="61"/>
  <c r="G20" i="61"/>
  <c r="G12" i="61"/>
  <c r="G16" i="61"/>
  <c r="G21" i="61"/>
  <c r="G25" i="61"/>
  <c r="G32" i="61"/>
  <c r="G4" i="61"/>
  <c r="G9" i="61"/>
  <c r="G13" i="61"/>
  <c r="G17" i="61"/>
  <c r="G22" i="61"/>
  <c r="G26" i="61"/>
  <c r="G29" i="61"/>
  <c r="G28" i="61"/>
  <c r="G24" i="61"/>
  <c r="G31" i="61"/>
  <c r="G5" i="61"/>
  <c r="G14" i="61"/>
  <c r="G18" i="61"/>
  <c r="G30" i="61"/>
  <c r="G6" i="61"/>
  <c r="G8" i="61"/>
  <c r="G10" i="61"/>
  <c r="G15" i="61"/>
  <c r="G19" i="61"/>
  <c r="G27" i="61"/>
  <c r="E19" i="60"/>
  <c r="E20" i="60"/>
  <c r="E21" i="60"/>
  <c r="E22" i="60"/>
  <c r="E23" i="60"/>
  <c r="E24" i="60"/>
  <c r="E25" i="60"/>
  <c r="E26" i="60"/>
  <c r="E27" i="60"/>
  <c r="E28" i="60"/>
  <c r="E29" i="60"/>
  <c r="E18" i="60"/>
  <c r="C19" i="60"/>
  <c r="C20" i="60"/>
  <c r="C21" i="60"/>
  <c r="C22" i="60"/>
  <c r="C23" i="60"/>
  <c r="C24" i="60"/>
  <c r="C25" i="60"/>
  <c r="C26" i="60"/>
  <c r="C27" i="60"/>
  <c r="C28" i="60"/>
  <c r="C29" i="60"/>
  <c r="C18" i="60"/>
  <c r="D4" i="18"/>
  <c r="H4" i="18" s="1"/>
  <c r="E54" i="1"/>
  <c r="F54" i="1" s="1"/>
  <c r="C54" i="1"/>
  <c r="E10" i="1"/>
  <c r="F10" i="1" s="1"/>
  <c r="C10" i="1"/>
  <c r="I24" i="57"/>
  <c r="I23" i="57"/>
  <c r="G33" i="61" l="1"/>
  <c r="I18" i="57" s="1"/>
  <c r="F19" i="60"/>
  <c r="G54" i="1"/>
  <c r="G10" i="1"/>
  <c r="J32" i="27"/>
  <c r="J31" i="27"/>
  <c r="I19" i="57" l="1"/>
  <c r="I20" i="57"/>
  <c r="K18" i="57"/>
  <c r="L18" i="57"/>
  <c r="J33" i="27"/>
  <c r="I21" i="57" l="1"/>
  <c r="M18" i="57"/>
  <c r="K20" i="57"/>
  <c r="L20" i="57"/>
  <c r="M20" i="57" s="1"/>
  <c r="L19" i="57"/>
  <c r="M19" i="57" s="1"/>
  <c r="K19" i="57"/>
  <c r="D10" i="18"/>
  <c r="F25" i="60" s="1"/>
  <c r="D8" i="18"/>
  <c r="F23" i="60" s="1"/>
  <c r="D7" i="18"/>
  <c r="F22" i="60" s="1"/>
  <c r="D6" i="18"/>
  <c r="F21" i="60" s="1"/>
  <c r="D5" i="18"/>
  <c r="F20" i="60" s="1"/>
  <c r="E53" i="1"/>
  <c r="F53" i="1" s="1"/>
  <c r="C53" i="1"/>
  <c r="E49" i="1"/>
  <c r="F49" i="1" s="1"/>
  <c r="C49" i="1"/>
  <c r="E45" i="1"/>
  <c r="F45" i="1" s="1"/>
  <c r="C45" i="1"/>
  <c r="E41" i="1"/>
  <c r="F41" i="1" s="1"/>
  <c r="C41" i="1"/>
  <c r="E36" i="1"/>
  <c r="F36" i="1" s="1"/>
  <c r="C36" i="1"/>
  <c r="E31" i="1"/>
  <c r="F31" i="1" s="1"/>
  <c r="C31" i="1"/>
  <c r="E26" i="1"/>
  <c r="F26" i="1" s="1"/>
  <c r="C26" i="1"/>
  <c r="E20" i="1"/>
  <c r="F20" i="1" s="1"/>
  <c r="C20" i="1"/>
  <c r="E15" i="1"/>
  <c r="F15" i="1" s="1"/>
  <c r="C15" i="1"/>
  <c r="C9" i="1"/>
  <c r="E9" i="1"/>
  <c r="F9" i="1" s="1"/>
  <c r="C11" i="1"/>
  <c r="E11" i="1"/>
  <c r="F11" i="1" s="1"/>
  <c r="E52" i="1"/>
  <c r="F52" i="1" s="1"/>
  <c r="C52" i="1"/>
  <c r="E51" i="1"/>
  <c r="F51" i="1" s="1"/>
  <c r="C51" i="1"/>
  <c r="E50" i="1"/>
  <c r="F50" i="1" s="1"/>
  <c r="C50" i="1"/>
  <c r="E48" i="1"/>
  <c r="F48" i="1" s="1"/>
  <c r="C48" i="1"/>
  <c r="E47" i="1"/>
  <c r="F47" i="1" s="1"/>
  <c r="C47" i="1"/>
  <c r="E46" i="1"/>
  <c r="F46" i="1" s="1"/>
  <c r="C46" i="1"/>
  <c r="E44" i="1"/>
  <c r="F44" i="1" s="1"/>
  <c r="C44" i="1"/>
  <c r="E43" i="1"/>
  <c r="F43" i="1" s="1"/>
  <c r="C43" i="1"/>
  <c r="E42" i="1"/>
  <c r="F42" i="1" s="1"/>
  <c r="C42" i="1"/>
  <c r="C37" i="1"/>
  <c r="E37" i="1"/>
  <c r="F37" i="1" s="1"/>
  <c r="E40" i="1"/>
  <c r="F40" i="1" s="1"/>
  <c r="C40" i="1"/>
  <c r="E39" i="1"/>
  <c r="F39" i="1" s="1"/>
  <c r="C39" i="1"/>
  <c r="E38" i="1"/>
  <c r="F38" i="1" s="1"/>
  <c r="C38" i="1"/>
  <c r="E35" i="1"/>
  <c r="F35" i="1" s="1"/>
  <c r="C35" i="1"/>
  <c r="E34" i="1"/>
  <c r="F34" i="1" s="1"/>
  <c r="C34" i="1"/>
  <c r="E33" i="1"/>
  <c r="F33" i="1" s="1"/>
  <c r="C33" i="1"/>
  <c r="E32" i="1"/>
  <c r="F32" i="1" s="1"/>
  <c r="C32" i="1"/>
  <c r="E30" i="1"/>
  <c r="F30" i="1" s="1"/>
  <c r="C30" i="1"/>
  <c r="E29" i="1"/>
  <c r="F29" i="1" s="1"/>
  <c r="C29" i="1"/>
  <c r="E28" i="1"/>
  <c r="F28" i="1" s="1"/>
  <c r="C28" i="1"/>
  <c r="E27" i="1"/>
  <c r="F27" i="1" s="1"/>
  <c r="C27" i="1"/>
  <c r="E25" i="1"/>
  <c r="F25" i="1" s="1"/>
  <c r="C25" i="1"/>
  <c r="E23" i="1"/>
  <c r="F23" i="1" s="1"/>
  <c r="C23" i="1"/>
  <c r="E22" i="1"/>
  <c r="F22" i="1" s="1"/>
  <c r="C22" i="1"/>
  <c r="E21" i="1"/>
  <c r="F21" i="1" s="1"/>
  <c r="C21" i="1"/>
  <c r="E16" i="1"/>
  <c r="F16" i="1" s="1"/>
  <c r="C16" i="1"/>
  <c r="E14" i="1"/>
  <c r="F14" i="1" s="1"/>
  <c r="C14" i="1"/>
  <c r="E13" i="1"/>
  <c r="F13" i="1" s="1"/>
  <c r="C13" i="1"/>
  <c r="E12" i="1"/>
  <c r="F12" i="1" s="1"/>
  <c r="C12" i="1"/>
  <c r="E8" i="1"/>
  <c r="F8" i="1" s="1"/>
  <c r="C8" i="1"/>
  <c r="E7" i="1"/>
  <c r="F7" i="1" s="1"/>
  <c r="C7" i="1"/>
  <c r="E6" i="1"/>
  <c r="F6" i="1" s="1"/>
  <c r="C6" i="1"/>
  <c r="E5" i="1"/>
  <c r="F5" i="1" s="1"/>
  <c r="C5" i="1"/>
  <c r="E19" i="1"/>
  <c r="F19" i="1" s="1"/>
  <c r="C19" i="1"/>
  <c r="K21" i="57" l="1"/>
  <c r="L21" i="57"/>
  <c r="M21" i="57"/>
  <c r="H5" i="18"/>
  <c r="D4" i="59"/>
  <c r="H6" i="18"/>
  <c r="D5" i="59"/>
  <c r="H7" i="18"/>
  <c r="D6" i="59"/>
  <c r="H8" i="18"/>
  <c r="D7" i="59"/>
  <c r="H10" i="18"/>
  <c r="D9" i="59"/>
  <c r="G53" i="1"/>
  <c r="G49" i="1"/>
  <c r="G45" i="1"/>
  <c r="G41" i="1"/>
  <c r="G36" i="1"/>
  <c r="G31" i="1"/>
  <c r="G9" i="1"/>
  <c r="G26" i="1"/>
  <c r="G20" i="1"/>
  <c r="G15" i="1"/>
  <c r="G48" i="1"/>
  <c r="G11" i="1"/>
  <c r="G51" i="1"/>
  <c r="G50" i="1"/>
  <c r="G37" i="1"/>
  <c r="G52" i="1"/>
  <c r="G46" i="1"/>
  <c r="G47" i="1"/>
  <c r="G44" i="1"/>
  <c r="G42" i="1"/>
  <c r="G43" i="1"/>
  <c r="G40" i="1"/>
  <c r="G38" i="1"/>
  <c r="G39" i="1"/>
  <c r="G35" i="1"/>
  <c r="G32" i="1"/>
  <c r="G34" i="1"/>
  <c r="G33" i="1"/>
  <c r="G29" i="1"/>
  <c r="G30" i="1"/>
  <c r="G27" i="1"/>
  <c r="G28" i="1"/>
  <c r="G23" i="1"/>
  <c r="G22" i="1"/>
  <c r="G21" i="1"/>
  <c r="G25" i="1"/>
  <c r="G16" i="1"/>
  <c r="G14" i="1"/>
  <c r="G13" i="1"/>
  <c r="G12" i="1"/>
  <c r="G8" i="1"/>
  <c r="G7" i="1"/>
  <c r="G6" i="1"/>
  <c r="G5" i="1"/>
  <c r="G19" i="1"/>
  <c r="G32" i="57"/>
  <c r="H30" i="57"/>
  <c r="H29" i="57"/>
  <c r="H32" i="57"/>
  <c r="I25" i="57"/>
  <c r="L25" i="57" s="1"/>
  <c r="K25" i="57" l="1"/>
  <c r="I22" i="41" s="1"/>
  <c r="I32" i="57"/>
  <c r="L32" i="57" s="1"/>
  <c r="M25" i="57"/>
  <c r="I33" i="57" l="1"/>
  <c r="K32" i="57"/>
  <c r="L33" i="57"/>
  <c r="M32" i="57"/>
  <c r="K33" i="57" l="1"/>
  <c r="V26" i="27" l="1"/>
  <c r="J26" i="27"/>
  <c r="V25" i="27"/>
  <c r="J25" i="27"/>
  <c r="V24" i="27"/>
  <c r="J24" i="27"/>
  <c r="G16" i="27"/>
  <c r="G15" i="27"/>
  <c r="G14" i="27"/>
  <c r="Q10" i="27"/>
  <c r="E10" i="27"/>
  <c r="U9" i="27"/>
  <c r="I9" i="27"/>
  <c r="U8" i="27"/>
  <c r="I8" i="27"/>
  <c r="U7" i="27"/>
  <c r="I7" i="27"/>
  <c r="J27" i="27" l="1"/>
  <c r="G17" i="27"/>
  <c r="V27" i="27"/>
  <c r="U10" i="27"/>
  <c r="I10" i="27"/>
  <c r="G18" i="27"/>
  <c r="G30" i="57" l="1"/>
  <c r="I30" i="57" s="1"/>
  <c r="G29" i="57"/>
  <c r="J35" i="27"/>
  <c r="L23" i="57"/>
  <c r="I29" i="57" l="1"/>
  <c r="L29" i="57" s="1"/>
  <c r="M29" i="57" s="1"/>
  <c r="K30" i="57"/>
  <c r="L30" i="57"/>
  <c r="M30" i="57" s="1"/>
  <c r="K24" i="57"/>
  <c r="L24" i="57"/>
  <c r="M24" i="57" s="1"/>
  <c r="K23" i="57"/>
  <c r="I26" i="57"/>
  <c r="M23" i="57"/>
  <c r="K29" i="57" l="1"/>
  <c r="K31" i="57" s="1"/>
  <c r="I31" i="57"/>
  <c r="I34" i="57" s="1"/>
  <c r="I21" i="41"/>
  <c r="L31" i="57"/>
  <c r="L26" i="57"/>
  <c r="K26" i="57"/>
  <c r="P34" i="57"/>
  <c r="K34" i="57" l="1"/>
  <c r="D14" i="18"/>
  <c r="D13" i="18"/>
  <c r="F28" i="60" s="1"/>
  <c r="D12" i="18"/>
  <c r="F27" i="60" s="1"/>
  <c r="G15" i="18"/>
  <c r="D9" i="18"/>
  <c r="F24" i="60" s="1"/>
  <c r="D11" i="18"/>
  <c r="F26" i="60" s="1"/>
  <c r="D3" i="18"/>
  <c r="F18" i="60" s="1"/>
  <c r="H14" i="18" l="1"/>
  <c r="F29" i="60"/>
  <c r="D10" i="59"/>
  <c r="D3" i="59"/>
  <c r="D8" i="59"/>
  <c r="H13" i="18"/>
  <c r="D12" i="59"/>
  <c r="H12" i="18"/>
  <c r="D11" i="59"/>
  <c r="I23" i="41"/>
  <c r="K35" i="57"/>
  <c r="H11" i="18"/>
  <c r="H9" i="18"/>
  <c r="H3" i="18"/>
  <c r="E4" i="1"/>
  <c r="E17" i="1"/>
  <c r="E18" i="1"/>
  <c r="E24" i="1"/>
  <c r="H15" i="18" l="1"/>
  <c r="I15" i="57" s="1"/>
  <c r="I16" i="57" s="1"/>
  <c r="F18" i="1"/>
  <c r="F24" i="1"/>
  <c r="F17" i="1"/>
  <c r="F4" i="1"/>
  <c r="L15" i="57" l="1"/>
  <c r="I17" i="57"/>
  <c r="K15" i="57"/>
  <c r="C24" i="1"/>
  <c r="C18" i="1"/>
  <c r="C17" i="1"/>
  <c r="K16" i="57" l="1"/>
  <c r="K17" i="57" s="1"/>
  <c r="L16" i="57"/>
  <c r="M16" i="57" s="1"/>
  <c r="M15" i="57"/>
  <c r="G24" i="1"/>
  <c r="G17" i="1"/>
  <c r="G18" i="1"/>
  <c r="M17" i="57" l="1"/>
  <c r="L17" i="57"/>
  <c r="C4" i="1"/>
  <c r="E4" i="18" s="1"/>
  <c r="G19" i="60" s="1"/>
  <c r="I19" i="60" s="1"/>
  <c r="F4" i="18" l="1"/>
  <c r="I4" i="18" s="1"/>
  <c r="J4" i="18"/>
  <c r="E10" i="18"/>
  <c r="G25" i="60" s="1"/>
  <c r="I25" i="60" s="1"/>
  <c r="F5" i="59"/>
  <c r="H5" i="59" s="1"/>
  <c r="F9" i="59"/>
  <c r="H9" i="59" s="1"/>
  <c r="F4" i="59"/>
  <c r="H4" i="59" s="1"/>
  <c r="F6" i="59"/>
  <c r="H6" i="59" s="1"/>
  <c r="F7" i="59"/>
  <c r="H7" i="59" s="1"/>
  <c r="F8" i="59"/>
  <c r="H8" i="59" s="1"/>
  <c r="F10" i="59"/>
  <c r="H10" i="59" s="1"/>
  <c r="F11" i="59"/>
  <c r="H11" i="59" s="1"/>
  <c r="F12" i="59"/>
  <c r="H12" i="59" s="1"/>
  <c r="F3" i="59"/>
  <c r="E8" i="18"/>
  <c r="G23" i="60" s="1"/>
  <c r="I23" i="60" s="1"/>
  <c r="E5" i="18"/>
  <c r="G20" i="60" s="1"/>
  <c r="I20" i="60" s="1"/>
  <c r="E7" i="18"/>
  <c r="G22" i="60" s="1"/>
  <c r="I22" i="60" s="1"/>
  <c r="E6" i="18"/>
  <c r="G21" i="60" s="1"/>
  <c r="I21" i="60" s="1"/>
  <c r="G4" i="1"/>
  <c r="G55" i="1" s="1"/>
  <c r="J10" i="18" l="1"/>
  <c r="F10" i="18"/>
  <c r="I10" i="18" s="1"/>
  <c r="H3" i="59"/>
  <c r="H13" i="59" s="1"/>
  <c r="F13" i="59"/>
  <c r="J6" i="18"/>
  <c r="F6" i="18"/>
  <c r="J5" i="18"/>
  <c r="F5" i="18"/>
  <c r="I5" i="18" s="1"/>
  <c r="J7" i="18"/>
  <c r="F7" i="18"/>
  <c r="I7" i="18" s="1"/>
  <c r="J8" i="18"/>
  <c r="F8" i="18"/>
  <c r="I8" i="18" s="1"/>
  <c r="E13" i="18"/>
  <c r="G28" i="60" s="1"/>
  <c r="I28" i="60" s="1"/>
  <c r="E9" i="18"/>
  <c r="E3" i="18"/>
  <c r="G18" i="60" s="1"/>
  <c r="E14" i="18"/>
  <c r="G29" i="60" s="1"/>
  <c r="I29" i="60" s="1"/>
  <c r="E12" i="18"/>
  <c r="G27" i="60" s="1"/>
  <c r="I27" i="60" s="1"/>
  <c r="E11" i="18"/>
  <c r="G26" i="60" s="1"/>
  <c r="I26" i="60" s="1"/>
  <c r="G24" i="60" l="1"/>
  <c r="I24" i="60" s="1"/>
  <c r="I18" i="60"/>
  <c r="F9" i="18"/>
  <c r="I6" i="18"/>
  <c r="J9" i="18"/>
  <c r="J14" i="18"/>
  <c r="J13" i="18"/>
  <c r="F3" i="18"/>
  <c r="J12" i="18"/>
  <c r="I30" i="60" l="1"/>
  <c r="I18" i="41" s="1"/>
  <c r="G30" i="60"/>
  <c r="I9" i="18"/>
  <c r="J3" i="18"/>
  <c r="F13" i="18"/>
  <c r="I13" i="18" s="1"/>
  <c r="F12" i="18"/>
  <c r="I12" i="18" s="1"/>
  <c r="F14" i="18"/>
  <c r="I14" i="18" s="1"/>
  <c r="E15" i="18"/>
  <c r="J11" i="18"/>
  <c r="F11" i="18"/>
  <c r="I11" i="18" s="1"/>
  <c r="I3" i="18"/>
  <c r="J15" i="18" l="1"/>
  <c r="I15" i="18"/>
  <c r="F15" i="18"/>
  <c r="I12" i="57" l="1"/>
  <c r="K12" i="57" s="1"/>
  <c r="L12" i="57" l="1"/>
  <c r="M12" i="57" s="1"/>
  <c r="G37" i="57"/>
  <c r="I37" i="57" s="1"/>
  <c r="K37" i="57" s="1"/>
  <c r="I13" i="57"/>
  <c r="I14" i="57" s="1"/>
  <c r="I22" i="57" l="1"/>
  <c r="I27" i="57" s="1"/>
  <c r="L37" i="57"/>
  <c r="K13" i="57"/>
  <c r="K14" i="57" s="1"/>
  <c r="L13" i="57"/>
  <c r="I19" i="41" s="1"/>
  <c r="K22" i="41" l="1"/>
  <c r="J22" i="41" s="1"/>
  <c r="K22" i="57"/>
  <c r="K27" i="57" s="1"/>
  <c r="M13" i="57"/>
  <c r="M14" i="57" s="1"/>
  <c r="L14" i="57"/>
  <c r="L34" i="57"/>
  <c r="M37" i="57"/>
  <c r="J18" i="41" l="1"/>
  <c r="J20" i="41"/>
  <c r="J21" i="41"/>
  <c r="J19" i="41"/>
  <c r="M22" i="57"/>
  <c r="M27" i="57" s="1"/>
  <c r="L22" i="57"/>
  <c r="L27" i="57" s="1"/>
</calcChain>
</file>

<file path=xl/sharedStrings.xml><?xml version="1.0" encoding="utf-8"?>
<sst xmlns="http://schemas.openxmlformats.org/spreadsheetml/2006/main" count="523" uniqueCount="214">
  <si>
    <t>Hardware</t>
  </si>
  <si>
    <t>Total</t>
  </si>
  <si>
    <t>RFID Reader</t>
  </si>
  <si>
    <t xml:space="preserve">Location/Machine </t>
  </si>
  <si>
    <t>Type of Manpower</t>
  </si>
  <si>
    <t>Days per trip</t>
  </si>
  <si>
    <t>One Time</t>
  </si>
  <si>
    <t xml:space="preserve">Customer </t>
  </si>
  <si>
    <t xml:space="preserve">Date </t>
  </si>
  <si>
    <t>Stay Cost per Day</t>
  </si>
  <si>
    <t>AMC Cost</t>
  </si>
  <si>
    <t>Cost of Hardware</t>
  </si>
  <si>
    <t>Unit Price</t>
  </si>
  <si>
    <t>Count per shift</t>
  </si>
  <si>
    <t>Nos. of shifts</t>
  </si>
  <si>
    <t>Duration in Months</t>
  </si>
  <si>
    <t>One Time Cost</t>
  </si>
  <si>
    <t>Type</t>
  </si>
  <si>
    <t>Hardware Cost</t>
  </si>
  <si>
    <t>Per Year</t>
  </si>
  <si>
    <t>Items</t>
  </si>
  <si>
    <t>Details</t>
  </si>
  <si>
    <t>Equipment</t>
  </si>
  <si>
    <t>Cost</t>
  </si>
  <si>
    <t>Sr. No.</t>
  </si>
  <si>
    <t>Model</t>
  </si>
  <si>
    <t>Margin</t>
  </si>
  <si>
    <t>Count</t>
  </si>
  <si>
    <t>Other</t>
  </si>
  <si>
    <t>Location</t>
  </si>
  <si>
    <t>Quantity per Check Point</t>
  </si>
  <si>
    <t>Implementation Cost</t>
  </si>
  <si>
    <t>Hardware Transportation Cost</t>
  </si>
  <si>
    <t>Please update the BOQ sheet for other fields</t>
  </si>
  <si>
    <t>Travel Cost</t>
  </si>
  <si>
    <t>Subscription Fee</t>
  </si>
  <si>
    <t>Quotation</t>
  </si>
  <si>
    <t>QUOTE #</t>
  </si>
  <si>
    <t>DATE</t>
  </si>
  <si>
    <t>CUSTOMER INFO</t>
  </si>
  <si>
    <t>DESCRIPTION OF WORK</t>
  </si>
  <si>
    <t>S.No.</t>
  </si>
  <si>
    <t>Terms &amp; Conditions</t>
  </si>
  <si>
    <t>Amount</t>
  </si>
  <si>
    <t>Spares</t>
  </si>
  <si>
    <t>Cost of Spares</t>
  </si>
  <si>
    <t>GSTIN</t>
  </si>
  <si>
    <t>08AACCH0299P1Z1</t>
  </si>
  <si>
    <t>MSME No</t>
  </si>
  <si>
    <t>UDYAM-RJ-17-0051921</t>
  </si>
  <si>
    <t>Quote Validity : 15 days from submitted date</t>
  </si>
  <si>
    <t>Phone</t>
  </si>
  <si>
    <t>Email Id</t>
  </si>
  <si>
    <t>This is formula driven sheet. Only update the spares Count</t>
  </si>
  <si>
    <t>Software Subscription Cost/month</t>
  </si>
  <si>
    <t>Address</t>
  </si>
  <si>
    <t>Cost per Resource per month</t>
  </si>
  <si>
    <t>Hardware Engineers</t>
  </si>
  <si>
    <t>Current Equipments</t>
  </si>
  <si>
    <t>Productivity per resource</t>
  </si>
  <si>
    <t>Resources Required</t>
  </si>
  <si>
    <t>Planned Equipments</t>
  </si>
  <si>
    <t>Machines</t>
  </si>
  <si>
    <t>Gate Lanes</t>
  </si>
  <si>
    <t>Vehicles</t>
  </si>
  <si>
    <t>Onsite</t>
  </si>
  <si>
    <t>MIS</t>
  </si>
  <si>
    <t>Contact Person</t>
  </si>
  <si>
    <t>Company Name</t>
  </si>
  <si>
    <t>Thanks for doing business with Axestrack Software Solution Pvt. Ltd.</t>
  </si>
  <si>
    <t>One time</t>
  </si>
  <si>
    <t>AT Controller</t>
  </si>
  <si>
    <t>ANPR Camera</t>
  </si>
  <si>
    <t>Platform Fee</t>
  </si>
  <si>
    <t>Installation, Training &amp; Configuration Cost</t>
  </si>
  <si>
    <t>Tablet</t>
  </si>
  <si>
    <t>Offshore</t>
  </si>
  <si>
    <t>Frequency
(Till Go-live)</t>
  </si>
  <si>
    <t>Day Allowance</t>
  </si>
  <si>
    <t>Travel Cost (Till Go-Live)</t>
  </si>
  <si>
    <t>Boarding &amp; Lodging</t>
  </si>
  <si>
    <t xml:space="preserve">Year </t>
  </si>
  <si>
    <t>Total Quantity as per stage</t>
  </si>
  <si>
    <t>Check point</t>
  </si>
  <si>
    <t>Total Count</t>
  </si>
  <si>
    <t>Project Margin</t>
  </si>
  <si>
    <t>Description</t>
  </si>
  <si>
    <r>
      <rPr>
        <b/>
        <sz val="10"/>
        <color theme="1"/>
        <rFont val="Arial"/>
        <family val="2"/>
      </rPr>
      <t xml:space="preserve">Address </t>
    </r>
    <r>
      <rPr>
        <sz val="10"/>
        <color theme="1"/>
        <rFont val="Arial"/>
        <family val="2"/>
      </rPr>
      <t>- Corporate HQ : Axestrack Software Solutions Pvt. Ltd., Office No.-19, 6th Floor, Jaipur Electronic Market, 
Near Riddhi Siddhi, Gopalpura bypass, Jaipur - 302018 , Rajasthan, India</t>
    </r>
  </si>
  <si>
    <t>Project Support Manpower (Post Go-Live)</t>
  </si>
  <si>
    <t>Support Manpower (Post Go-Live)</t>
  </si>
  <si>
    <t>Support &amp; Maintenance Manpower</t>
  </si>
  <si>
    <t>PM</t>
  </si>
  <si>
    <t>Project Management Cost - Travel &amp; Lodging</t>
  </si>
  <si>
    <t>Annual Project Management Cost - Travel &amp; Lodging</t>
  </si>
  <si>
    <t>Travel Allowance</t>
  </si>
  <si>
    <t>Frequency
(Annually)</t>
  </si>
  <si>
    <t>Software Engineers</t>
  </si>
  <si>
    <t xml:space="preserve">Contract Year </t>
  </si>
  <si>
    <t>ERP Integration Cost</t>
  </si>
  <si>
    <t>Unit Cost</t>
  </si>
  <si>
    <t>Nos. of years</t>
  </si>
  <si>
    <t>Unit price on Margin</t>
  </si>
  <si>
    <t>Cost for Customer for 3 Years</t>
  </si>
  <si>
    <t>Hardware BOQ Cost</t>
  </si>
  <si>
    <t>Spares BOQ Cost (Optional)</t>
  </si>
  <si>
    <t>Spares Transportation Cost</t>
  </si>
  <si>
    <t>Total Hardware Cost</t>
  </si>
  <si>
    <t>Installation, Training &amp; Configuration</t>
  </si>
  <si>
    <t>ERP Integration</t>
  </si>
  <si>
    <t>Total Installation, Setup &amp; API Development Cost</t>
  </si>
  <si>
    <t>Annual Subscription fee</t>
  </si>
  <si>
    <t>Onsite Manpower, Project Management, Support &amp; Maintenance</t>
  </si>
  <si>
    <t>Project Manpower Cost</t>
  </si>
  <si>
    <t>Lodging &amp; Travel Cost</t>
  </si>
  <si>
    <t>Project Management Cost</t>
  </si>
  <si>
    <t>Platform Subscription Fee</t>
  </si>
  <si>
    <t>One Time Installation &amp; deploymnet</t>
  </si>
  <si>
    <t>Landed Cost to Axestrack for 3 Years</t>
  </si>
  <si>
    <t xml:space="preserve">Implementation Cost </t>
  </si>
  <si>
    <t>Subscription Fee Post Go-Live</t>
  </si>
  <si>
    <t xml:space="preserve">Platform Subscription + Support &amp; Maintenance </t>
  </si>
  <si>
    <t>Quote no Format</t>
  </si>
  <si>
    <t>ABC/XY/YYMM##</t>
  </si>
  <si>
    <t xml:space="preserve">ABC </t>
  </si>
  <si>
    <t>Client name short Form like Hindalco Industries Limited will be HIL</t>
  </si>
  <si>
    <t>XY</t>
  </si>
  <si>
    <t xml:space="preserve">Axestrack Sales SPOC Intials </t>
  </si>
  <si>
    <t>YY</t>
  </si>
  <si>
    <t>Year</t>
  </si>
  <si>
    <t>MM</t>
  </si>
  <si>
    <t>Month</t>
  </si>
  <si>
    <t>##</t>
  </si>
  <si>
    <t>Quote send by Sales SPOC in that particular month, quote nos. should be start from 11</t>
  </si>
  <si>
    <t>Smart Camera</t>
  </si>
  <si>
    <t>Boom Barrier</t>
  </si>
  <si>
    <t>Traffic Light</t>
  </si>
  <si>
    <t>Display (2 Line)</t>
  </si>
  <si>
    <t>Printer Kiosk</t>
  </si>
  <si>
    <t>Lane</t>
  </si>
  <si>
    <t>PA System (Open Yard)</t>
  </si>
  <si>
    <t>RFENERGIE - HR15</t>
  </si>
  <si>
    <t>In House</t>
  </si>
  <si>
    <t>Hikvision  - IDS-2CD7A45G0-IZ</t>
  </si>
  <si>
    <t>Chainway - P80 - Tablet Rugged Industrial Grade</t>
  </si>
  <si>
    <t>5 Speakers - Ahuja Amplifier  - SS250DP - Horn Speaker - SUH-25MT"</t>
  </si>
  <si>
    <t xml:space="preserve">Kisok Printer - </t>
  </si>
  <si>
    <t>New Gate Complex In</t>
  </si>
  <si>
    <t>Old Gate Complex In</t>
  </si>
  <si>
    <t>Port Main Gate In</t>
  </si>
  <si>
    <t>Parking Yard Out</t>
  </si>
  <si>
    <t>Old Gate Complex Out</t>
  </si>
  <si>
    <t>New Gate Complex Out</t>
  </si>
  <si>
    <t>Port Main Gate Out</t>
  </si>
  <si>
    <t>CFS Gate In</t>
  </si>
  <si>
    <t>CFS Gate Out</t>
  </si>
  <si>
    <t>Liquid Pass Gate In</t>
  </si>
  <si>
    <t>Liquid Pass Gate Out</t>
  </si>
  <si>
    <t>Hardware landing</t>
  </si>
  <si>
    <t>Boom Barrier Accessories</t>
  </si>
  <si>
    <t>Hikvision  - Bullet/Dom Camera 6 MP - DS-2CD3066G2-IS</t>
  </si>
  <si>
    <t>BOOM BARRIER SPARE KIT - BG2000</t>
  </si>
  <si>
    <t>Total Cost Landing</t>
  </si>
  <si>
    <t>Rent</t>
  </si>
  <si>
    <t>month</t>
  </si>
  <si>
    <t>permonth rent</t>
  </si>
  <si>
    <t>Kitchen</t>
  </si>
  <si>
    <t>Mis.</t>
  </si>
  <si>
    <t>Adani Port</t>
  </si>
  <si>
    <t>Hardware  as per BOQ</t>
  </si>
  <si>
    <t>Spares Cost</t>
  </si>
  <si>
    <t>Food &amp; Accomodation</t>
  </si>
  <si>
    <t>One Time Accomodation</t>
  </si>
  <si>
    <t>ERP Integration Cost (As defined in SOW)</t>
  </si>
  <si>
    <t>Project Exclusions</t>
  </si>
  <si>
    <t>Refer Next Page for Project T&amp;C/ Exclusions</t>
  </si>
  <si>
    <t>NVR</t>
  </si>
  <si>
    <t>FAAC B614 Anti Hit 3 Mtr</t>
  </si>
  <si>
    <t>AMC Second year Onwards</t>
  </si>
  <si>
    <t>Make</t>
  </si>
  <si>
    <t>Hardware Count</t>
  </si>
  <si>
    <t>Total Price</t>
  </si>
  <si>
    <t>RFENERGIE</t>
  </si>
  <si>
    <t>Rachit Agarwal</t>
  </si>
  <si>
    <t>Digitization and implement RFID based Gate Operation System (GOS) at Adani Kattupalli Port through the Connected Port Logistics platform, bundled with supply, installation, and Platform Deployment</t>
  </si>
  <si>
    <t>CS/PM</t>
  </si>
  <si>
    <t>Monthly</t>
  </si>
  <si>
    <t>Hardware BOQ</t>
  </si>
  <si>
    <t>Ahuja</t>
  </si>
  <si>
    <t>Reputed</t>
  </si>
  <si>
    <t>Handheld RFID Reader</t>
  </si>
  <si>
    <t xml:space="preserve">Chainway - C72 - Handheld RFID Reader </t>
  </si>
  <si>
    <t>Liquid Load/Unload</t>
  </si>
  <si>
    <t>Liquid Pass Gate In/Out Bidirectional</t>
  </si>
  <si>
    <t>Printer Kiosk with Thermal Printer</t>
  </si>
  <si>
    <t>make</t>
  </si>
  <si>
    <t xml:space="preserve">Chainway </t>
  </si>
  <si>
    <t>Hikvision</t>
  </si>
  <si>
    <t>Boom Barrier Foundation</t>
  </si>
  <si>
    <t>Kiosk Foundation</t>
  </si>
  <si>
    <t>CIVIL BOQ Cost</t>
  </si>
  <si>
    <t>Civil Cost</t>
  </si>
  <si>
    <t>Civil hardware as per BOQ</t>
  </si>
  <si>
    <t>Civil Hardware Transportation Cost</t>
  </si>
  <si>
    <t>Civil Labour Cost</t>
  </si>
  <si>
    <t>Civil Work Cost</t>
  </si>
  <si>
    <t>GI Pipe + Foundation + Junction Box</t>
  </si>
  <si>
    <t>Traffic Light GI Pipe + Foundation + Junction Box</t>
  </si>
  <si>
    <t>Camera Back GI Pipe + Foundation+Junction Box</t>
  </si>
  <si>
    <t>Top + back View GI Pipe + Foundation+ Junction box</t>
  </si>
  <si>
    <r>
      <rPr>
        <b/>
        <sz val="10"/>
        <color theme="1"/>
        <rFont val="Arial"/>
        <family val="2"/>
      </rPr>
      <t xml:space="preserve">Hardware Cost </t>
    </r>
    <r>
      <rPr>
        <sz val="10"/>
        <color theme="1"/>
        <rFont val="Arial"/>
        <family val="2"/>
      </rPr>
      <t xml:space="preserve">
-Port Main Gate In &amp; Out
-New Gate Complex In &amp; Out
-Old Gate Complex In &amp; Out
-CFS Gate In &amp; Out
-Liquid Pass Gate In &amp; Out (bidirectional)
-Liquid Terminal Load/Unload
-Parking Yard</t>
    </r>
  </si>
  <si>
    <r>
      <t xml:space="preserve">•             All the prices mentioned in proposal are in rupees and exclusive of GST. Taxes as applicable
•             Device ownership remains with Client
•             These commercials are only for the gate Automation (GOS) for below location as below, any formal change or upgrade in hardware specifications or product features or location and lane count (beyond those installed during onboarding) will incur additional charges.
             •             Port Main Gate In &amp; Out : 2 Lanes per gate
             •             New Gate Complex In &amp; Out : 3 Lanes per gate
             •             Old Gate Complex In &amp; Out : 3 Lanes per gate
             •             CFS Gate In &amp; Out : 2 Lanes per gate
             •             Liquid Pass Gate In &amp; Out : 3 Lanes Bidirectional 
             •             Liquid Terminal Load/Unload : Manual via Handheld Device
             •             Parking Yard : 2 Lanes per gate
•            The standard one-year hardware warranty period, as per OEM guidelines, will commence from the date of hardware delivery.(Burned / Physical Damaged hardware will not be part of AMC) - Kindly refer to Hardware warranty T&amp;C attached.
•             The minimum contract period shall be three (3) years from the date of deployment.
•             Internet connectivity, civil works (including trenching, power supply, LAN/Wi-Fi readiness, pole mounting, enclosures), UPS provisioning, and related site readiness shall remain in the Client’s scope, as outlined in the assumptions and dependencies section of the proposal.
•            Civil works will be executed by Axestrack, subject to client approval of the execution methodology, vendor selection, and adherence to the client-defined quality checklist and safety standards.
•            AMC charges will be applicable from the second year onwards. These will be billed annually and calculated at 20% of the installed hardware cost. The AMC invoices will be raised separately from the second year.
•             Spares and accessory parts, if required, will be charged separately at prevailing rates.
•             Onsite Resources - one (1) in general shift for Hardware Monitoring, and offshore CS Customer Success for Project Management and Support is part of Monthly Subscription Fee. Any further requirement for Onsite resources will be charged separately.
•             The above costing remains valid for one (1) year from the date of proposal submission and includes the standard hardware warranty period.
</t>
    </r>
    <r>
      <rPr>
        <b/>
        <sz val="10"/>
        <color theme="1"/>
        <rFont val="Arial"/>
        <family val="2"/>
      </rPr>
      <t>Payment Terms:</t>
    </r>
    <r>
      <rPr>
        <sz val="10"/>
        <color theme="1"/>
        <rFont val="Arial"/>
        <family val="2"/>
      </rPr>
      <t xml:space="preserve">
•             Full hardware cost upfront on project Kickoff
•             Payment for Platform Subscription + Support &amp; Maintenance will be on quarterly basis.
•             100% payments to be made within 15 days from the date of receipt of original or digitally signed invoice. In case of delay, overdue charges of 1.5% per month will be charged. </t>
    </r>
  </si>
  <si>
    <t>Installation, Platform Customization, Deployment &amp; Training (Including Travel, boarding and lodging cost)</t>
  </si>
  <si>
    <t>•            Engaging in Customs or other regulatory bodies for compliance activities not related to automation..
•            RFID Tags placement and mapping in system will done by Adani Port team.
•            Trade documentation initiatives beyond gate automation workflows.
•            Wagon-level container mapping, siding operations, or rake utilization optimization.
•            Customizations to ERP systems (ITUP, IPOS, and Navis N4) or third-party software outside defined API integrations. - The application APIs are compatible with ITUP, IPOS, and Navis N4 systems as per the defined integration scope.
•            Custom TOS modifications not related to vehicle movement/container movement/trip lifecycle.
•            Major civil construction, large-scale trenching, structural modification, or power feeder extension beyond defined gate automation areas shall remain outside Axestrack’s scope.
•            Manual interventions beyond defined automation (e.g., manual weighbridge ops, physical checks).
•            Hardware not supplied or supported under this project.
•            Coordination with third-party vendors/agents for systems not in the defined integration scope. Axestrack will liaise and coordinate with the ITUP, IPOS, and Navis teams to ensure successful integration and smooth implementation of the project.
•            Data cleansing/migration from legacy or manual records.</t>
  </si>
  <si>
    <t>Hardware Cost
(Refer to the hardware count breakup on proposal document on page no.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</si>
</sst>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_(* #,##0_);_(* \(#,##0\);_(* &quot;-&quot;??_);_(@_)"/>
    <numFmt numFmtId="166" formatCode="[$-F800]dddd\,\ mmmm\ dd\,\ yyyy"/>
    <numFmt numFmtId="167" formatCode="[$-14009]dd\ mmmm\ yyyy;@"/>
    <numFmt numFmtId="168" formatCode="0.000%"/>
    <numFmt numFmtId="169" formatCode="_(* #,##0.0000_);_(* \(#,##0.0000\);_(* &quot;-&quot;??_);_(@_)"/>
  </numFmts>
  <fonts count="22" x14ac:knownFonts="1">
    <font>
      <sz val="11"/>
      <color theme="1"/>
      <name val="Calibri"/>
      <family val="2"/>
      <scheme val="minor"/>
    </font>
    <font>
      <sz val="11"/>
      <color theme="1"/>
      <name val="Calibri"/>
      <family val="2"/>
      <scheme val="minor"/>
    </font>
    <font>
      <sz val="12"/>
      <name val="Calibri"/>
      <family val="2"/>
      <scheme val="minor"/>
    </font>
    <font>
      <b/>
      <sz val="12"/>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24"/>
      <color theme="5"/>
      <name val="Calibri"/>
      <family val="2"/>
      <scheme val="minor"/>
    </font>
    <font>
      <b/>
      <sz val="14"/>
      <color theme="1"/>
      <name val="Calibri"/>
      <family val="2"/>
      <scheme val="minor"/>
    </font>
    <font>
      <sz val="14"/>
      <color theme="1"/>
      <name val="Calibri"/>
      <family val="2"/>
      <scheme val="minor"/>
    </font>
    <font>
      <sz val="10"/>
      <color theme="1"/>
      <name val="Arial"/>
      <family val="2"/>
    </font>
    <font>
      <b/>
      <sz val="10"/>
      <color theme="1"/>
      <name val="Arial"/>
      <family val="2"/>
    </font>
    <font>
      <sz val="10"/>
      <name val="Arial"/>
      <family val="2"/>
    </font>
    <font>
      <b/>
      <sz val="10"/>
      <color theme="0"/>
      <name val="Arial"/>
      <family val="2"/>
    </font>
    <font>
      <b/>
      <sz val="14"/>
      <color theme="4"/>
      <name val="Arial"/>
      <family val="2"/>
    </font>
    <font>
      <sz val="8"/>
      <name val="Calibri"/>
      <family val="2"/>
      <scheme val="minor"/>
    </font>
    <font>
      <i/>
      <sz val="10"/>
      <color theme="1"/>
      <name val="Arial"/>
      <family val="2"/>
    </font>
    <font>
      <b/>
      <sz val="12"/>
      <color theme="0"/>
      <name val="Calibri"/>
      <family val="2"/>
      <scheme val="minor"/>
    </font>
    <font>
      <sz val="12"/>
      <color theme="5"/>
      <name val="Calibri"/>
      <family val="2"/>
      <scheme val="minor"/>
    </font>
    <font>
      <u/>
      <sz val="11"/>
      <color theme="10"/>
      <name val="Calibri"/>
      <family val="2"/>
      <scheme val="minor"/>
    </font>
    <font>
      <b/>
      <sz val="12"/>
      <color theme="0"/>
      <name val="Arial"/>
      <family val="2"/>
    </font>
    <font>
      <b/>
      <sz val="16"/>
      <color theme="1"/>
      <name val="Calibri"/>
      <family val="2"/>
      <scheme val="minor"/>
    </font>
  </fonts>
  <fills count="22">
    <fill>
      <patternFill patternType="none"/>
    </fill>
    <fill>
      <patternFill patternType="gray125"/>
    </fill>
    <fill>
      <patternFill patternType="solid">
        <fgColor theme="4"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2"/>
        <bgColor indexed="64"/>
      </patternFill>
    </fill>
    <fill>
      <patternFill patternType="solid">
        <fgColor theme="4" tint="0.79998168889431442"/>
        <bgColor rgb="FFD4D4D4"/>
      </patternFill>
    </fill>
    <fill>
      <patternFill patternType="solid">
        <fgColor theme="4"/>
        <bgColor rgb="FFD4D4D4"/>
      </patternFill>
    </fill>
    <fill>
      <patternFill patternType="solid">
        <fgColor theme="4"/>
        <bgColor indexed="64"/>
      </patternFill>
    </fill>
    <fill>
      <patternFill patternType="solid">
        <fgColor theme="6" tint="0.59999389629810485"/>
        <bgColor indexed="64"/>
      </patternFill>
    </fill>
    <fill>
      <patternFill patternType="solid">
        <fgColor theme="6" tint="0.59999389629810485"/>
        <bgColor rgb="FFD4D4D4"/>
      </patternFill>
    </fill>
    <fill>
      <patternFill patternType="solid">
        <fgColor theme="2"/>
        <bgColor rgb="FFD4D4D4"/>
      </patternFill>
    </fill>
    <fill>
      <patternFill patternType="solid">
        <fgColor rgb="FFFFFF00"/>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rgb="FF92D05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bottom/>
      <diagonal/>
    </border>
    <border>
      <left/>
      <right style="thin">
        <color indexed="64"/>
      </right>
      <top/>
      <bottom/>
      <diagonal/>
    </border>
  </borders>
  <cellStyleXfs count="4">
    <xf numFmtId="0" fontId="0" fillId="0" borderId="0"/>
    <xf numFmtId="164" fontId="1" fillId="0" borderId="0" applyFont="0" applyFill="0" applyBorder="0" applyAlignment="0" applyProtection="0"/>
    <xf numFmtId="0" fontId="19" fillId="0" borderId="0" applyNumberFormat="0" applyFill="0" applyBorder="0" applyAlignment="0" applyProtection="0"/>
    <xf numFmtId="9" fontId="1" fillId="0" borderId="0" applyFont="0" applyFill="0" applyBorder="0" applyAlignment="0" applyProtection="0"/>
  </cellStyleXfs>
  <cellXfs count="229">
    <xf numFmtId="0" fontId="0" fillId="0" borderId="0" xfId="0"/>
    <xf numFmtId="0" fontId="0" fillId="0" borderId="0" xfId="0" applyAlignment="1">
      <alignment horizontal="left"/>
    </xf>
    <xf numFmtId="0" fontId="2" fillId="0" borderId="1" xfId="0" applyFont="1" applyBorder="1" applyAlignment="1">
      <alignment horizontal="left" wrapText="1" readingOrder="1"/>
    </xf>
    <xf numFmtId="0" fontId="6" fillId="0" borderId="1" xfId="0" applyFont="1" applyBorder="1" applyAlignment="1">
      <alignment vertical="center"/>
    </xf>
    <xf numFmtId="0" fontId="0" fillId="0" borderId="1" xfId="0" applyBorder="1" applyAlignment="1">
      <alignment horizontal="center"/>
    </xf>
    <xf numFmtId="0" fontId="5" fillId="4" borderId="1" xfId="0" applyFont="1" applyFill="1" applyBorder="1" applyAlignment="1">
      <alignment horizontal="center" vertical="center" wrapText="1"/>
    </xf>
    <xf numFmtId="0" fontId="6" fillId="0" borderId="1" xfId="0" applyFont="1" applyBorder="1" applyAlignment="1">
      <alignment horizontal="center"/>
    </xf>
    <xf numFmtId="0" fontId="4" fillId="2" borderId="1" xfId="0" applyFont="1" applyFill="1" applyBorder="1"/>
    <xf numFmtId="0" fontId="4" fillId="2" borderId="0" xfId="0" applyFont="1" applyFill="1"/>
    <xf numFmtId="0" fontId="0" fillId="4" borderId="1" xfId="0" applyFill="1" applyBorder="1"/>
    <xf numFmtId="0" fontId="3" fillId="8" borderId="1" xfId="0" applyFont="1" applyFill="1" applyBorder="1" applyAlignment="1">
      <alignment horizontal="left" wrapText="1" readingOrder="1"/>
    </xf>
    <xf numFmtId="0" fontId="0" fillId="8" borderId="1" xfId="0" applyFill="1" applyBorder="1" applyAlignment="1">
      <alignment horizontal="center"/>
    </xf>
    <xf numFmtId="0" fontId="7" fillId="0" borderId="0" xfId="0" applyFont="1" applyAlignment="1">
      <alignment horizontal="left" readingOrder="1"/>
    </xf>
    <xf numFmtId="0" fontId="7" fillId="0" borderId="0" xfId="0" applyFont="1"/>
    <xf numFmtId="9" fontId="6" fillId="3"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0" fontId="6" fillId="0" borderId="0" xfId="0" applyFont="1"/>
    <xf numFmtId="0" fontId="6" fillId="0" borderId="1" xfId="0" applyFont="1" applyBorder="1" applyAlignment="1">
      <alignment horizontal="left" vertical="center"/>
    </xf>
    <xf numFmtId="0" fontId="6" fillId="0" borderId="1" xfId="0" applyFont="1" applyBorder="1" applyAlignment="1">
      <alignment vertical="center" wrapText="1"/>
    </xf>
    <xf numFmtId="0" fontId="5" fillId="4" borderId="1" xfId="0" applyFont="1" applyFill="1" applyBorder="1" applyAlignment="1">
      <alignment horizontal="center" vertical="center"/>
    </xf>
    <xf numFmtId="0" fontId="13" fillId="12" borderId="1" xfId="0" applyFont="1" applyFill="1" applyBorder="1" applyAlignment="1">
      <alignment horizontal="center" vertical="center" wrapText="1"/>
    </xf>
    <xf numFmtId="165" fontId="2" fillId="0" borderId="1" xfId="1" applyNumberFormat="1" applyFont="1" applyFill="1" applyBorder="1" applyAlignment="1">
      <alignment horizontal="right" wrapText="1" readingOrder="1"/>
    </xf>
    <xf numFmtId="165" fontId="2" fillId="0" borderId="1" xfId="1" applyNumberFormat="1" applyFont="1" applyFill="1" applyBorder="1" applyAlignment="1">
      <alignment horizontal="right" vertical="center" wrapText="1" readingOrder="1"/>
    </xf>
    <xf numFmtId="165" fontId="3" fillId="4" borderId="1" xfId="1" applyNumberFormat="1" applyFont="1" applyFill="1" applyBorder="1" applyAlignment="1">
      <alignment horizontal="right" vertical="center" wrapText="1" readingOrder="1"/>
    </xf>
    <xf numFmtId="165" fontId="3" fillId="7" borderId="1" xfId="1" applyNumberFormat="1" applyFont="1" applyFill="1" applyBorder="1" applyAlignment="1">
      <alignment horizontal="right" vertical="center" wrapText="1" readingOrder="1"/>
    </xf>
    <xf numFmtId="165" fontId="2" fillId="6" borderId="1" xfId="1" applyNumberFormat="1" applyFont="1" applyFill="1" applyBorder="1" applyAlignment="1">
      <alignment horizontal="right" wrapText="1" readingOrder="1"/>
    </xf>
    <xf numFmtId="0" fontId="6" fillId="0" borderId="1" xfId="0" applyFont="1" applyBorder="1" applyAlignment="1">
      <alignment horizontal="center" vertical="center"/>
    </xf>
    <xf numFmtId="0" fontId="4"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4" borderId="1" xfId="0" applyFont="1" applyFill="1" applyBorder="1" applyAlignment="1">
      <alignment vertical="center" wrapText="1"/>
    </xf>
    <xf numFmtId="0" fontId="6" fillId="0" borderId="1" xfId="0" applyFont="1" applyBorder="1"/>
    <xf numFmtId="0" fontId="5" fillId="9" borderId="1" xfId="0" applyFont="1" applyFill="1" applyBorder="1" applyAlignment="1">
      <alignment horizontal="center"/>
    </xf>
    <xf numFmtId="165" fontId="3" fillId="9" borderId="1" xfId="1" applyNumberFormat="1" applyFont="1" applyFill="1" applyBorder="1" applyAlignment="1">
      <alignment horizontal="right" wrapText="1" readingOrder="1"/>
    </xf>
    <xf numFmtId="0" fontId="10" fillId="0" borderId="0" xfId="0" applyFont="1" applyAlignment="1">
      <alignment vertical="center"/>
    </xf>
    <xf numFmtId="0" fontId="10" fillId="0" borderId="0" xfId="0" applyFont="1" applyAlignment="1">
      <alignment vertical="center" wrapText="1"/>
    </xf>
    <xf numFmtId="0" fontId="6" fillId="17" borderId="1" xfId="0" applyFont="1" applyFill="1" applyBorder="1" applyAlignment="1">
      <alignment horizontal="center"/>
    </xf>
    <xf numFmtId="0" fontId="5" fillId="0" borderId="1" xfId="0" applyFont="1" applyBorder="1" applyAlignment="1">
      <alignment horizontal="center" vertical="center"/>
    </xf>
    <xf numFmtId="0" fontId="6" fillId="0" borderId="21" xfId="0" applyFont="1" applyBorder="1"/>
    <xf numFmtId="0" fontId="6" fillId="0" borderId="1" xfId="0" applyFont="1" applyBorder="1" applyAlignment="1">
      <alignment horizontal="right"/>
    </xf>
    <xf numFmtId="0" fontId="5" fillId="17" borderId="1" xfId="0" applyFont="1" applyFill="1" applyBorder="1"/>
    <xf numFmtId="0" fontId="6" fillId="17" borderId="1" xfId="0" applyFont="1" applyFill="1" applyBorder="1"/>
    <xf numFmtId="165" fontId="2" fillId="0" borderId="1" xfId="1" applyNumberFormat="1" applyFont="1" applyFill="1" applyBorder="1" applyAlignment="1">
      <alignment horizontal="right" readingOrder="1"/>
    </xf>
    <xf numFmtId="165" fontId="3" fillId="9" borderId="1" xfId="1" applyNumberFormat="1" applyFont="1" applyFill="1" applyBorder="1" applyAlignment="1">
      <alignment horizontal="right" readingOrder="1"/>
    </xf>
    <xf numFmtId="165" fontId="6" fillId="0" borderId="1" xfId="1" applyNumberFormat="1" applyFont="1" applyFill="1" applyBorder="1" applyAlignment="1"/>
    <xf numFmtId="0" fontId="6" fillId="0" borderId="27" xfId="0" applyFont="1" applyBorder="1"/>
    <xf numFmtId="0" fontId="6" fillId="0" borderId="28" xfId="0" applyFont="1" applyBorder="1"/>
    <xf numFmtId="1" fontId="6" fillId="0" borderId="1" xfId="0" applyNumberFormat="1" applyFont="1" applyBorder="1"/>
    <xf numFmtId="0" fontId="2" fillId="0" borderId="0" xfId="0" applyFont="1"/>
    <xf numFmtId="0" fontId="3" fillId="0" borderId="16" xfId="0" applyFont="1" applyBorder="1" applyAlignment="1">
      <alignment horizontal="center" vertical="center"/>
    </xf>
    <xf numFmtId="0" fontId="2" fillId="0" borderId="16" xfId="0" applyFont="1" applyBorder="1"/>
    <xf numFmtId="0" fontId="6" fillId="0" borderId="29" xfId="0" applyFont="1" applyBorder="1"/>
    <xf numFmtId="0" fontId="6" fillId="0" borderId="30" xfId="0" applyFont="1" applyBorder="1"/>
    <xf numFmtId="0" fontId="6" fillId="0" borderId="31" xfId="0" applyFont="1" applyBorder="1"/>
    <xf numFmtId="0" fontId="18" fillId="0" borderId="0" xfId="0" applyFont="1" applyAlignment="1">
      <alignment horizontal="left" readingOrder="1"/>
    </xf>
    <xf numFmtId="0" fontId="18" fillId="0" borderId="0" xfId="0" applyFont="1"/>
    <xf numFmtId="9" fontId="6" fillId="0" borderId="0" xfId="0" applyNumberFormat="1" applyFont="1" applyAlignment="1">
      <alignment horizontal="center"/>
    </xf>
    <xf numFmtId="0" fontId="0" fillId="0" borderId="0" xfId="0" applyAlignment="1">
      <alignment vertical="center"/>
    </xf>
    <xf numFmtId="0" fontId="9" fillId="0" borderId="0" xfId="0" applyFont="1" applyAlignment="1">
      <alignment vertical="center"/>
    </xf>
    <xf numFmtId="0" fontId="6" fillId="0" borderId="0" xfId="0" applyFont="1" applyAlignment="1">
      <alignment vertical="center"/>
    </xf>
    <xf numFmtId="165" fontId="0" fillId="0" borderId="0" xfId="0" applyNumberFormat="1"/>
    <xf numFmtId="0" fontId="2" fillId="17" borderId="1" xfId="0" applyFont="1" applyFill="1" applyBorder="1" applyAlignment="1">
      <alignment horizontal="center"/>
    </xf>
    <xf numFmtId="43" fontId="0" fillId="0" borderId="0" xfId="0" applyNumberFormat="1"/>
    <xf numFmtId="9" fontId="6" fillId="0" borderId="0" xfId="0" applyNumberFormat="1" applyFont="1"/>
    <xf numFmtId="168" fontId="5" fillId="4" borderId="1" xfId="0" applyNumberFormat="1" applyFont="1" applyFill="1" applyBorder="1" applyAlignment="1">
      <alignment horizontal="center" vertical="center"/>
    </xf>
    <xf numFmtId="165" fontId="12" fillId="0" borderId="1" xfId="1" applyNumberFormat="1" applyFont="1" applyFill="1" applyBorder="1" applyAlignment="1">
      <alignment horizontal="right" vertical="center" wrapText="1" readingOrder="1"/>
    </xf>
    <xf numFmtId="0" fontId="10" fillId="0" borderId="1" xfId="0" applyFont="1" applyBorder="1" applyAlignment="1">
      <alignment horizontal="center" vertical="center" wrapText="1"/>
    </xf>
    <xf numFmtId="165" fontId="10" fillId="0" borderId="0" xfId="0" applyNumberFormat="1" applyFont="1" applyAlignment="1">
      <alignment vertical="center" wrapText="1"/>
    </xf>
    <xf numFmtId="169" fontId="10" fillId="0" borderId="0" xfId="0" applyNumberFormat="1" applyFont="1" applyAlignment="1">
      <alignment vertical="center" wrapText="1"/>
    </xf>
    <xf numFmtId="0" fontId="6" fillId="0" borderId="21" xfId="0" applyFont="1"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Border="1" applyAlignment="1">
      <alignment horizontal="center" wrapText="1" readingOrder="1"/>
    </xf>
    <xf numFmtId="0" fontId="5" fillId="0" borderId="0" xfId="0" applyFont="1" applyAlignment="1">
      <alignment horizontal="center" vertical="center"/>
    </xf>
    <xf numFmtId="0" fontId="5" fillId="0" borderId="0" xfId="0" applyFont="1" applyAlignment="1">
      <alignment horizontal="center" vertical="center" wrapText="1"/>
    </xf>
    <xf numFmtId="0" fontId="0" fillId="0" borderId="27" xfId="0" applyBorder="1"/>
    <xf numFmtId="0" fontId="0" fillId="0" borderId="28" xfId="0" applyBorder="1"/>
    <xf numFmtId="0" fontId="9" fillId="3" borderId="3" xfId="0" applyFont="1" applyFill="1" applyBorder="1" applyAlignment="1">
      <alignment horizontal="center" vertical="center"/>
    </xf>
    <xf numFmtId="166" fontId="9" fillId="3" borderId="9" xfId="0" applyNumberFormat="1" applyFont="1" applyFill="1" applyBorder="1" applyAlignment="1">
      <alignment horizontal="center" vertical="center"/>
    </xf>
    <xf numFmtId="0" fontId="9" fillId="3" borderId="9" xfId="0" applyFont="1" applyFill="1" applyBorder="1" applyAlignment="1">
      <alignment horizontal="center" vertical="center"/>
    </xf>
    <xf numFmtId="9" fontId="9" fillId="3" borderId="9" xfId="0" applyNumberFormat="1" applyFont="1" applyFill="1" applyBorder="1" applyAlignment="1">
      <alignment horizontal="center" vertical="center"/>
    </xf>
    <xf numFmtId="3" fontId="9" fillId="3" borderId="9" xfId="0" applyNumberFormat="1" applyFont="1" applyFill="1" applyBorder="1" applyAlignment="1">
      <alignment horizontal="center" vertical="center"/>
    </xf>
    <xf numFmtId="3" fontId="9" fillId="3" borderId="12" xfId="0" applyNumberFormat="1" applyFont="1" applyFill="1" applyBorder="1" applyAlignment="1">
      <alignment horizontal="center" vertical="center"/>
    </xf>
    <xf numFmtId="0" fontId="8" fillId="7" borderId="4"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7" borderId="19" xfId="0" applyFont="1" applyFill="1" applyBorder="1" applyAlignment="1">
      <alignment horizontal="center" vertical="center" wrapText="1"/>
    </xf>
    <xf numFmtId="0" fontId="8" fillId="7" borderId="6" xfId="0" applyFont="1" applyFill="1" applyBorder="1" applyAlignment="1">
      <alignment horizontal="center" vertical="center" wrapText="1"/>
    </xf>
    <xf numFmtId="0" fontId="8" fillId="3" borderId="33" xfId="0" applyFont="1" applyFill="1" applyBorder="1" applyAlignment="1">
      <alignment horizontal="center" vertical="center" wrapText="1"/>
    </xf>
    <xf numFmtId="0" fontId="6" fillId="0" borderId="7" xfId="0" applyFont="1" applyBorder="1" applyAlignment="1">
      <alignment horizontal="left" vertical="center"/>
    </xf>
    <xf numFmtId="0" fontId="6" fillId="0" borderId="7" xfId="0" applyFont="1" applyBorder="1" applyAlignment="1">
      <alignment vertical="center"/>
    </xf>
    <xf numFmtId="0" fontId="6" fillId="5" borderId="7" xfId="0" applyFont="1" applyFill="1" applyBorder="1" applyAlignment="1">
      <alignment vertical="center"/>
    </xf>
    <xf numFmtId="165" fontId="2" fillId="0" borderId="7" xfId="1" applyNumberFormat="1" applyFont="1" applyFill="1" applyBorder="1" applyAlignment="1">
      <alignment horizontal="right" vertical="center" wrapText="1" readingOrder="1"/>
    </xf>
    <xf numFmtId="165" fontId="6" fillId="5" borderId="20" xfId="1" applyNumberFormat="1" applyFont="1" applyFill="1" applyBorder="1" applyAlignment="1">
      <alignment horizontal="center" vertical="center"/>
    </xf>
    <xf numFmtId="165" fontId="2" fillId="0" borderId="8" xfId="1" applyNumberFormat="1" applyFont="1" applyFill="1" applyBorder="1" applyAlignment="1">
      <alignment horizontal="right" vertical="center" wrapText="1" readingOrder="1"/>
    </xf>
    <xf numFmtId="165" fontId="3" fillId="10" borderId="1" xfId="1" applyNumberFormat="1" applyFont="1" applyFill="1" applyBorder="1" applyAlignment="1">
      <alignment horizontal="right" vertical="center" wrapText="1" readingOrder="1"/>
    </xf>
    <xf numFmtId="168" fontId="5" fillId="10" borderId="1" xfId="0" applyNumberFormat="1" applyFont="1" applyFill="1" applyBorder="1" applyAlignment="1">
      <alignment horizontal="center" vertical="center"/>
    </xf>
    <xf numFmtId="0" fontId="6" fillId="5" borderId="1" xfId="0" applyFont="1" applyFill="1" applyBorder="1" applyAlignment="1">
      <alignment vertical="center"/>
    </xf>
    <xf numFmtId="9" fontId="6" fillId="3" borderId="7" xfId="0" applyNumberFormat="1" applyFont="1" applyFill="1" applyBorder="1" applyAlignment="1">
      <alignment horizontal="center" vertical="center"/>
    </xf>
    <xf numFmtId="165" fontId="3" fillId="4" borderId="9" xfId="1" applyNumberFormat="1" applyFont="1" applyFill="1" applyBorder="1" applyAlignment="1">
      <alignment horizontal="right" vertical="center" wrapText="1" readingOrder="1"/>
    </xf>
    <xf numFmtId="1" fontId="6" fillId="0" borderId="1" xfId="0" applyNumberFormat="1" applyFont="1" applyBorder="1" applyAlignment="1">
      <alignment horizontal="center" vertical="center"/>
    </xf>
    <xf numFmtId="0" fontId="6" fillId="0" borderId="20" xfId="0" applyFont="1" applyBorder="1" applyAlignment="1">
      <alignment horizontal="center" vertical="center" wrapText="1"/>
    </xf>
    <xf numFmtId="0" fontId="0" fillId="0" borderId="1" xfId="0" applyBorder="1"/>
    <xf numFmtId="0" fontId="0" fillId="0" borderId="1" xfId="0" applyBorder="1" applyAlignment="1">
      <alignment horizontal="left"/>
    </xf>
    <xf numFmtId="165" fontId="2" fillId="17" borderId="1" xfId="1" applyNumberFormat="1" applyFont="1" applyFill="1" applyBorder="1" applyAlignment="1">
      <alignment horizontal="right" wrapText="1" readingOrder="1"/>
    </xf>
    <xf numFmtId="0" fontId="0" fillId="0" borderId="0" xfId="0" applyAlignment="1">
      <alignment wrapText="1"/>
    </xf>
    <xf numFmtId="0" fontId="0" fillId="17" borderId="0" xfId="0" applyFill="1"/>
    <xf numFmtId="0" fontId="8" fillId="7" borderId="1" xfId="0" applyFont="1" applyFill="1" applyBorder="1" applyAlignment="1">
      <alignment vertical="center"/>
    </xf>
    <xf numFmtId="0" fontId="6" fillId="10" borderId="1" xfId="0" applyFont="1" applyFill="1" applyBorder="1" applyAlignment="1">
      <alignment horizontal="center"/>
    </xf>
    <xf numFmtId="1" fontId="2" fillId="6" borderId="1" xfId="1" applyNumberFormat="1" applyFont="1" applyFill="1" applyBorder="1" applyAlignment="1">
      <alignment horizontal="center" vertical="center" wrapText="1" readingOrder="1"/>
    </xf>
    <xf numFmtId="165" fontId="0" fillId="8" borderId="1" xfId="1" applyNumberFormat="1" applyFont="1" applyFill="1" applyBorder="1"/>
    <xf numFmtId="0" fontId="6" fillId="8" borderId="1" xfId="0" applyFont="1" applyFill="1" applyBorder="1" applyAlignment="1">
      <alignment horizontal="center"/>
    </xf>
    <xf numFmtId="165" fontId="3" fillId="8" borderId="1" xfId="1" applyNumberFormat="1" applyFont="1" applyFill="1" applyBorder="1" applyAlignment="1">
      <alignment horizontal="right" wrapText="1" readingOrder="1"/>
    </xf>
    <xf numFmtId="0" fontId="5" fillId="8" borderId="1" xfId="0" applyFont="1" applyFill="1" applyBorder="1" applyAlignment="1">
      <alignment horizontal="center"/>
    </xf>
    <xf numFmtId="1" fontId="3" fillId="8" borderId="1" xfId="1" applyNumberFormat="1" applyFont="1" applyFill="1" applyBorder="1" applyAlignment="1">
      <alignment horizontal="center" vertical="center" wrapText="1" readingOrder="1"/>
    </xf>
    <xf numFmtId="165" fontId="6" fillId="0" borderId="1" xfId="1" applyNumberFormat="1" applyFont="1" applyFill="1" applyBorder="1"/>
    <xf numFmtId="165" fontId="21" fillId="20" borderId="0" xfId="0" applyNumberFormat="1" applyFont="1" applyFill="1"/>
    <xf numFmtId="0" fontId="3" fillId="2" borderId="21" xfId="0" applyFont="1" applyFill="1" applyBorder="1" applyAlignment="1">
      <alignment horizontal="center" vertical="center" wrapText="1" readingOrder="1"/>
    </xf>
    <xf numFmtId="0" fontId="2" fillId="0" borderId="13" xfId="0" applyFont="1" applyBorder="1" applyAlignment="1">
      <alignment vertical="center" wrapText="1" readingOrder="1"/>
    </xf>
    <xf numFmtId="0" fontId="2" fillId="0" borderId="10" xfId="0" applyFont="1" applyBorder="1" applyAlignment="1">
      <alignment horizontal="left" wrapText="1" readingOrder="1"/>
    </xf>
    <xf numFmtId="165" fontId="2" fillId="0" borderId="10" xfId="1" applyNumberFormat="1" applyFont="1" applyFill="1" applyBorder="1" applyAlignment="1">
      <alignment horizontal="right" wrapText="1" readingOrder="1"/>
    </xf>
    <xf numFmtId="0" fontId="2" fillId="0" borderId="10" xfId="0" applyFont="1" applyBorder="1" applyAlignment="1">
      <alignment horizontal="center" wrapText="1" readingOrder="1"/>
    </xf>
    <xf numFmtId="165" fontId="2" fillId="0" borderId="3" xfId="0" applyNumberFormat="1" applyFont="1" applyBorder="1" applyAlignment="1">
      <alignment vertical="center" wrapText="1" readingOrder="1"/>
    </xf>
    <xf numFmtId="0" fontId="2" fillId="0" borderId="14" xfId="0" applyFont="1" applyBorder="1" applyAlignment="1">
      <alignment vertical="center" wrapText="1" readingOrder="1"/>
    </xf>
    <xf numFmtId="165" fontId="2" fillId="0" borderId="9" xfId="0" applyNumberFormat="1" applyFont="1" applyBorder="1" applyAlignment="1">
      <alignment vertical="center" wrapText="1" readingOrder="1"/>
    </xf>
    <xf numFmtId="0" fontId="2" fillId="0" borderId="17" xfId="0" applyFont="1" applyBorder="1" applyAlignment="1">
      <alignment vertical="center" wrapText="1" readingOrder="1"/>
    </xf>
    <xf numFmtId="0" fontId="2" fillId="0" borderId="2" xfId="0" applyFont="1" applyBorder="1" applyAlignment="1">
      <alignment horizontal="left" wrapText="1" readingOrder="1"/>
    </xf>
    <xf numFmtId="165" fontId="2" fillId="0" borderId="2" xfId="1" applyNumberFormat="1" applyFont="1" applyFill="1" applyBorder="1" applyAlignment="1">
      <alignment horizontal="right" wrapText="1" readingOrder="1"/>
    </xf>
    <xf numFmtId="0" fontId="2" fillId="0" borderId="2" xfId="0" applyFont="1" applyBorder="1" applyAlignment="1">
      <alignment horizontal="center" wrapText="1" readingOrder="1"/>
    </xf>
    <xf numFmtId="165" fontId="2" fillId="0" borderId="12" xfId="0" applyNumberFormat="1" applyFont="1" applyBorder="1" applyAlignment="1">
      <alignment vertical="center" wrapText="1" readingOrder="1"/>
    </xf>
    <xf numFmtId="0" fontId="3" fillId="0" borderId="7" xfId="0" applyFont="1" applyBorder="1" applyAlignment="1">
      <alignment horizontal="center"/>
    </xf>
    <xf numFmtId="165" fontId="3" fillId="0" borderId="7" xfId="1" applyNumberFormat="1" applyFont="1" applyFill="1" applyBorder="1" applyAlignment="1">
      <alignment horizontal="right" wrapText="1" readingOrder="1"/>
    </xf>
    <xf numFmtId="0" fontId="10" fillId="0" borderId="21" xfId="0" applyFont="1" applyBorder="1" applyAlignment="1">
      <alignment horizontal="center" vertical="center" wrapText="1"/>
    </xf>
    <xf numFmtId="0" fontId="6" fillId="21" borderId="1" xfId="0" applyFont="1" applyFill="1" applyBorder="1" applyAlignment="1">
      <alignment horizontal="center" vertical="center"/>
    </xf>
    <xf numFmtId="0" fontId="5" fillId="0" borderId="36" xfId="0" applyFont="1" applyBorder="1" applyAlignment="1">
      <alignment vertical="center" wrapText="1"/>
    </xf>
    <xf numFmtId="0" fontId="5" fillId="0" borderId="18" xfId="0" applyFont="1" applyBorder="1" applyAlignment="1">
      <alignment vertical="center" wrapText="1"/>
    </xf>
    <xf numFmtId="0" fontId="5" fillId="3" borderId="16" xfId="0" applyFont="1" applyFill="1" applyBorder="1" applyAlignment="1">
      <alignment horizontal="right" vertical="center"/>
    </xf>
    <xf numFmtId="165" fontId="5" fillId="3" borderId="1" xfId="0" applyNumberFormat="1" applyFont="1" applyFill="1" applyBorder="1" applyAlignment="1">
      <alignment horizontal="right" vertical="center"/>
    </xf>
    <xf numFmtId="0" fontId="5" fillId="3" borderId="1" xfId="0" applyFont="1" applyFill="1" applyBorder="1" applyAlignment="1">
      <alignment horizontal="center" vertical="center"/>
    </xf>
    <xf numFmtId="165" fontId="6" fillId="0" borderId="0" xfId="0" applyNumberFormat="1" applyFont="1"/>
    <xf numFmtId="0" fontId="2" fillId="0" borderId="1" xfId="0" applyFont="1" applyBorder="1" applyAlignment="1">
      <alignment vertical="center" wrapText="1" readingOrder="1"/>
    </xf>
    <xf numFmtId="0" fontId="13" fillId="12" borderId="1" xfId="0" applyFont="1" applyFill="1" applyBorder="1" applyAlignment="1">
      <alignment vertical="center" wrapText="1"/>
    </xf>
    <xf numFmtId="165" fontId="10" fillId="0" borderId="1" xfId="1" applyNumberFormat="1" applyFont="1" applyBorder="1" applyAlignment="1">
      <alignment vertical="center" wrapText="1"/>
    </xf>
    <xf numFmtId="165" fontId="20" fillId="13" borderId="1" xfId="0" applyNumberFormat="1" applyFont="1" applyFill="1" applyBorder="1" applyAlignment="1">
      <alignment vertical="center" wrapText="1"/>
    </xf>
    <xf numFmtId="0" fontId="2" fillId="0" borderId="21" xfId="0" applyFont="1" applyBorder="1" applyAlignment="1">
      <alignment horizontal="left" wrapText="1" readingOrder="1"/>
    </xf>
    <xf numFmtId="0" fontId="2" fillId="17" borderId="4" xfId="0" applyFont="1" applyFill="1" applyBorder="1" applyAlignment="1">
      <alignment vertical="center" wrapText="1" readingOrder="1"/>
    </xf>
    <xf numFmtId="0" fontId="2" fillId="17" borderId="5" xfId="0" applyFont="1" applyFill="1" applyBorder="1" applyAlignment="1">
      <alignment horizontal="left" wrapText="1" readingOrder="1"/>
    </xf>
    <xf numFmtId="165" fontId="2" fillId="17" borderId="5" xfId="1" applyNumberFormat="1" applyFont="1" applyFill="1" applyBorder="1" applyAlignment="1">
      <alignment horizontal="right" wrapText="1" readingOrder="1"/>
    </xf>
    <xf numFmtId="0" fontId="2" fillId="17" borderId="5" xfId="0" applyFont="1" applyFill="1" applyBorder="1" applyAlignment="1">
      <alignment horizontal="center" wrapText="1" readingOrder="1"/>
    </xf>
    <xf numFmtId="165" fontId="2" fillId="17" borderId="6" xfId="0" applyNumberFormat="1" applyFont="1" applyFill="1" applyBorder="1" applyAlignment="1">
      <alignment vertical="center" wrapText="1" readingOrder="1"/>
    </xf>
    <xf numFmtId="0" fontId="11" fillId="0" borderId="33" xfId="0" applyFont="1" applyBorder="1" applyAlignment="1">
      <alignment horizontal="center" vertical="center" wrapText="1"/>
    </xf>
    <xf numFmtId="0" fontId="11" fillId="0" borderId="37" xfId="0" applyFont="1" applyBorder="1" applyAlignment="1">
      <alignment horizontal="center" vertical="center" wrapText="1"/>
    </xf>
    <xf numFmtId="9" fontId="10" fillId="0" borderId="0" xfId="3" applyFont="1" applyAlignment="1">
      <alignment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4" fillId="0" borderId="1" xfId="0" applyFont="1" applyBorder="1" applyAlignment="1">
      <alignment horizontal="center" vertical="center"/>
    </xf>
    <xf numFmtId="0" fontId="11" fillId="10" borderId="1" xfId="0" applyFont="1" applyFill="1" applyBorder="1" applyAlignment="1">
      <alignment horizontal="left" vertical="center"/>
    </xf>
    <xf numFmtId="0" fontId="10" fillId="0" borderId="1" xfId="0" applyFont="1" applyBorder="1" applyAlignment="1">
      <alignment horizontal="left" vertical="center"/>
    </xf>
    <xf numFmtId="0" fontId="11" fillId="15" borderId="1" xfId="0" applyFont="1" applyFill="1" applyBorder="1" applyAlignment="1">
      <alignment horizontal="center" vertical="center"/>
    </xf>
    <xf numFmtId="167" fontId="10" fillId="0" borderId="22" xfId="0" applyNumberFormat="1" applyFont="1" applyBorder="1" applyAlignment="1">
      <alignment horizontal="center" vertical="center"/>
    </xf>
    <xf numFmtId="167" fontId="10" fillId="0" borderId="34" xfId="0" applyNumberFormat="1" applyFont="1" applyBorder="1" applyAlignment="1">
      <alignment horizontal="center" vertical="center"/>
    </xf>
    <xf numFmtId="167" fontId="10" fillId="0" borderId="20" xfId="0" applyNumberFormat="1" applyFont="1" applyBorder="1" applyAlignment="1">
      <alignment horizontal="center" vertical="center"/>
    </xf>
    <xf numFmtId="167" fontId="10" fillId="0" borderId="35" xfId="0" applyNumberFormat="1" applyFont="1" applyBorder="1" applyAlignment="1">
      <alignment horizontal="center" vertical="center"/>
    </xf>
    <xf numFmtId="0" fontId="11" fillId="16" borderId="1" xfId="0" applyFont="1" applyFill="1" applyBorder="1" applyAlignment="1">
      <alignment horizontal="right" vertical="center"/>
    </xf>
    <xf numFmtId="0" fontId="10" fillId="0" borderId="1" xfId="0" quotePrefix="1" applyFont="1" applyBorder="1" applyAlignment="1">
      <alignment horizontal="left" vertical="center"/>
    </xf>
    <xf numFmtId="0" fontId="16" fillId="0" borderId="1" xfId="0" applyFont="1" applyBorder="1" applyAlignment="1">
      <alignment horizontal="center" vertical="center" wrapText="1"/>
    </xf>
    <xf numFmtId="0" fontId="19" fillId="0" borderId="1" xfId="2" quotePrefix="1" applyBorder="1" applyAlignment="1">
      <alignment horizontal="left" vertical="center"/>
    </xf>
    <xf numFmtId="0" fontId="11" fillId="16" borderId="1" xfId="0" applyFont="1" applyFill="1" applyBorder="1" applyAlignment="1">
      <alignment horizontal="left" vertical="center"/>
    </xf>
    <xf numFmtId="0" fontId="19" fillId="0" borderId="1" xfId="2" applyBorder="1" applyAlignment="1">
      <alignment horizontal="left" vertical="center"/>
    </xf>
    <xf numFmtId="0" fontId="11" fillId="11" borderId="1" xfId="0" applyFont="1" applyFill="1" applyBorder="1" applyAlignment="1">
      <alignment horizontal="center" vertical="center"/>
    </xf>
    <xf numFmtId="0" fontId="12" fillId="0" borderId="1" xfId="0" applyFont="1" applyBorder="1" applyAlignment="1">
      <alignment horizontal="left" vertical="center" wrapText="1"/>
    </xf>
    <xf numFmtId="0" fontId="13" fillId="12" borderId="15" xfId="0" applyFont="1" applyFill="1" applyBorder="1" applyAlignment="1">
      <alignment horizontal="center" vertical="center" wrapText="1"/>
    </xf>
    <xf numFmtId="0" fontId="13" fillId="12" borderId="1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1" fillId="0" borderId="22"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37"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35" xfId="0" applyFont="1" applyBorder="1" applyAlignment="1">
      <alignment horizontal="center" vertical="center" wrapText="1"/>
    </xf>
    <xf numFmtId="0" fontId="11" fillId="14" borderId="1" xfId="0" applyFont="1" applyFill="1" applyBorder="1" applyAlignment="1">
      <alignment horizontal="center" vertical="center"/>
    </xf>
    <xf numFmtId="0" fontId="11" fillId="14" borderId="15" xfId="0" applyFont="1" applyFill="1" applyBorder="1" applyAlignment="1">
      <alignment horizontal="center" vertical="center"/>
    </xf>
    <xf numFmtId="0" fontId="11" fillId="14" borderId="16" xfId="0" applyFont="1" applyFill="1" applyBorder="1" applyAlignment="1">
      <alignment horizontal="center" vertical="center"/>
    </xf>
    <xf numFmtId="0" fontId="11" fillId="14" borderId="11" xfId="0" applyFont="1" applyFill="1" applyBorder="1" applyAlignment="1">
      <alignment horizontal="center" vertical="center"/>
    </xf>
    <xf numFmtId="0" fontId="10" fillId="0" borderId="1" xfId="0" quotePrefix="1" applyFont="1" applyBorder="1" applyAlignment="1">
      <alignment horizontal="left" vertical="center" wrapText="1"/>
    </xf>
    <xf numFmtId="0" fontId="20" fillId="13" borderId="15" xfId="0" applyFont="1" applyFill="1" applyBorder="1" applyAlignment="1">
      <alignment horizontal="center" vertical="center" wrapText="1"/>
    </xf>
    <xf numFmtId="0" fontId="20" fillId="13" borderId="16" xfId="0" applyFont="1" applyFill="1" applyBorder="1" applyAlignment="1">
      <alignment horizontal="center" vertical="center" wrapText="1"/>
    </xf>
    <xf numFmtId="0" fontId="20" fillId="13" borderId="11" xfId="0" applyFont="1" applyFill="1" applyBorder="1" applyAlignment="1">
      <alignment horizontal="center" vertical="center" wrapText="1"/>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10" fillId="0" borderId="11" xfId="0" applyFont="1" applyBorder="1" applyAlignment="1">
      <alignment horizontal="center" vertical="center"/>
    </xf>
    <xf numFmtId="0" fontId="2" fillId="0" borderId="1" xfId="0" applyFont="1" applyBorder="1" applyAlignment="1">
      <alignment horizontal="left" vertical="center" wrapText="1" readingOrder="1"/>
    </xf>
    <xf numFmtId="0" fontId="20" fillId="13" borderId="1" xfId="0" applyFont="1" applyFill="1" applyBorder="1" applyAlignment="1">
      <alignment horizontal="center" vertical="center" wrapText="1"/>
    </xf>
    <xf numFmtId="0" fontId="6" fillId="10" borderId="15" xfId="0" applyFont="1" applyFill="1" applyBorder="1" applyAlignment="1">
      <alignment horizontal="center"/>
    </xf>
    <xf numFmtId="0" fontId="6" fillId="10" borderId="11" xfId="0" applyFont="1" applyFill="1" applyBorder="1" applyAlignment="1">
      <alignment horizontal="center"/>
    </xf>
    <xf numFmtId="0" fontId="2" fillId="0" borderId="15" xfId="0" applyFont="1" applyBorder="1" applyAlignment="1">
      <alignment horizontal="left" wrapText="1" readingOrder="1"/>
    </xf>
    <xf numFmtId="0" fontId="2" fillId="0" borderId="11" xfId="0" applyFont="1" applyBorder="1" applyAlignment="1">
      <alignment horizontal="left" wrapText="1" readingOrder="1"/>
    </xf>
    <xf numFmtId="165" fontId="2" fillId="0" borderId="15" xfId="0" applyNumberFormat="1" applyFont="1" applyBorder="1" applyAlignment="1">
      <alignment horizontal="left" wrapText="1" readingOrder="1"/>
    </xf>
    <xf numFmtId="165" fontId="2" fillId="0" borderId="11" xfId="0" applyNumberFormat="1" applyFont="1" applyBorder="1" applyAlignment="1">
      <alignment horizontal="left" wrapText="1" readingOrder="1"/>
    </xf>
    <xf numFmtId="0" fontId="8" fillId="4" borderId="14" xfId="0" applyFont="1" applyFill="1" applyBorder="1" applyAlignment="1">
      <alignment horizontal="left" vertical="center"/>
    </xf>
    <xf numFmtId="0" fontId="8" fillId="4" borderId="1" xfId="0" applyFont="1" applyFill="1" applyBorder="1" applyAlignment="1">
      <alignment horizontal="left" vertical="center"/>
    </xf>
    <xf numFmtId="0" fontId="6" fillId="0" borderId="24"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7" xfId="0" applyFont="1" applyBorder="1" applyAlignment="1">
      <alignment horizontal="center" vertical="center" wrapText="1"/>
    </xf>
    <xf numFmtId="0" fontId="6" fillId="0" borderId="21" xfId="0" applyFont="1" applyBorder="1" applyAlignment="1">
      <alignment horizontal="center" vertical="center" wrapText="1"/>
    </xf>
    <xf numFmtId="0" fontId="8" fillId="4" borderId="13" xfId="0" applyFont="1" applyFill="1" applyBorder="1" applyAlignment="1">
      <alignment horizontal="left" vertical="center"/>
    </xf>
    <xf numFmtId="0" fontId="8" fillId="4" borderId="10" xfId="0" applyFont="1" applyFill="1" applyBorder="1" applyAlignment="1">
      <alignment horizontal="left" vertical="center"/>
    </xf>
    <xf numFmtId="0" fontId="8" fillId="4" borderId="17" xfId="0" applyFont="1" applyFill="1" applyBorder="1" applyAlignment="1">
      <alignment horizontal="left" vertical="center"/>
    </xf>
    <xf numFmtId="0" fontId="8" fillId="4" borderId="2" xfId="0" applyFont="1" applyFill="1" applyBorder="1" applyAlignment="1">
      <alignment horizontal="left" vertical="center"/>
    </xf>
    <xf numFmtId="0" fontId="5" fillId="0" borderId="18" xfId="0" applyFont="1" applyBorder="1" applyAlignment="1">
      <alignment horizontal="center" vertical="center"/>
    </xf>
    <xf numFmtId="0" fontId="5" fillId="0" borderId="14" xfId="0" applyFont="1" applyBorder="1" applyAlignment="1">
      <alignment horizontal="center" vertical="center"/>
    </xf>
    <xf numFmtId="0" fontId="5" fillId="4" borderId="15" xfId="0" applyFont="1" applyFill="1" applyBorder="1" applyAlignment="1">
      <alignment horizontal="right" vertical="center"/>
    </xf>
    <xf numFmtId="0" fontId="5" fillId="4" borderId="16" xfId="0" applyFont="1" applyFill="1" applyBorder="1" applyAlignment="1">
      <alignment horizontal="right" vertical="center"/>
    </xf>
    <xf numFmtId="0" fontId="5" fillId="4" borderId="11" xfId="0" applyFont="1" applyFill="1" applyBorder="1" applyAlignment="1">
      <alignment horizontal="right" vertical="center"/>
    </xf>
    <xf numFmtId="0" fontId="5" fillId="7" borderId="15" xfId="0" applyFont="1" applyFill="1" applyBorder="1" applyAlignment="1">
      <alignment horizontal="right" vertical="center"/>
    </xf>
    <xf numFmtId="0" fontId="5" fillId="7" borderId="16" xfId="0" applyFont="1" applyFill="1" applyBorder="1" applyAlignment="1">
      <alignment horizontal="right" vertical="center"/>
    </xf>
    <xf numFmtId="0" fontId="5" fillId="7" borderId="11" xfId="0" applyFont="1" applyFill="1" applyBorder="1" applyAlignment="1">
      <alignment horizontal="right" vertical="center"/>
    </xf>
    <xf numFmtId="0" fontId="6" fillId="10" borderId="15" xfId="0" applyFont="1" applyFill="1" applyBorder="1" applyAlignment="1">
      <alignment horizontal="right" vertical="center"/>
    </xf>
    <xf numFmtId="0" fontId="6" fillId="10" borderId="16" xfId="0" applyFont="1" applyFill="1" applyBorder="1" applyAlignment="1">
      <alignment horizontal="right" vertical="center"/>
    </xf>
    <xf numFmtId="0" fontId="6" fillId="10" borderId="11" xfId="0" applyFont="1" applyFill="1" applyBorder="1" applyAlignment="1">
      <alignment horizontal="right" vertical="center"/>
    </xf>
    <xf numFmtId="0" fontId="5" fillId="4" borderId="0" xfId="0" applyFont="1" applyFill="1" applyAlignment="1">
      <alignment horizontal="right" vertical="center"/>
    </xf>
    <xf numFmtId="0" fontId="6" fillId="0" borderId="1" xfId="0" applyFont="1" applyBorder="1" applyAlignment="1">
      <alignment horizontal="center" vertical="center" wrapText="1"/>
    </xf>
    <xf numFmtId="0" fontId="17" fillId="19" borderId="25" xfId="0" applyFont="1" applyFill="1" applyBorder="1" applyAlignment="1">
      <alignment horizontal="center"/>
    </xf>
    <xf numFmtId="0" fontId="17" fillId="19" borderId="32" xfId="0" applyFont="1" applyFill="1" applyBorder="1" applyAlignment="1">
      <alignment horizontal="center"/>
    </xf>
    <xf numFmtId="0" fontId="17" fillId="19" borderId="26" xfId="0" applyFont="1" applyFill="1" applyBorder="1" applyAlignment="1">
      <alignment horizontal="center"/>
    </xf>
    <xf numFmtId="0" fontId="5" fillId="18" borderId="15" xfId="0" applyFont="1" applyFill="1" applyBorder="1" applyAlignment="1">
      <alignment horizontal="center" vertical="center"/>
    </xf>
    <xf numFmtId="0" fontId="5" fillId="18" borderId="16" xfId="0" applyFont="1" applyFill="1" applyBorder="1" applyAlignment="1">
      <alignment horizontal="center" vertical="center"/>
    </xf>
    <xf numFmtId="0" fontId="5" fillId="18" borderId="11" xfId="0" applyFont="1" applyFill="1" applyBorder="1" applyAlignment="1">
      <alignment horizontal="center" vertical="center"/>
    </xf>
    <xf numFmtId="0" fontId="5" fillId="8" borderId="1" xfId="0" applyFont="1" applyFill="1" applyBorder="1" applyAlignment="1">
      <alignment horizontal="center" vertical="center"/>
    </xf>
    <xf numFmtId="0" fontId="5" fillId="18" borderId="1" xfId="0" applyFont="1" applyFill="1" applyBorder="1" applyAlignment="1">
      <alignment horizontal="center" vertical="center"/>
    </xf>
    <xf numFmtId="0" fontId="5" fillId="18" borderId="1" xfId="0" applyFont="1" applyFill="1" applyBorder="1" applyAlignment="1">
      <alignment horizontal="center" vertical="center" wrapText="1"/>
    </xf>
  </cellXfs>
  <cellStyles count="4">
    <cellStyle name="Comma" xfId="1" builtinId="3"/>
    <cellStyle name="Hyperlink" xfId="2" builtinId="8"/>
    <cellStyle name="Normal" xfId="0" builtinId="0"/>
    <cellStyle name="Percent" xfId="3" builtinId="5"/>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161364</xdr:colOff>
      <xdr:row>0</xdr:row>
      <xdr:rowOff>17931</xdr:rowOff>
    </xdr:from>
    <xdr:to>
      <xdr:col>4</xdr:col>
      <xdr:colOff>1102658</xdr:colOff>
      <xdr:row>0</xdr:row>
      <xdr:rowOff>612165</xdr:rowOff>
    </xdr:to>
    <xdr:pic>
      <xdr:nvPicPr>
        <xdr:cNvPr id="4" name="Picture 3">
          <a:extLst>
            <a:ext uri="{FF2B5EF4-FFF2-40B4-BE49-F238E27FC236}">
              <a16:creationId xmlns:a16="http://schemas.microsoft.com/office/drawing/2014/main" id="{89E024E8-72C7-45A8-8380-D58C2D25AE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3764" y="17931"/>
          <a:ext cx="2465294" cy="5942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161364</xdr:colOff>
      <xdr:row>0</xdr:row>
      <xdr:rowOff>17931</xdr:rowOff>
    </xdr:from>
    <xdr:to>
      <xdr:col>4</xdr:col>
      <xdr:colOff>221128</xdr:colOff>
      <xdr:row>0</xdr:row>
      <xdr:rowOff>612165</xdr:rowOff>
    </xdr:to>
    <xdr:pic>
      <xdr:nvPicPr>
        <xdr:cNvPr id="2" name="Picture 1">
          <a:extLst>
            <a:ext uri="{FF2B5EF4-FFF2-40B4-BE49-F238E27FC236}">
              <a16:creationId xmlns:a16="http://schemas.microsoft.com/office/drawing/2014/main" id="{202F7DF1-B583-4F9F-AFA1-9DAFB59602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3764" y="17931"/>
          <a:ext cx="2497044" cy="5942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42EFD-D1AB-4C51-8B06-7B018F33115B}">
  <sheetPr>
    <tabColor theme="8" tint="0.79998168889431442"/>
    <pageSetUpPr fitToPage="1"/>
  </sheetPr>
  <dimension ref="B1:N33"/>
  <sheetViews>
    <sheetView tabSelected="1" zoomScale="86" zoomScaleNormal="85" zoomScaleSheetLayoutView="100" zoomScalePageLayoutView="41" workbookViewId="0">
      <selection activeCell="K22" sqref="K22"/>
    </sheetView>
  </sheetViews>
  <sheetFormatPr defaultColWidth="8.90625" defaultRowHeight="12.5" x14ac:dyDescent="0.35"/>
  <cols>
    <col min="1" max="1" width="2.1796875" style="33" customWidth="1"/>
    <col min="2" max="2" width="5.90625" style="33" customWidth="1"/>
    <col min="3" max="3" width="12.453125" style="33" customWidth="1"/>
    <col min="4" max="4" width="3.90625" style="34" customWidth="1"/>
    <col min="5" max="5" width="22.6328125" style="33" customWidth="1"/>
    <col min="6" max="6" width="13" style="33" customWidth="1"/>
    <col min="7" max="7" width="10.1796875" style="33" customWidth="1"/>
    <col min="8" max="8" width="9.54296875" style="33" customWidth="1"/>
    <col min="9" max="9" width="26.453125" style="33" customWidth="1"/>
    <col min="10" max="10" width="16.1796875" style="33" bestFit="1" customWidth="1"/>
    <col min="11" max="12" width="10.453125" style="33" bestFit="1" customWidth="1"/>
    <col min="13" max="13" width="8.90625" style="33"/>
    <col min="14" max="14" width="10.54296875" style="33" bestFit="1" customWidth="1"/>
    <col min="15" max="16384" width="8.90625" style="33"/>
  </cols>
  <sheetData>
    <row r="1" spans="2:9" ht="49.75" customHeight="1" x14ac:dyDescent="0.35">
      <c r="B1" s="152"/>
      <c r="C1" s="152"/>
      <c r="D1" s="152"/>
      <c r="E1" s="152"/>
      <c r="F1" s="152"/>
      <c r="G1" s="152"/>
      <c r="H1" s="153" t="s">
        <v>36</v>
      </c>
      <c r="I1" s="153"/>
    </row>
    <row r="2" spans="2:9" ht="34.25" customHeight="1" x14ac:dyDescent="0.35">
      <c r="B2" s="150" t="s">
        <v>87</v>
      </c>
      <c r="C2" s="150"/>
      <c r="D2" s="150"/>
      <c r="E2" s="150"/>
      <c r="F2" s="150"/>
      <c r="G2" s="150"/>
      <c r="H2" s="150"/>
      <c r="I2" s="150"/>
    </row>
    <row r="3" spans="2:9" ht="19.75" customHeight="1" x14ac:dyDescent="0.35">
      <c r="B3" s="154" t="s">
        <v>46</v>
      </c>
      <c r="C3" s="154"/>
      <c r="D3" s="155" t="s">
        <v>47</v>
      </c>
      <c r="E3" s="155"/>
      <c r="F3" s="156" t="s">
        <v>37</v>
      </c>
      <c r="G3" s="156"/>
      <c r="H3" s="156" t="s">
        <v>38</v>
      </c>
      <c r="I3" s="156"/>
    </row>
    <row r="4" spans="2:9" ht="19.75" customHeight="1" x14ac:dyDescent="0.35">
      <c r="B4" s="154" t="s">
        <v>48</v>
      </c>
      <c r="C4" s="154"/>
      <c r="D4" s="155" t="s">
        <v>49</v>
      </c>
      <c r="E4" s="155"/>
      <c r="F4" s="152" t="s">
        <v>122</v>
      </c>
      <c r="G4" s="152"/>
      <c r="H4" s="157"/>
      <c r="I4" s="158"/>
    </row>
    <row r="5" spans="2:9" ht="19.75" customHeight="1" x14ac:dyDescent="0.35">
      <c r="B5" s="154" t="s">
        <v>67</v>
      </c>
      <c r="C5" s="154"/>
      <c r="D5" s="155" t="s">
        <v>182</v>
      </c>
      <c r="E5" s="155"/>
      <c r="F5" s="152"/>
      <c r="G5" s="152"/>
      <c r="H5" s="159"/>
      <c r="I5" s="160"/>
    </row>
    <row r="6" spans="2:9" ht="19.75" customHeight="1" x14ac:dyDescent="0.35">
      <c r="B6" s="154" t="s">
        <v>51</v>
      </c>
      <c r="C6" s="154"/>
      <c r="D6" s="155"/>
      <c r="E6" s="155"/>
      <c r="F6" s="163" t="s">
        <v>50</v>
      </c>
      <c r="G6" s="163"/>
      <c r="H6" s="163"/>
      <c r="I6" s="163"/>
    </row>
    <row r="7" spans="2:9" ht="19.75" customHeight="1" x14ac:dyDescent="0.35">
      <c r="B7" s="154" t="s">
        <v>52</v>
      </c>
      <c r="C7" s="154"/>
      <c r="D7" s="164"/>
      <c r="E7" s="155"/>
      <c r="F7" s="163"/>
      <c r="G7" s="163"/>
      <c r="H7" s="163"/>
      <c r="I7" s="163"/>
    </row>
    <row r="8" spans="2:9" ht="6.65" customHeight="1" x14ac:dyDescent="0.35">
      <c r="B8" s="152"/>
      <c r="C8" s="152"/>
      <c r="D8" s="152"/>
      <c r="E8" s="152"/>
      <c r="F8" s="152"/>
      <c r="G8" s="152"/>
      <c r="H8" s="152"/>
      <c r="I8" s="152"/>
    </row>
    <row r="9" spans="2:9" ht="19.75" customHeight="1" x14ac:dyDescent="0.35">
      <c r="B9" s="165" t="s">
        <v>39</v>
      </c>
      <c r="C9" s="165"/>
      <c r="D9" s="165"/>
      <c r="E9" s="165"/>
      <c r="F9" s="165"/>
      <c r="G9" s="165"/>
      <c r="H9" s="165"/>
      <c r="I9" s="165"/>
    </row>
    <row r="10" spans="2:9" ht="19.75" customHeight="1" x14ac:dyDescent="0.35">
      <c r="B10" s="154" t="s">
        <v>68</v>
      </c>
      <c r="C10" s="154"/>
      <c r="D10" s="155"/>
      <c r="E10" s="155"/>
      <c r="F10" s="155"/>
      <c r="G10" s="155"/>
      <c r="H10" s="155"/>
      <c r="I10" s="155"/>
    </row>
    <row r="11" spans="2:9" ht="19.75" customHeight="1" x14ac:dyDescent="0.35">
      <c r="B11" s="154" t="s">
        <v>55</v>
      </c>
      <c r="C11" s="154"/>
      <c r="D11" s="155"/>
      <c r="E11" s="155"/>
      <c r="F11" s="155"/>
      <c r="G11" s="155"/>
      <c r="H11" s="155"/>
      <c r="I11" s="155"/>
    </row>
    <row r="12" spans="2:9" ht="19.75" customHeight="1" x14ac:dyDescent="0.35">
      <c r="B12" s="154" t="s">
        <v>67</v>
      </c>
      <c r="C12" s="154"/>
      <c r="D12" s="155"/>
      <c r="E12" s="155"/>
      <c r="F12" s="161" t="s">
        <v>51</v>
      </c>
      <c r="G12" s="161"/>
      <c r="H12" s="162"/>
      <c r="I12" s="155"/>
    </row>
    <row r="13" spans="2:9" ht="19.75" customHeight="1" x14ac:dyDescent="0.35">
      <c r="B13" s="154" t="s">
        <v>52</v>
      </c>
      <c r="C13" s="154"/>
      <c r="D13" s="166"/>
      <c r="E13" s="155"/>
      <c r="F13" s="155"/>
      <c r="G13" s="155"/>
      <c r="H13" s="155"/>
      <c r="I13" s="155"/>
    </row>
    <row r="14" spans="2:9" ht="6.65" customHeight="1" x14ac:dyDescent="0.35">
      <c r="B14" s="152"/>
      <c r="C14" s="152"/>
      <c r="D14" s="152"/>
      <c r="E14" s="152"/>
      <c r="F14" s="152"/>
      <c r="G14" s="152"/>
      <c r="H14" s="152"/>
      <c r="I14" s="152"/>
    </row>
    <row r="15" spans="2:9" ht="19.25" customHeight="1" x14ac:dyDescent="0.35">
      <c r="B15" s="167" t="s">
        <v>40</v>
      </c>
      <c r="C15" s="167"/>
      <c r="D15" s="167"/>
      <c r="E15" s="167"/>
      <c r="F15" s="167"/>
      <c r="G15" s="167"/>
      <c r="H15" s="167"/>
      <c r="I15" s="167"/>
    </row>
    <row r="16" spans="2:9" ht="40.25" customHeight="1" x14ac:dyDescent="0.35">
      <c r="B16" s="168" t="s">
        <v>183</v>
      </c>
      <c r="C16" s="168"/>
      <c r="D16" s="168"/>
      <c r="E16" s="168"/>
      <c r="F16" s="168"/>
      <c r="G16" s="168"/>
      <c r="H16" s="168"/>
      <c r="I16" s="168"/>
    </row>
    <row r="17" spans="2:14" s="34" customFormat="1" ht="19.25" customHeight="1" x14ac:dyDescent="0.35">
      <c r="B17" s="20" t="s">
        <v>41</v>
      </c>
      <c r="C17" s="169" t="s">
        <v>81</v>
      </c>
      <c r="D17" s="170"/>
      <c r="E17" s="169" t="s">
        <v>86</v>
      </c>
      <c r="F17" s="170"/>
      <c r="G17" s="171" t="s">
        <v>17</v>
      </c>
      <c r="H17" s="171"/>
      <c r="I17" s="20" t="s">
        <v>43</v>
      </c>
    </row>
    <row r="18" spans="2:14" s="34" customFormat="1" ht="106" customHeight="1" x14ac:dyDescent="0.35">
      <c r="B18" s="65">
        <v>1</v>
      </c>
      <c r="C18" s="172" t="s">
        <v>213</v>
      </c>
      <c r="D18" s="173"/>
      <c r="E18" s="150" t="s">
        <v>209</v>
      </c>
      <c r="F18" s="150"/>
      <c r="G18" s="151" t="s">
        <v>70</v>
      </c>
      <c r="H18" s="151"/>
      <c r="I18" s="64">
        <f ca="1">'Quotation BOQ1'!I30</f>
        <v>7531923</v>
      </c>
      <c r="J18" s="149">
        <f ca="1">I18/$K$22</f>
        <v>0.63045890963812612</v>
      </c>
      <c r="K18" s="66"/>
      <c r="L18" s="66"/>
    </row>
    <row r="19" spans="2:14" s="34" customFormat="1" ht="33.5" customHeight="1" x14ac:dyDescent="0.35">
      <c r="B19" s="129">
        <v>2</v>
      </c>
      <c r="C19" s="174"/>
      <c r="D19" s="175"/>
      <c r="E19" s="150" t="s">
        <v>32</v>
      </c>
      <c r="F19" s="150"/>
      <c r="G19" s="151" t="s">
        <v>70</v>
      </c>
      <c r="H19" s="151"/>
      <c r="I19" s="64">
        <f ca="1">ROUNDUP('Commercials (C) '!L13,0)</f>
        <v>376593</v>
      </c>
      <c r="J19" s="149">
        <f ca="1">I19/$K$22</f>
        <v>3.1522681811451181E-2</v>
      </c>
      <c r="K19" s="66"/>
    </row>
    <row r="20" spans="2:14" s="34" customFormat="1" ht="33.5" customHeight="1" x14ac:dyDescent="0.35">
      <c r="B20" s="129"/>
      <c r="C20" s="147"/>
      <c r="D20" s="148"/>
      <c r="E20" s="150" t="s">
        <v>204</v>
      </c>
      <c r="F20" s="150"/>
      <c r="G20" s="151" t="s">
        <v>70</v>
      </c>
      <c r="H20" s="151"/>
      <c r="I20" s="64">
        <v>1532500</v>
      </c>
      <c r="J20" s="149">
        <f ca="1">I20/$K$22</f>
        <v>0.12827776903991561</v>
      </c>
      <c r="K20" s="66"/>
    </row>
    <row r="21" spans="2:14" s="34" customFormat="1" ht="40.5" customHeight="1" x14ac:dyDescent="0.35">
      <c r="B21" s="129">
        <v>3</v>
      </c>
      <c r="C21" s="172" t="s">
        <v>118</v>
      </c>
      <c r="D21" s="173"/>
      <c r="E21" s="150" t="s">
        <v>211</v>
      </c>
      <c r="F21" s="150"/>
      <c r="G21" s="151" t="s">
        <v>70</v>
      </c>
      <c r="H21" s="151"/>
      <c r="I21" s="64">
        <f>ROUNDUP('Commercials (C) '!L23+'Commercials (C) '!L24,0)</f>
        <v>2205715</v>
      </c>
      <c r="J21" s="149">
        <f ca="1">I21/$K$22</f>
        <v>0.18462916759404727</v>
      </c>
      <c r="K21" s="66"/>
    </row>
    <row r="22" spans="2:14" s="34" customFormat="1" ht="33.5" customHeight="1" x14ac:dyDescent="0.35">
      <c r="B22" s="129">
        <v>4</v>
      </c>
      <c r="C22" s="176"/>
      <c r="D22" s="177"/>
      <c r="E22" s="150" t="s">
        <v>172</v>
      </c>
      <c r="F22" s="150"/>
      <c r="G22" s="151" t="s">
        <v>70</v>
      </c>
      <c r="H22" s="151"/>
      <c r="I22" s="64">
        <f>ROUNDUP('Commercials (C) '!K25,0)</f>
        <v>300000</v>
      </c>
      <c r="J22" s="149">
        <f ca="1">I22/$K$22</f>
        <v>2.5111471916459824E-2</v>
      </c>
      <c r="K22" s="34">
        <f ca="1">SUM(I18:I22)</f>
        <v>11946731</v>
      </c>
    </row>
    <row r="23" spans="2:14" s="34" customFormat="1" ht="33.5" customHeight="1" x14ac:dyDescent="0.35">
      <c r="B23" s="65">
        <v>5</v>
      </c>
      <c r="C23" s="172" t="s">
        <v>119</v>
      </c>
      <c r="D23" s="173"/>
      <c r="E23" s="150" t="s">
        <v>120</v>
      </c>
      <c r="F23" s="150"/>
      <c r="G23" s="151" t="s">
        <v>185</v>
      </c>
      <c r="H23" s="151"/>
      <c r="I23" s="64">
        <f>ROUNDUP('Commercials (C) '!K34/12,0)</f>
        <v>293572</v>
      </c>
      <c r="J23" s="66"/>
      <c r="K23" s="66"/>
      <c r="N23" s="66"/>
    </row>
    <row r="24" spans="2:14" s="34" customFormat="1" ht="19.25" customHeight="1" x14ac:dyDescent="0.35">
      <c r="B24" s="183"/>
      <c r="C24" s="184"/>
      <c r="D24" s="184"/>
      <c r="E24" s="184"/>
      <c r="F24" s="184"/>
      <c r="G24" s="184"/>
      <c r="H24" s="184"/>
      <c r="I24" s="185"/>
      <c r="J24" s="66"/>
      <c r="L24" s="66"/>
      <c r="N24" s="66"/>
    </row>
    <row r="25" spans="2:14" ht="6.65" customHeight="1" x14ac:dyDescent="0.35">
      <c r="B25" s="186"/>
      <c r="C25" s="187"/>
      <c r="D25" s="187"/>
      <c r="E25" s="187"/>
      <c r="F25" s="187"/>
      <c r="G25" s="187"/>
      <c r="H25" s="187"/>
      <c r="I25" s="188"/>
    </row>
    <row r="26" spans="2:14" ht="19.25" customHeight="1" x14ac:dyDescent="0.35">
      <c r="B26" s="179" t="s">
        <v>174</v>
      </c>
      <c r="C26" s="180"/>
      <c r="D26" s="180"/>
      <c r="E26" s="180"/>
      <c r="F26" s="180"/>
      <c r="G26" s="180"/>
      <c r="H26" s="180"/>
      <c r="I26" s="181"/>
    </row>
    <row r="27" spans="2:14" ht="6.65" customHeight="1" x14ac:dyDescent="0.35">
      <c r="B27" s="186"/>
      <c r="C27" s="187"/>
      <c r="D27" s="187"/>
      <c r="E27" s="187"/>
      <c r="F27" s="187"/>
      <c r="G27" s="187"/>
      <c r="H27" s="187"/>
      <c r="I27" s="188"/>
    </row>
    <row r="28" spans="2:14" ht="19.25" customHeight="1" x14ac:dyDescent="0.35">
      <c r="B28" s="179" t="s">
        <v>42</v>
      </c>
      <c r="C28" s="180"/>
      <c r="D28" s="180"/>
      <c r="E28" s="180"/>
      <c r="F28" s="180"/>
      <c r="G28" s="180"/>
      <c r="H28" s="180"/>
      <c r="I28" s="181"/>
    </row>
    <row r="29" spans="2:14" ht="396.5" customHeight="1" x14ac:dyDescent="0.35">
      <c r="B29" s="182" t="s">
        <v>210</v>
      </c>
      <c r="C29" s="182"/>
      <c r="D29" s="155"/>
      <c r="E29" s="155"/>
      <c r="F29" s="155"/>
      <c r="G29" s="155"/>
      <c r="H29" s="155"/>
      <c r="I29" s="155"/>
    </row>
    <row r="30" spans="2:14" ht="6.5" customHeight="1" x14ac:dyDescent="0.35">
      <c r="B30" s="186"/>
      <c r="C30" s="187"/>
      <c r="D30" s="187"/>
      <c r="E30" s="187"/>
      <c r="F30" s="187"/>
      <c r="G30" s="187"/>
      <c r="H30" s="187"/>
      <c r="I30" s="188"/>
    </row>
    <row r="31" spans="2:14" ht="19.25" customHeight="1" x14ac:dyDescent="0.35">
      <c r="B31" s="179" t="s">
        <v>173</v>
      </c>
      <c r="C31" s="180"/>
      <c r="D31" s="180"/>
      <c r="E31" s="180"/>
      <c r="F31" s="180"/>
      <c r="G31" s="180"/>
      <c r="H31" s="180"/>
      <c r="I31" s="181"/>
    </row>
    <row r="32" spans="2:14" ht="209" customHeight="1" x14ac:dyDescent="0.35">
      <c r="B32" s="182" t="s">
        <v>212</v>
      </c>
      <c r="C32" s="182"/>
      <c r="D32" s="155"/>
      <c r="E32" s="155"/>
      <c r="F32" s="155"/>
      <c r="G32" s="155"/>
      <c r="H32" s="155"/>
      <c r="I32" s="155"/>
    </row>
    <row r="33" spans="2:9" ht="25.25" customHeight="1" x14ac:dyDescent="0.35">
      <c r="B33" s="178" t="s">
        <v>69</v>
      </c>
      <c r="C33" s="178"/>
      <c r="D33" s="178"/>
      <c r="E33" s="178"/>
      <c r="F33" s="178"/>
      <c r="G33" s="178"/>
      <c r="H33" s="178"/>
      <c r="I33" s="178"/>
    </row>
  </sheetData>
  <mergeCells count="61">
    <mergeCell ref="B33:I33"/>
    <mergeCell ref="B28:I28"/>
    <mergeCell ref="B29:I29"/>
    <mergeCell ref="B24:I24"/>
    <mergeCell ref="B30:I30"/>
    <mergeCell ref="B31:I31"/>
    <mergeCell ref="B32:I32"/>
    <mergeCell ref="B25:I25"/>
    <mergeCell ref="B26:I26"/>
    <mergeCell ref="B27:I27"/>
    <mergeCell ref="C17:D17"/>
    <mergeCell ref="E17:F17"/>
    <mergeCell ref="G17:H17"/>
    <mergeCell ref="E23:F23"/>
    <mergeCell ref="G23:H23"/>
    <mergeCell ref="E21:F21"/>
    <mergeCell ref="G21:H21"/>
    <mergeCell ref="E18:F18"/>
    <mergeCell ref="G18:H18"/>
    <mergeCell ref="C18:D19"/>
    <mergeCell ref="E19:F19"/>
    <mergeCell ref="G19:H19"/>
    <mergeCell ref="C23:D23"/>
    <mergeCell ref="E22:F22"/>
    <mergeCell ref="G22:H22"/>
    <mergeCell ref="C21:D22"/>
    <mergeCell ref="B13:C13"/>
    <mergeCell ref="D13:I13"/>
    <mergeCell ref="B14:I14"/>
    <mergeCell ref="B15:I15"/>
    <mergeCell ref="B16:I16"/>
    <mergeCell ref="D12:E12"/>
    <mergeCell ref="F12:G12"/>
    <mergeCell ref="H12:I12"/>
    <mergeCell ref="B6:C6"/>
    <mergeCell ref="D6:E6"/>
    <mergeCell ref="F6:I7"/>
    <mergeCell ref="B7:C7"/>
    <mergeCell ref="D7:E7"/>
    <mergeCell ref="B8:I8"/>
    <mergeCell ref="B9:I9"/>
    <mergeCell ref="B10:C10"/>
    <mergeCell ref="D10:I10"/>
    <mergeCell ref="B11:C11"/>
    <mergeCell ref="D11:I11"/>
    <mergeCell ref="E20:F20"/>
    <mergeCell ref="G20:H20"/>
    <mergeCell ref="B1:G1"/>
    <mergeCell ref="H1:I1"/>
    <mergeCell ref="B2:I2"/>
    <mergeCell ref="B3:C3"/>
    <mergeCell ref="D3:E3"/>
    <mergeCell ref="F3:G3"/>
    <mergeCell ref="H3:I3"/>
    <mergeCell ref="B4:C4"/>
    <mergeCell ref="D4:E4"/>
    <mergeCell ref="F4:G5"/>
    <mergeCell ref="H4:I5"/>
    <mergeCell ref="B5:C5"/>
    <mergeCell ref="D5:E5"/>
    <mergeCell ref="B12:C12"/>
  </mergeCells>
  <pageMargins left="0.25" right="0.25" top="0.32" bottom="0.15" header="0.3" footer="0.14000000000000001"/>
  <pageSetup paperSize="9" scale="93" fitToHeight="0" orientation="portrait" r:id="rId1"/>
  <rowBreaks count="1" manualBreakCount="1">
    <brk id="2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1E775-BFC0-4FF2-AB72-DC02B57E704E}">
  <dimension ref="B2:C9"/>
  <sheetViews>
    <sheetView topLeftCell="A7" zoomScale="190" zoomScaleNormal="190" workbookViewId="0">
      <selection activeCell="D11" sqref="D11"/>
    </sheetView>
  </sheetViews>
  <sheetFormatPr defaultRowHeight="14.5" x14ac:dyDescent="0.35"/>
  <sheetData>
    <row r="2" spans="2:3" x14ac:dyDescent="0.35">
      <c r="B2" t="s">
        <v>121</v>
      </c>
    </row>
    <row r="3" spans="2:3" x14ac:dyDescent="0.35">
      <c r="B3" t="s">
        <v>122</v>
      </c>
    </row>
    <row r="5" spans="2:3" x14ac:dyDescent="0.35">
      <c r="B5" t="s">
        <v>123</v>
      </c>
      <c r="C5" t="s">
        <v>124</v>
      </c>
    </row>
    <row r="6" spans="2:3" x14ac:dyDescent="0.35">
      <c r="B6" t="s">
        <v>125</v>
      </c>
      <c r="C6" t="s">
        <v>126</v>
      </c>
    </row>
    <row r="7" spans="2:3" x14ac:dyDescent="0.35">
      <c r="B7" t="s">
        <v>127</v>
      </c>
      <c r="C7" t="s">
        <v>128</v>
      </c>
    </row>
    <row r="8" spans="2:3" x14ac:dyDescent="0.35">
      <c r="B8" t="s">
        <v>129</v>
      </c>
      <c r="C8" t="s">
        <v>130</v>
      </c>
    </row>
    <row r="9" spans="2:3" x14ac:dyDescent="0.35">
      <c r="B9" t="s">
        <v>131</v>
      </c>
      <c r="C9" t="s">
        <v>132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51CEA-CD20-41DF-A36A-4F9DA9A023C7}">
  <sheetPr>
    <tabColor theme="8" tint="0.79998168889431442"/>
    <pageSetUpPr fitToPage="1"/>
  </sheetPr>
  <dimension ref="B1:N31"/>
  <sheetViews>
    <sheetView topLeftCell="A15" zoomScale="85" zoomScaleNormal="85" zoomScaleSheetLayoutView="100" zoomScalePageLayoutView="41" workbookViewId="0">
      <selection activeCell="G23" sqref="G23:H23"/>
    </sheetView>
  </sheetViews>
  <sheetFormatPr defaultColWidth="8.90625" defaultRowHeight="12.5" x14ac:dyDescent="0.35"/>
  <cols>
    <col min="1" max="1" width="2.1796875" style="33" customWidth="1"/>
    <col min="2" max="2" width="5.90625" style="33" customWidth="1"/>
    <col min="3" max="3" width="25" style="33" customWidth="1"/>
    <col min="4" max="4" width="3.90625" style="34" customWidth="1"/>
    <col min="5" max="5" width="22.6328125" style="33" customWidth="1"/>
    <col min="6" max="6" width="13" style="33" customWidth="1"/>
    <col min="7" max="7" width="10.1796875" style="33" customWidth="1"/>
    <col min="8" max="8" width="9.54296875" style="33" customWidth="1"/>
    <col min="9" max="9" width="26.453125" style="33" customWidth="1"/>
    <col min="10" max="12" width="10.453125" style="33" bestFit="1" customWidth="1"/>
    <col min="13" max="13" width="8.90625" style="33"/>
    <col min="14" max="14" width="10.54296875" style="33" bestFit="1" customWidth="1"/>
    <col min="15" max="16384" width="8.90625" style="33"/>
  </cols>
  <sheetData>
    <row r="1" spans="2:9" ht="49.75" customHeight="1" x14ac:dyDescent="0.35">
      <c r="B1" s="152"/>
      <c r="C1" s="152"/>
      <c r="D1" s="152"/>
      <c r="E1" s="152"/>
      <c r="F1" s="152"/>
      <c r="G1" s="152"/>
      <c r="H1" s="153" t="s">
        <v>36</v>
      </c>
      <c r="I1" s="153"/>
    </row>
    <row r="2" spans="2:9" ht="34.25" customHeight="1" x14ac:dyDescent="0.35">
      <c r="B2" s="150" t="s">
        <v>87</v>
      </c>
      <c r="C2" s="150"/>
      <c r="D2" s="150"/>
      <c r="E2" s="150"/>
      <c r="F2" s="150"/>
      <c r="G2" s="150"/>
      <c r="H2" s="150"/>
      <c r="I2" s="150"/>
    </row>
    <row r="3" spans="2:9" ht="19.75" customHeight="1" x14ac:dyDescent="0.35">
      <c r="B3" s="154" t="s">
        <v>46</v>
      </c>
      <c r="C3" s="154"/>
      <c r="D3" s="155" t="s">
        <v>47</v>
      </c>
      <c r="E3" s="155"/>
      <c r="F3" s="156" t="s">
        <v>37</v>
      </c>
      <c r="G3" s="156"/>
      <c r="H3" s="156" t="s">
        <v>38</v>
      </c>
      <c r="I3" s="156"/>
    </row>
    <row r="4" spans="2:9" ht="19.75" customHeight="1" x14ac:dyDescent="0.35">
      <c r="B4" s="154" t="s">
        <v>48</v>
      </c>
      <c r="C4" s="154"/>
      <c r="D4" s="155" t="s">
        <v>49</v>
      </c>
      <c r="E4" s="155"/>
      <c r="F4" s="152" t="s">
        <v>122</v>
      </c>
      <c r="G4" s="152"/>
      <c r="H4" s="157"/>
      <c r="I4" s="158"/>
    </row>
    <row r="5" spans="2:9" ht="19.75" customHeight="1" x14ac:dyDescent="0.35">
      <c r="B5" s="154" t="s">
        <v>67</v>
      </c>
      <c r="C5" s="154"/>
      <c r="D5" s="155" t="s">
        <v>182</v>
      </c>
      <c r="E5" s="155"/>
      <c r="F5" s="152"/>
      <c r="G5" s="152"/>
      <c r="H5" s="159"/>
      <c r="I5" s="160"/>
    </row>
    <row r="6" spans="2:9" ht="19.75" customHeight="1" x14ac:dyDescent="0.35">
      <c r="B6" s="154" t="s">
        <v>51</v>
      </c>
      <c r="C6" s="154"/>
      <c r="D6" s="155"/>
      <c r="E6" s="155"/>
      <c r="F6" s="163" t="s">
        <v>50</v>
      </c>
      <c r="G6" s="163"/>
      <c r="H6" s="163"/>
      <c r="I6" s="163"/>
    </row>
    <row r="7" spans="2:9" ht="19.75" customHeight="1" x14ac:dyDescent="0.35">
      <c r="B7" s="154" t="s">
        <v>52</v>
      </c>
      <c r="C7" s="154"/>
      <c r="D7" s="164"/>
      <c r="E7" s="155"/>
      <c r="F7" s="163"/>
      <c r="G7" s="163"/>
      <c r="H7" s="163"/>
      <c r="I7" s="163"/>
    </row>
    <row r="8" spans="2:9" ht="6.65" customHeight="1" x14ac:dyDescent="0.35">
      <c r="B8" s="152"/>
      <c r="C8" s="152"/>
      <c r="D8" s="152"/>
      <c r="E8" s="152"/>
      <c r="F8" s="152"/>
      <c r="G8" s="152"/>
      <c r="H8" s="152"/>
      <c r="I8" s="152"/>
    </row>
    <row r="9" spans="2:9" ht="19.75" customHeight="1" x14ac:dyDescent="0.35">
      <c r="B9" s="165" t="s">
        <v>39</v>
      </c>
      <c r="C9" s="165"/>
      <c r="D9" s="165"/>
      <c r="E9" s="165"/>
      <c r="F9" s="165"/>
      <c r="G9" s="165"/>
      <c r="H9" s="165"/>
      <c r="I9" s="165"/>
    </row>
    <row r="10" spans="2:9" ht="19.75" customHeight="1" x14ac:dyDescent="0.35">
      <c r="B10" s="154" t="s">
        <v>68</v>
      </c>
      <c r="C10" s="154"/>
      <c r="D10" s="155"/>
      <c r="E10" s="155"/>
      <c r="F10" s="155"/>
      <c r="G10" s="155"/>
      <c r="H10" s="155"/>
      <c r="I10" s="155"/>
    </row>
    <row r="11" spans="2:9" ht="19.75" customHeight="1" x14ac:dyDescent="0.35">
      <c r="B11" s="154" t="s">
        <v>55</v>
      </c>
      <c r="C11" s="154"/>
      <c r="D11" s="155"/>
      <c r="E11" s="155"/>
      <c r="F11" s="155"/>
      <c r="G11" s="155"/>
      <c r="H11" s="155"/>
      <c r="I11" s="155"/>
    </row>
    <row r="12" spans="2:9" ht="19.75" customHeight="1" x14ac:dyDescent="0.35">
      <c r="B12" s="154" t="s">
        <v>67</v>
      </c>
      <c r="C12" s="154"/>
      <c r="D12" s="155"/>
      <c r="E12" s="155"/>
      <c r="F12" s="161" t="s">
        <v>51</v>
      </c>
      <c r="G12" s="161"/>
      <c r="H12" s="162"/>
      <c r="I12" s="155"/>
    </row>
    <row r="13" spans="2:9" ht="19.75" customHeight="1" x14ac:dyDescent="0.35">
      <c r="B13" s="154" t="s">
        <v>52</v>
      </c>
      <c r="C13" s="154"/>
      <c r="D13" s="166"/>
      <c r="E13" s="155"/>
      <c r="F13" s="155"/>
      <c r="G13" s="155"/>
      <c r="H13" s="155"/>
      <c r="I13" s="155"/>
    </row>
    <row r="14" spans="2:9" ht="6.65" customHeight="1" x14ac:dyDescent="0.35">
      <c r="B14" s="152"/>
      <c r="C14" s="152"/>
      <c r="D14" s="152"/>
      <c r="E14" s="152"/>
      <c r="F14" s="152"/>
      <c r="G14" s="152"/>
      <c r="H14" s="152"/>
      <c r="I14" s="152"/>
    </row>
    <row r="15" spans="2:9" ht="19.25" customHeight="1" x14ac:dyDescent="0.35">
      <c r="B15" s="167" t="s">
        <v>186</v>
      </c>
      <c r="C15" s="167"/>
      <c r="D15" s="167"/>
      <c r="E15" s="167"/>
      <c r="F15" s="167"/>
      <c r="G15" s="167"/>
      <c r="H15" s="167"/>
      <c r="I15" s="167"/>
    </row>
    <row r="16" spans="2:9" ht="40.25" customHeight="1" x14ac:dyDescent="0.35">
      <c r="B16" s="168" t="s">
        <v>183</v>
      </c>
      <c r="C16" s="168"/>
      <c r="D16" s="168"/>
      <c r="E16" s="168"/>
      <c r="F16" s="168"/>
      <c r="G16" s="168"/>
      <c r="H16" s="168"/>
      <c r="I16" s="168"/>
    </row>
    <row r="17" spans="2:14" s="34" customFormat="1" ht="19.25" customHeight="1" x14ac:dyDescent="0.35">
      <c r="B17" s="20" t="s">
        <v>41</v>
      </c>
      <c r="C17" s="171" t="s">
        <v>0</v>
      </c>
      <c r="D17" s="171"/>
      <c r="E17" s="20" t="s">
        <v>178</v>
      </c>
      <c r="F17" s="138" t="s">
        <v>12</v>
      </c>
      <c r="G17" s="171" t="s">
        <v>27</v>
      </c>
      <c r="H17" s="171"/>
      <c r="I17" s="20" t="s">
        <v>1</v>
      </c>
    </row>
    <row r="18" spans="2:14" s="34" customFormat="1" ht="40.5" customHeight="1" x14ac:dyDescent="0.35">
      <c r="B18" s="65">
        <v>1</v>
      </c>
      <c r="C18" s="189" t="str">
        <f>'Total Hardware'!B3</f>
        <v>RFID Reader</v>
      </c>
      <c r="D18" s="189"/>
      <c r="E18" s="137" t="str">
        <f>'Total Hardware'!C3</f>
        <v>RFENERGIE</v>
      </c>
      <c r="F18" s="139">
        <f>ROUNDUP(VLOOKUP(C18,'Total Hardware'!$B$3:$E$14,3,FALSE)/(1-30%),0)</f>
        <v>38572</v>
      </c>
      <c r="G18" s="151">
        <f ca="1">ROUNDUP(VLOOKUP(C18,'Total Hardware'!$B$3:$E$14,4,FALSE),0)</f>
        <v>28</v>
      </c>
      <c r="H18" s="151"/>
      <c r="I18" s="64">
        <f t="shared" ref="I18:I29" ca="1" si="0">F18*G18</f>
        <v>1080016</v>
      </c>
      <c r="J18" s="66"/>
      <c r="K18" s="66"/>
      <c r="L18" s="66"/>
    </row>
    <row r="19" spans="2:14" s="34" customFormat="1" ht="40.5" customHeight="1" x14ac:dyDescent="0.35">
      <c r="B19" s="65">
        <v>2</v>
      </c>
      <c r="C19" s="189" t="str">
        <f>'Total Hardware'!B4</f>
        <v>Handheld RFID Reader</v>
      </c>
      <c r="D19" s="189"/>
      <c r="E19" s="137" t="str">
        <f>'Total Hardware'!C4</f>
        <v xml:space="preserve">Chainway </v>
      </c>
      <c r="F19" s="139">
        <f>ROUNDUP(VLOOKUP(C19,'Total Hardware'!$B$3:$E$14,3,FALSE)/(1-30%),0)</f>
        <v>94286</v>
      </c>
      <c r="G19" s="151">
        <f ca="1">ROUNDUP(VLOOKUP(C19,'Total Hardware'!$B$3:$E$14,4,FALSE),0)</f>
        <v>1</v>
      </c>
      <c r="H19" s="151"/>
      <c r="I19" s="64">
        <f t="shared" ca="1" si="0"/>
        <v>94286</v>
      </c>
      <c r="J19" s="66"/>
      <c r="K19" s="66"/>
    </row>
    <row r="20" spans="2:14" s="34" customFormat="1" ht="40.5" customHeight="1" x14ac:dyDescent="0.35">
      <c r="B20" s="65">
        <v>3</v>
      </c>
      <c r="C20" s="189" t="str">
        <f>'Total Hardware'!B5</f>
        <v>AT Controller</v>
      </c>
      <c r="D20" s="189"/>
      <c r="E20" s="137" t="str">
        <f>'Total Hardware'!C5</f>
        <v>Reputed</v>
      </c>
      <c r="F20" s="139">
        <f>ROUNDUP(VLOOKUP(C20,'Total Hardware'!$B$3:$E$14,3,FALSE)/(1-30%),0)</f>
        <v>22858</v>
      </c>
      <c r="G20" s="151">
        <f ca="1">ROUNDUP(VLOOKUP(C20,'Total Hardware'!$B$3:$E$14,4,FALSE),0)</f>
        <v>25</v>
      </c>
      <c r="H20" s="151"/>
      <c r="I20" s="64">
        <f t="shared" ca="1" si="0"/>
        <v>571450</v>
      </c>
      <c r="J20" s="66"/>
      <c r="K20" s="66"/>
    </row>
    <row r="21" spans="2:14" s="34" customFormat="1" ht="40.5" customHeight="1" x14ac:dyDescent="0.35">
      <c r="B21" s="65">
        <v>4</v>
      </c>
      <c r="C21" s="189" t="str">
        <f>'Total Hardware'!B6</f>
        <v>ANPR Camera</v>
      </c>
      <c r="D21" s="189"/>
      <c r="E21" s="137" t="str">
        <f>'Total Hardware'!C6</f>
        <v>Hikvision</v>
      </c>
      <c r="F21" s="139">
        <f>ROUNDUP(VLOOKUP(C21,'Total Hardware'!$B$3:$E$14,3,FALSE)/(1-30%),0)</f>
        <v>92858</v>
      </c>
      <c r="G21" s="151">
        <f ca="1">ROUNDUP(VLOOKUP(C21,'Total Hardware'!$B$3:$E$14,4,FALSE),0)</f>
        <v>2</v>
      </c>
      <c r="H21" s="151"/>
      <c r="I21" s="64">
        <f t="shared" ca="1" si="0"/>
        <v>185716</v>
      </c>
      <c r="J21" s="67"/>
      <c r="K21" s="66"/>
    </row>
    <row r="22" spans="2:14" s="34" customFormat="1" ht="40.5" customHeight="1" x14ac:dyDescent="0.35">
      <c r="B22" s="65">
        <v>5</v>
      </c>
      <c r="C22" s="189" t="str">
        <f>'Total Hardware'!B7</f>
        <v>Smart Camera</v>
      </c>
      <c r="D22" s="189"/>
      <c r="E22" s="137" t="str">
        <f>'Total Hardware'!C7</f>
        <v>Hikvision</v>
      </c>
      <c r="F22" s="139">
        <f>ROUNDUP(VLOOKUP(C22,'Total Hardware'!$B$3:$E$14,3,FALSE)/(1-30%),0)</f>
        <v>10000</v>
      </c>
      <c r="G22" s="151">
        <f ca="1">ROUNDUP(VLOOKUP(C22,'Total Hardware'!$B$3:$E$14,4,FALSE),0)</f>
        <v>64</v>
      </c>
      <c r="H22" s="151"/>
      <c r="I22" s="64">
        <f t="shared" ca="1" si="0"/>
        <v>640000</v>
      </c>
      <c r="J22" s="67"/>
      <c r="K22" s="66"/>
    </row>
    <row r="23" spans="2:14" s="34" customFormat="1" ht="40.5" customHeight="1" x14ac:dyDescent="0.35">
      <c r="B23" s="65">
        <v>6</v>
      </c>
      <c r="C23" s="189" t="str">
        <f>'Total Hardware'!B8</f>
        <v>Tablet</v>
      </c>
      <c r="D23" s="189"/>
      <c r="E23" s="137" t="str">
        <f>'Total Hardware'!C8</f>
        <v xml:space="preserve">Chainway </v>
      </c>
      <c r="F23" s="139">
        <f>ROUNDUP(VLOOKUP(C23,'Total Hardware'!$B$3:$E$14,3,FALSE)/(1-30%),0)</f>
        <v>58572</v>
      </c>
      <c r="G23" s="151">
        <f ca="1">ROUNDUP(VLOOKUP(C23,'Total Hardware'!$B$3:$E$14,4,FALSE),0)</f>
        <v>2</v>
      </c>
      <c r="H23" s="151"/>
      <c r="I23" s="64">
        <f t="shared" ca="1" si="0"/>
        <v>117144</v>
      </c>
      <c r="J23" s="66"/>
      <c r="K23" s="66"/>
      <c r="L23" s="66"/>
    </row>
    <row r="24" spans="2:14" s="34" customFormat="1" ht="40.5" customHeight="1" x14ac:dyDescent="0.35">
      <c r="B24" s="65">
        <v>7</v>
      </c>
      <c r="C24" s="189" t="str">
        <f>'Total Hardware'!B9</f>
        <v>PA System (Open Yard)</v>
      </c>
      <c r="D24" s="189"/>
      <c r="E24" s="137" t="str">
        <f>'Total Hardware'!C9</f>
        <v>Ahuja</v>
      </c>
      <c r="F24" s="139">
        <f>ROUNDUP(VLOOKUP(C24,'Total Hardware'!$B$3:$E$14,3,FALSE)/(1-30%),0)</f>
        <v>40000</v>
      </c>
      <c r="G24" s="151">
        <f ca="1">ROUNDUP(VLOOKUP(C24,'Total Hardware'!$B$3:$E$14,4,FALSE),0)</f>
        <v>0</v>
      </c>
      <c r="H24" s="151"/>
      <c r="I24" s="64">
        <f t="shared" ca="1" si="0"/>
        <v>0</v>
      </c>
      <c r="J24" s="66"/>
      <c r="K24" s="66"/>
    </row>
    <row r="25" spans="2:14" s="34" customFormat="1" ht="40.5" customHeight="1" x14ac:dyDescent="0.35">
      <c r="B25" s="65">
        <v>8</v>
      </c>
      <c r="C25" s="189" t="str">
        <f>'Total Hardware'!B10</f>
        <v>Display (2 Line)</v>
      </c>
      <c r="D25" s="189"/>
      <c r="E25" s="137" t="str">
        <f>'Total Hardware'!C10</f>
        <v>Reputed</v>
      </c>
      <c r="F25" s="139">
        <f>ROUNDUP(VLOOKUP(C25,'Total Hardware'!$B$3:$E$14,3,FALSE)/(1-30%),0)</f>
        <v>13143</v>
      </c>
      <c r="G25" s="151">
        <f ca="1">ROUNDUP(VLOOKUP(C25,'Total Hardware'!$B$3:$E$14,4,FALSE),0)</f>
        <v>4</v>
      </c>
      <c r="H25" s="151"/>
      <c r="I25" s="64">
        <f t="shared" ca="1" si="0"/>
        <v>52572</v>
      </c>
      <c r="J25" s="66"/>
      <c r="K25" s="66"/>
    </row>
    <row r="26" spans="2:14" s="34" customFormat="1" ht="40.5" customHeight="1" x14ac:dyDescent="0.35">
      <c r="B26" s="65">
        <v>9</v>
      </c>
      <c r="C26" s="189" t="str">
        <f>'Total Hardware'!B11</f>
        <v>Traffic Light</v>
      </c>
      <c r="D26" s="189"/>
      <c r="E26" s="137" t="str">
        <f>'Total Hardware'!C11</f>
        <v>Reputed</v>
      </c>
      <c r="F26" s="139">
        <f>ROUNDUP(VLOOKUP(C26,'Total Hardware'!$B$3:$E$14,3,FALSE)/(1-30%),0)</f>
        <v>11429</v>
      </c>
      <c r="G26" s="151">
        <f ca="1">ROUNDUP(VLOOKUP(C26,'Total Hardware'!$B$3:$E$14,4,FALSE),0)</f>
        <v>15</v>
      </c>
      <c r="H26" s="151"/>
      <c r="I26" s="64">
        <f t="shared" ca="1" si="0"/>
        <v>171435</v>
      </c>
      <c r="J26" s="67"/>
      <c r="K26" s="66"/>
    </row>
    <row r="27" spans="2:14" s="34" customFormat="1" ht="40.5" customHeight="1" x14ac:dyDescent="0.35">
      <c r="B27" s="65">
        <v>10</v>
      </c>
      <c r="C27" s="189" t="str">
        <f>'Total Hardware'!B12</f>
        <v>Printer Kiosk with Thermal Printer</v>
      </c>
      <c r="D27" s="189"/>
      <c r="E27" s="137" t="str">
        <f>'Total Hardware'!C12</f>
        <v>Reputed</v>
      </c>
      <c r="F27" s="139">
        <f>ROUNDUP(VLOOKUP(C27,'Total Hardware'!$B$3:$E$14,3,FALSE)/(1-30%),0)</f>
        <v>142858</v>
      </c>
      <c r="G27" s="151">
        <f ca="1">ROUNDUP(VLOOKUP(C27,'Total Hardware'!$B$3:$E$14,4,FALSE),0)</f>
        <v>6</v>
      </c>
      <c r="H27" s="151"/>
      <c r="I27" s="64">
        <f t="shared" ca="1" si="0"/>
        <v>857148</v>
      </c>
      <c r="J27" s="67"/>
      <c r="K27" s="66"/>
    </row>
    <row r="28" spans="2:14" s="34" customFormat="1" ht="40.5" customHeight="1" x14ac:dyDescent="0.35">
      <c r="B28" s="65">
        <v>11</v>
      </c>
      <c r="C28" s="189" t="str">
        <f>'Total Hardware'!B13</f>
        <v>Boom Barrier</v>
      </c>
      <c r="D28" s="189"/>
      <c r="E28" s="137" t="str">
        <f>'Total Hardware'!C13</f>
        <v>Reputed</v>
      </c>
      <c r="F28" s="139">
        <f>ROUNDUP(VLOOKUP(C28,'Total Hardware'!$B$3:$E$14,3,FALSE)/(1-30%),0)</f>
        <v>163572</v>
      </c>
      <c r="G28" s="151">
        <f ca="1">ROUNDUP(VLOOKUP(C28,'Total Hardware'!$B$3:$E$14,4,FALSE),0)</f>
        <v>23</v>
      </c>
      <c r="H28" s="151"/>
      <c r="I28" s="64">
        <f t="shared" ca="1" si="0"/>
        <v>3762156</v>
      </c>
      <c r="J28" s="67"/>
      <c r="K28" s="66"/>
    </row>
    <row r="29" spans="2:14" s="34" customFormat="1" ht="40.5" customHeight="1" x14ac:dyDescent="0.35">
      <c r="B29" s="65">
        <v>12</v>
      </c>
      <c r="C29" s="189" t="str">
        <f>'Total Hardware'!B14</f>
        <v>Boom Barrier Accessories</v>
      </c>
      <c r="D29" s="189"/>
      <c r="E29" s="137" t="str">
        <f>'Total Hardware'!C14</f>
        <v>Reputed</v>
      </c>
      <c r="F29" s="139">
        <f>ROUNDUP(VLOOKUP(C29,'Total Hardware'!$B$3:$E$14,3,FALSE)/(1-30%),0)</f>
        <v>80286</v>
      </c>
      <c r="G29" s="151">
        <f ca="1">ROUNDUP(VLOOKUP(C29,'Total Hardware'!$B$3:$E$14,4,FALSE),0)</f>
        <v>0</v>
      </c>
      <c r="H29" s="151"/>
      <c r="I29" s="64">
        <f t="shared" ca="1" si="0"/>
        <v>0</v>
      </c>
      <c r="J29" s="67"/>
      <c r="K29" s="66"/>
    </row>
    <row r="30" spans="2:14" s="34" customFormat="1" ht="19.25" customHeight="1" x14ac:dyDescent="0.35">
      <c r="B30" s="190"/>
      <c r="C30" s="190"/>
      <c r="D30" s="190"/>
      <c r="E30" s="190"/>
      <c r="F30" s="190"/>
      <c r="G30" s="190">
        <f ca="1">SUM(G18:H29)</f>
        <v>170</v>
      </c>
      <c r="H30" s="190"/>
      <c r="I30" s="140">
        <f ca="1">SUM(I18:I29)</f>
        <v>7531923</v>
      </c>
      <c r="J30" s="66"/>
      <c r="L30" s="66"/>
      <c r="N30" s="66"/>
    </row>
    <row r="31" spans="2:14" ht="25.25" customHeight="1" x14ac:dyDescent="0.35">
      <c r="B31" s="178" t="s">
        <v>69</v>
      </c>
      <c r="C31" s="178"/>
      <c r="D31" s="178"/>
      <c r="E31" s="178"/>
      <c r="F31" s="178"/>
      <c r="G31" s="178"/>
      <c r="H31" s="178"/>
      <c r="I31" s="178"/>
    </row>
  </sheetData>
  <mergeCells count="62">
    <mergeCell ref="B1:G1"/>
    <mergeCell ref="H1:I1"/>
    <mergeCell ref="B2:I2"/>
    <mergeCell ref="B3:C3"/>
    <mergeCell ref="D3:E3"/>
    <mergeCell ref="F3:G3"/>
    <mergeCell ref="H3:I3"/>
    <mergeCell ref="B8:I8"/>
    <mergeCell ref="B4:C4"/>
    <mergeCell ref="D4:E4"/>
    <mergeCell ref="F4:G5"/>
    <mergeCell ref="H4:I5"/>
    <mergeCell ref="B5:C5"/>
    <mergeCell ref="D5:E5"/>
    <mergeCell ref="B6:C6"/>
    <mergeCell ref="D6:E6"/>
    <mergeCell ref="F6:I7"/>
    <mergeCell ref="B7:C7"/>
    <mergeCell ref="D7:E7"/>
    <mergeCell ref="C17:D17"/>
    <mergeCell ref="G17:H17"/>
    <mergeCell ref="B9:I9"/>
    <mergeCell ref="B10:C10"/>
    <mergeCell ref="D10:I10"/>
    <mergeCell ref="B11:C11"/>
    <mergeCell ref="D11:I11"/>
    <mergeCell ref="B12:C12"/>
    <mergeCell ref="D12:E12"/>
    <mergeCell ref="F12:G12"/>
    <mergeCell ref="H12:I12"/>
    <mergeCell ref="B13:C13"/>
    <mergeCell ref="D13:I13"/>
    <mergeCell ref="B14:I14"/>
    <mergeCell ref="B15:I15"/>
    <mergeCell ref="B16:I16"/>
    <mergeCell ref="B31:I31"/>
    <mergeCell ref="C23:D23"/>
    <mergeCell ref="G23:H23"/>
    <mergeCell ref="C24:D24"/>
    <mergeCell ref="C29:D29"/>
    <mergeCell ref="G29:H29"/>
    <mergeCell ref="B30:F30"/>
    <mergeCell ref="G30:H30"/>
    <mergeCell ref="G24:H24"/>
    <mergeCell ref="C25:D25"/>
    <mergeCell ref="G25:H25"/>
    <mergeCell ref="C26:D26"/>
    <mergeCell ref="G26:H26"/>
    <mergeCell ref="C28:D28"/>
    <mergeCell ref="G28:H28"/>
    <mergeCell ref="C27:D27"/>
    <mergeCell ref="G27:H27"/>
    <mergeCell ref="C18:D18"/>
    <mergeCell ref="C19:D19"/>
    <mergeCell ref="C20:D20"/>
    <mergeCell ref="C21:D21"/>
    <mergeCell ref="C22:D22"/>
    <mergeCell ref="G21:H21"/>
    <mergeCell ref="G22:H22"/>
    <mergeCell ref="G18:H18"/>
    <mergeCell ref="G19:H19"/>
    <mergeCell ref="G20:H20"/>
  </mergeCells>
  <conditionalFormatting sqref="C18:C29">
    <cfRule type="duplicateValues" dxfId="19" priority="4"/>
  </conditionalFormatting>
  <pageMargins left="0.25" right="0.25" top="0.32" bottom="0.15" header="0.3" footer="0.14000000000000001"/>
  <pageSetup paperSize="9" scale="93"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73D81-F0BB-496F-8C1B-91FDABC1E1EF}">
  <sheetPr>
    <tabColor theme="8" tint="0.79998168889431442"/>
  </sheetPr>
  <dimension ref="A2:H16"/>
  <sheetViews>
    <sheetView zoomScale="85" zoomScaleNormal="85" workbookViewId="0">
      <selection activeCell="F8" sqref="F8:G8"/>
    </sheetView>
  </sheetViews>
  <sheetFormatPr defaultRowHeight="14.5" x14ac:dyDescent="0.35"/>
  <cols>
    <col min="2" max="3" width="25.1796875" customWidth="1"/>
    <col min="4" max="7" width="22.6328125" customWidth="1"/>
    <col min="8" max="8" width="28.81640625" customWidth="1"/>
  </cols>
  <sheetData>
    <row r="2" spans="1:8" ht="62.4" customHeight="1" x14ac:dyDescent="0.35">
      <c r="A2" s="27" t="s">
        <v>24</v>
      </c>
      <c r="B2" s="28" t="s">
        <v>0</v>
      </c>
      <c r="C2" s="28"/>
      <c r="D2" s="28" t="s">
        <v>12</v>
      </c>
      <c r="E2" s="28"/>
      <c r="F2" s="28" t="s">
        <v>179</v>
      </c>
      <c r="G2" s="28"/>
      <c r="H2" s="28" t="s">
        <v>180</v>
      </c>
    </row>
    <row r="3" spans="1:8" ht="15.5" x14ac:dyDescent="0.35">
      <c r="A3" s="4">
        <v>1</v>
      </c>
      <c r="B3" s="193" t="s">
        <v>2</v>
      </c>
      <c r="C3" s="194"/>
      <c r="D3" s="195">
        <f>'Total Hardware'!D3/(1-30%)</f>
        <v>38571.428571428572</v>
      </c>
      <c r="E3" s="196"/>
      <c r="F3" s="191">
        <f ca="1">SUMIF(BOQ!$B$4:$G$54,'Quotation BOQ'!$B3,BOQ!$F$4:$F$54)</f>
        <v>28</v>
      </c>
      <c r="G3" s="192"/>
      <c r="H3" s="25">
        <f t="shared" ref="H3:H12" ca="1" si="0">D3*F3</f>
        <v>1080000</v>
      </c>
    </row>
    <row r="4" spans="1:8" ht="15.5" x14ac:dyDescent="0.35">
      <c r="A4" s="4">
        <v>2</v>
      </c>
      <c r="B4" s="193" t="s">
        <v>71</v>
      </c>
      <c r="C4" s="194"/>
      <c r="D4" s="195">
        <f>'Total Hardware'!D5/(1-30%)</f>
        <v>22857.142857142859</v>
      </c>
      <c r="E4" s="196"/>
      <c r="F4" s="191">
        <f ca="1">SUMIF(BOQ!$B$4:$G$54,'Quotation BOQ'!$B4,BOQ!$F$4:$F$54)</f>
        <v>25</v>
      </c>
      <c r="G4" s="192"/>
      <c r="H4" s="25">
        <f t="shared" ca="1" si="0"/>
        <v>571428.57142857148</v>
      </c>
    </row>
    <row r="5" spans="1:8" ht="15.5" x14ac:dyDescent="0.35">
      <c r="A5" s="4">
        <v>3</v>
      </c>
      <c r="B5" s="193" t="s">
        <v>72</v>
      </c>
      <c r="C5" s="194"/>
      <c r="D5" s="195">
        <f>'Total Hardware'!D6/(1-30%)</f>
        <v>92857.14285714287</v>
      </c>
      <c r="E5" s="196"/>
      <c r="F5" s="191">
        <f ca="1">SUMIF(BOQ!$B$4:$G$54,'Quotation BOQ'!$B5,BOQ!$F$4:$F$54)</f>
        <v>2</v>
      </c>
      <c r="G5" s="192"/>
      <c r="H5" s="25">
        <f t="shared" ca="1" si="0"/>
        <v>185714.28571428574</v>
      </c>
    </row>
    <row r="6" spans="1:8" ht="15.5" x14ac:dyDescent="0.35">
      <c r="A6" s="4">
        <v>4</v>
      </c>
      <c r="B6" s="193" t="s">
        <v>133</v>
      </c>
      <c r="C6" s="194"/>
      <c r="D6" s="195">
        <f>'Total Hardware'!D7/(1-30%)</f>
        <v>10000</v>
      </c>
      <c r="E6" s="196"/>
      <c r="F6" s="191">
        <f ca="1">SUMIF(BOQ!$B$4:$G$54,'Quotation BOQ'!$B6,BOQ!$F$4:$F$54)</f>
        <v>64</v>
      </c>
      <c r="G6" s="192"/>
      <c r="H6" s="25">
        <f t="shared" ca="1" si="0"/>
        <v>640000</v>
      </c>
    </row>
    <row r="7" spans="1:8" ht="15.5" x14ac:dyDescent="0.35">
      <c r="A7" s="4">
        <v>5</v>
      </c>
      <c r="B7" s="193" t="s">
        <v>75</v>
      </c>
      <c r="C7" s="194"/>
      <c r="D7" s="195">
        <f>'Total Hardware'!D8/(1-30%)</f>
        <v>58571.428571428572</v>
      </c>
      <c r="E7" s="196"/>
      <c r="F7" s="191">
        <f ca="1">SUMIF(BOQ!$B$4:$G$54,'Quotation BOQ'!$B7,BOQ!$F$4:$F$54)</f>
        <v>2</v>
      </c>
      <c r="G7" s="192"/>
      <c r="H7" s="25">
        <f t="shared" ca="1" si="0"/>
        <v>117142.85714285714</v>
      </c>
    </row>
    <row r="8" spans="1:8" ht="15.5" x14ac:dyDescent="0.35">
      <c r="A8" s="4">
        <v>6</v>
      </c>
      <c r="B8" s="193" t="s">
        <v>139</v>
      </c>
      <c r="C8" s="194"/>
      <c r="D8" s="195">
        <f>'Total Hardware'!D9/(1-30%)</f>
        <v>40000</v>
      </c>
      <c r="E8" s="196"/>
      <c r="F8" s="191">
        <f ca="1">SUMIF(BOQ!$B$4:$G$54,'Quotation BOQ'!$B8,BOQ!$F$4:$F$54)</f>
        <v>0</v>
      </c>
      <c r="G8" s="192"/>
      <c r="H8" s="25">
        <f t="shared" ca="1" si="0"/>
        <v>0</v>
      </c>
    </row>
    <row r="9" spans="1:8" ht="15.5" x14ac:dyDescent="0.35">
      <c r="A9" s="4">
        <v>7</v>
      </c>
      <c r="B9" s="193" t="s">
        <v>136</v>
      </c>
      <c r="C9" s="194"/>
      <c r="D9" s="195">
        <f>'Total Hardware'!D10/(1-30%)</f>
        <v>13142.857142857143</v>
      </c>
      <c r="E9" s="196"/>
      <c r="F9" s="191">
        <f ca="1">SUMIF(BOQ!$B$4:$G$54,'Quotation BOQ'!$B9,BOQ!$F$4:$F$54)</f>
        <v>4</v>
      </c>
      <c r="G9" s="192"/>
      <c r="H9" s="25">
        <f t="shared" ca="1" si="0"/>
        <v>52571.428571428572</v>
      </c>
    </row>
    <row r="10" spans="1:8" ht="15.5" x14ac:dyDescent="0.35">
      <c r="A10" s="4">
        <v>8</v>
      </c>
      <c r="B10" s="193" t="s">
        <v>135</v>
      </c>
      <c r="C10" s="194"/>
      <c r="D10" s="195">
        <f>'Total Hardware'!D11/(1-30%)</f>
        <v>11428.571428571429</v>
      </c>
      <c r="E10" s="196"/>
      <c r="F10" s="191">
        <f ca="1">SUMIF(BOQ!$B$4:$G$54,'Quotation BOQ'!$B10,BOQ!$F$4:$F$54)</f>
        <v>15</v>
      </c>
      <c r="G10" s="192"/>
      <c r="H10" s="25">
        <f t="shared" ca="1" si="0"/>
        <v>171428.57142857145</v>
      </c>
    </row>
    <row r="11" spans="1:8" ht="15.5" x14ac:dyDescent="0.35">
      <c r="A11" s="4">
        <v>9</v>
      </c>
      <c r="B11" s="193" t="s">
        <v>137</v>
      </c>
      <c r="C11" s="194"/>
      <c r="D11" s="195">
        <f>'Total Hardware'!D12/(1-30%)</f>
        <v>142857.14285714287</v>
      </c>
      <c r="E11" s="196"/>
      <c r="F11" s="191">
        <f ca="1">SUMIF(BOQ!$B$4:$G$54,'Quotation BOQ'!$B11,BOQ!$F$4:$F$54)</f>
        <v>0</v>
      </c>
      <c r="G11" s="192"/>
      <c r="H11" s="25">
        <f t="shared" ca="1" si="0"/>
        <v>0</v>
      </c>
    </row>
    <row r="12" spans="1:8" ht="15.5" x14ac:dyDescent="0.35">
      <c r="A12" s="4">
        <v>10</v>
      </c>
      <c r="B12" s="193" t="s">
        <v>134</v>
      </c>
      <c r="C12" s="194"/>
      <c r="D12" s="195">
        <f>'Total Hardware'!D13/(1-30%)</f>
        <v>163571.42857142858</v>
      </c>
      <c r="E12" s="196"/>
      <c r="F12" s="191">
        <f ca="1">SUMIF(BOQ!$B$4:$G$54,'Quotation BOQ'!$B12,BOQ!$F$4:$F$54)</f>
        <v>23</v>
      </c>
      <c r="G12" s="192"/>
      <c r="H12" s="25">
        <f t="shared" ca="1" si="0"/>
        <v>3762142.8571428573</v>
      </c>
    </row>
    <row r="13" spans="1:8" ht="15.5" x14ac:dyDescent="0.35">
      <c r="A13" s="11"/>
      <c r="B13" s="10" t="s">
        <v>1</v>
      </c>
      <c r="C13" s="10"/>
      <c r="D13" s="109"/>
      <c r="E13" s="109"/>
      <c r="F13" s="108">
        <f ca="1">SUM(F3:F12)</f>
        <v>163</v>
      </c>
      <c r="G13" s="108"/>
      <c r="H13" s="109">
        <f ca="1">SUM(H3:H12)</f>
        <v>6580428.5714285718</v>
      </c>
    </row>
    <row r="14" spans="1:8" x14ac:dyDescent="0.35">
      <c r="H14" s="59"/>
    </row>
    <row r="15" spans="1:8" ht="31" x14ac:dyDescent="0.7">
      <c r="B15" s="12"/>
      <c r="C15" s="12"/>
      <c r="D15" s="12"/>
      <c r="E15" s="12"/>
    </row>
    <row r="16" spans="1:8" ht="31" x14ac:dyDescent="0.7">
      <c r="B16" s="13"/>
      <c r="C16" s="13"/>
      <c r="D16" s="13"/>
      <c r="E16" s="13"/>
    </row>
  </sheetData>
  <mergeCells count="30">
    <mergeCell ref="B3:C3"/>
    <mergeCell ref="B4:C4"/>
    <mergeCell ref="B5:C5"/>
    <mergeCell ref="B6:C6"/>
    <mergeCell ref="B7:C7"/>
    <mergeCell ref="D3:E3"/>
    <mergeCell ref="D4:E4"/>
    <mergeCell ref="D5:E5"/>
    <mergeCell ref="D6:E6"/>
    <mergeCell ref="D7:E7"/>
    <mergeCell ref="F8:G8"/>
    <mergeCell ref="B9:C9"/>
    <mergeCell ref="B10:C10"/>
    <mergeCell ref="B11:C11"/>
    <mergeCell ref="B12:C12"/>
    <mergeCell ref="D8:E8"/>
    <mergeCell ref="B8:C8"/>
    <mergeCell ref="F9:G9"/>
    <mergeCell ref="F10:G10"/>
    <mergeCell ref="F11:G11"/>
    <mergeCell ref="F12:G12"/>
    <mergeCell ref="D9:E9"/>
    <mergeCell ref="D10:E10"/>
    <mergeCell ref="D11:E11"/>
    <mergeCell ref="D12:E12"/>
    <mergeCell ref="F3:G3"/>
    <mergeCell ref="F4:G4"/>
    <mergeCell ref="F5:G5"/>
    <mergeCell ref="F6:G6"/>
    <mergeCell ref="F7:G7"/>
  </mergeCells>
  <conditionalFormatting sqref="B3 D3">
    <cfRule type="duplicateValues" dxfId="18" priority="68"/>
  </conditionalFormatting>
  <conditionalFormatting sqref="B4:B12">
    <cfRule type="duplicateValues" dxfId="17" priority="2"/>
  </conditionalFormatting>
  <conditionalFormatting sqref="D4:D12">
    <cfRule type="duplicateValues" dxfId="16" priority="1"/>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4B852-6987-495A-8490-4389239C447C}">
  <sheetPr>
    <tabColor theme="9" tint="0.39997558519241921"/>
  </sheetPr>
  <dimension ref="B1:Q44"/>
  <sheetViews>
    <sheetView topLeftCell="E12" zoomScale="85" zoomScaleNormal="85" workbookViewId="0">
      <selection activeCell="L23" sqref="L23:L24"/>
    </sheetView>
  </sheetViews>
  <sheetFormatPr defaultRowHeight="14.5" x14ac:dyDescent="0.35"/>
  <cols>
    <col min="1" max="1" width="3.453125" customWidth="1"/>
    <col min="2" max="2" width="21.1796875" customWidth="1"/>
    <col min="3" max="3" width="19.90625" customWidth="1"/>
    <col min="4" max="4" width="38" customWidth="1"/>
    <col min="5" max="5" width="37.36328125" customWidth="1"/>
    <col min="6" max="6" width="26.81640625" customWidth="1"/>
    <col min="7" max="8" width="18.54296875" customWidth="1"/>
    <col min="9" max="9" width="20.36328125" customWidth="1"/>
    <col min="10" max="10" width="17.90625" customWidth="1"/>
    <col min="11" max="11" width="36.6328125" customWidth="1"/>
    <col min="12" max="12" width="24.36328125" customWidth="1"/>
    <col min="13" max="13" width="35.1796875" customWidth="1"/>
    <col min="15" max="15" width="17.36328125" customWidth="1"/>
    <col min="16" max="16" width="10" bestFit="1" customWidth="1"/>
    <col min="17" max="17" width="11.36328125" bestFit="1" customWidth="1"/>
  </cols>
  <sheetData>
    <row r="1" spans="2:13" ht="15" thickBot="1" x14ac:dyDescent="0.4"/>
    <row r="2" spans="2:13" s="56" customFormat="1" ht="18.5" x14ac:dyDescent="0.35">
      <c r="B2" s="203" t="s">
        <v>7</v>
      </c>
      <c r="C2" s="204"/>
      <c r="D2" s="75" t="s">
        <v>167</v>
      </c>
      <c r="F2" s="57"/>
      <c r="G2" s="57"/>
      <c r="H2" s="58"/>
      <c r="I2" s="58"/>
      <c r="J2" s="58"/>
      <c r="K2" s="58"/>
      <c r="L2" s="58"/>
    </row>
    <row r="3" spans="2:13" s="56" customFormat="1" ht="18.5" x14ac:dyDescent="0.35">
      <c r="B3" s="197" t="s">
        <v>8</v>
      </c>
      <c r="C3" s="198"/>
      <c r="D3" s="76">
        <v>45938</v>
      </c>
      <c r="H3" s="58"/>
      <c r="I3" s="58"/>
      <c r="J3" s="58"/>
      <c r="K3" s="58"/>
      <c r="L3" s="58"/>
    </row>
    <row r="4" spans="2:13" s="56" customFormat="1" ht="18.5" x14ac:dyDescent="0.35">
      <c r="B4" s="197" t="s">
        <v>97</v>
      </c>
      <c r="C4" s="198"/>
      <c r="D4" s="77">
        <v>3</v>
      </c>
      <c r="F4"/>
      <c r="G4"/>
      <c r="H4"/>
      <c r="I4"/>
      <c r="J4"/>
      <c r="K4"/>
      <c r="L4"/>
      <c r="M4"/>
    </row>
    <row r="5" spans="2:13" s="56" customFormat="1" ht="18.5" x14ac:dyDescent="0.35">
      <c r="B5" s="197" t="s">
        <v>10</v>
      </c>
      <c r="C5" s="198"/>
      <c r="D5" s="78">
        <v>0.2</v>
      </c>
      <c r="E5"/>
      <c r="F5" s="57"/>
      <c r="G5" s="57"/>
      <c r="H5" s="58"/>
      <c r="I5" s="58"/>
      <c r="J5" s="58"/>
      <c r="K5" s="58"/>
      <c r="L5" s="58"/>
    </row>
    <row r="6" spans="2:13" s="56" customFormat="1" ht="18.5" x14ac:dyDescent="0.35">
      <c r="B6" s="197" t="s">
        <v>32</v>
      </c>
      <c r="C6" s="198"/>
      <c r="D6" s="78">
        <v>0.05</v>
      </c>
      <c r="E6"/>
      <c r="F6" s="57"/>
      <c r="G6" s="57"/>
      <c r="H6" s="58"/>
      <c r="I6" s="58"/>
      <c r="J6" s="58"/>
      <c r="K6" s="58"/>
      <c r="L6" s="58"/>
    </row>
    <row r="7" spans="2:13" s="56" customFormat="1" ht="18.5" x14ac:dyDescent="0.35">
      <c r="B7" s="197" t="s">
        <v>203</v>
      </c>
      <c r="C7" s="198"/>
      <c r="D7" s="78">
        <v>0.7</v>
      </c>
      <c r="E7"/>
      <c r="F7" s="57"/>
      <c r="G7" s="57"/>
      <c r="H7" s="58"/>
      <c r="I7" s="58"/>
      <c r="J7" s="58"/>
      <c r="K7" s="58"/>
      <c r="L7" s="58"/>
    </row>
    <row r="8" spans="2:13" s="56" customFormat="1" ht="18.5" x14ac:dyDescent="0.35">
      <c r="B8" s="197" t="s">
        <v>98</v>
      </c>
      <c r="C8" s="198"/>
      <c r="D8" s="79">
        <v>300000</v>
      </c>
      <c r="E8"/>
      <c r="F8" s="57"/>
      <c r="G8" s="57"/>
      <c r="H8" s="58"/>
      <c r="I8" s="58"/>
      <c r="J8" s="58"/>
      <c r="K8"/>
      <c r="L8"/>
    </row>
    <row r="9" spans="2:13" s="56" customFormat="1" ht="19" thickBot="1" x14ac:dyDescent="0.4">
      <c r="B9" s="205" t="s">
        <v>54</v>
      </c>
      <c r="C9" s="206"/>
      <c r="D9" s="80">
        <v>175000</v>
      </c>
      <c r="E9"/>
      <c r="F9" s="57"/>
      <c r="G9" s="57"/>
      <c r="H9" s="58"/>
      <c r="I9" s="58"/>
      <c r="J9" s="58"/>
      <c r="K9"/>
      <c r="L9"/>
    </row>
    <row r="10" spans="2:13" ht="16" thickBot="1" x14ac:dyDescent="0.4">
      <c r="B10" s="16"/>
      <c r="C10" s="16"/>
      <c r="D10" s="16"/>
      <c r="E10" s="16"/>
      <c r="F10" s="16"/>
      <c r="G10" s="16"/>
      <c r="H10" s="16"/>
      <c r="I10" s="16"/>
      <c r="J10" s="55"/>
      <c r="K10" s="16"/>
      <c r="L10" s="16"/>
    </row>
    <row r="11" spans="2:13" ht="67.25" customHeight="1" thickBot="1" x14ac:dyDescent="0.4">
      <c r="B11" s="81" t="s">
        <v>25</v>
      </c>
      <c r="C11" s="82" t="s">
        <v>20</v>
      </c>
      <c r="D11" s="82"/>
      <c r="E11" s="82" t="s">
        <v>21</v>
      </c>
      <c r="F11" s="82" t="s">
        <v>17</v>
      </c>
      <c r="G11" s="82" t="s">
        <v>99</v>
      </c>
      <c r="H11" s="82" t="s">
        <v>100</v>
      </c>
      <c r="I11" s="82" t="s">
        <v>117</v>
      </c>
      <c r="J11" s="82" t="s">
        <v>26</v>
      </c>
      <c r="K11" s="83" t="s">
        <v>101</v>
      </c>
      <c r="L11" s="84" t="s">
        <v>102</v>
      </c>
      <c r="M11" s="85" t="s">
        <v>85</v>
      </c>
    </row>
    <row r="12" spans="2:13" ht="15.65" customHeight="1" x14ac:dyDescent="0.35">
      <c r="B12" s="207" t="s">
        <v>16</v>
      </c>
      <c r="C12" s="199" t="s">
        <v>18</v>
      </c>
      <c r="D12" s="199" t="s">
        <v>103</v>
      </c>
      <c r="E12" s="86" t="s">
        <v>168</v>
      </c>
      <c r="F12" s="87" t="s">
        <v>6</v>
      </c>
      <c r="G12" s="88"/>
      <c r="H12" s="88"/>
      <c r="I12" s="89">
        <f ca="1">'Total Hardware'!F15</f>
        <v>5272300</v>
      </c>
      <c r="J12" s="95">
        <v>0.3</v>
      </c>
      <c r="K12" s="90">
        <f ca="1">IF(H12=0,(I12/(1-J12)),(I12/H12)/(1-J12))</f>
        <v>7531857.1428571437</v>
      </c>
      <c r="L12" s="91">
        <f ca="1">I12/(1-J12)</f>
        <v>7531857.1428571437</v>
      </c>
      <c r="M12" s="91">
        <f ca="1">L12-I12</f>
        <v>2259557.1428571437</v>
      </c>
    </row>
    <row r="13" spans="2:13" ht="15.5" x14ac:dyDescent="0.35">
      <c r="B13" s="207"/>
      <c r="C13" s="200"/>
      <c r="D13" s="200"/>
      <c r="E13" s="86" t="s">
        <v>32</v>
      </c>
      <c r="F13" s="87" t="s">
        <v>6</v>
      </c>
      <c r="G13" s="88"/>
      <c r="H13" s="88"/>
      <c r="I13" s="89">
        <f ca="1">(I12)*D6</f>
        <v>263615</v>
      </c>
      <c r="J13" s="95">
        <v>0.3</v>
      </c>
      <c r="K13" s="90">
        <f ca="1">IF(H13=0,(I13/(1-J13)),(I13/H13)/(1-J13))</f>
        <v>376592.85714285716</v>
      </c>
      <c r="L13" s="91">
        <f ca="1">I13/(1-J13)</f>
        <v>376592.85714285716</v>
      </c>
      <c r="M13" s="91">
        <f ca="1">L13-I13</f>
        <v>112977.85714285716</v>
      </c>
    </row>
    <row r="14" spans="2:13" ht="15.5" x14ac:dyDescent="0.35">
      <c r="B14" s="207"/>
      <c r="C14" s="200"/>
      <c r="D14" s="201"/>
      <c r="E14" s="215" t="s">
        <v>18</v>
      </c>
      <c r="F14" s="216"/>
      <c r="G14" s="216"/>
      <c r="H14" s="217"/>
      <c r="I14" s="92">
        <f ca="1">SUM(I12:I13)</f>
        <v>5535915</v>
      </c>
      <c r="J14" s="93"/>
      <c r="K14" s="92">
        <f ca="1">SUM(K12:K13)</f>
        <v>7908450.0000000009</v>
      </c>
      <c r="L14" s="92">
        <f ca="1">SUM(L12:L13)</f>
        <v>7908450.0000000009</v>
      </c>
      <c r="M14" s="92">
        <f ca="1">SUM(M12:M13)</f>
        <v>2372535.0000000009</v>
      </c>
    </row>
    <row r="15" spans="2:13" ht="15.5" x14ac:dyDescent="0.35">
      <c r="B15" s="208"/>
      <c r="C15" s="200"/>
      <c r="D15" s="202" t="s">
        <v>104</v>
      </c>
      <c r="E15" s="17" t="s">
        <v>44</v>
      </c>
      <c r="F15" s="3" t="s">
        <v>6</v>
      </c>
      <c r="G15" s="94"/>
      <c r="H15" s="94"/>
      <c r="I15" s="22">
        <f>'Total Hardware'!H15</f>
        <v>332800</v>
      </c>
      <c r="J15" s="95">
        <v>0.3</v>
      </c>
      <c r="K15" s="90">
        <f>IF(H15=0,(I15/(1-J15)),(I15/H15)/(1-J15))</f>
        <v>475428.57142857148</v>
      </c>
      <c r="L15" s="91">
        <f t="shared" ref="L15:L16" si="0">I15/(1-J15)</f>
        <v>475428.57142857148</v>
      </c>
      <c r="M15" s="91">
        <f>L15-I15</f>
        <v>142628.57142857148</v>
      </c>
    </row>
    <row r="16" spans="2:13" ht="15.5" x14ac:dyDescent="0.35">
      <c r="B16" s="208"/>
      <c r="C16" s="200"/>
      <c r="D16" s="200"/>
      <c r="E16" s="86" t="s">
        <v>105</v>
      </c>
      <c r="F16" s="3" t="s">
        <v>6</v>
      </c>
      <c r="G16" s="94"/>
      <c r="H16" s="94"/>
      <c r="I16" s="22">
        <f>I15*D6</f>
        <v>16640</v>
      </c>
      <c r="J16" s="95">
        <v>0.3</v>
      </c>
      <c r="K16" s="90">
        <f>IF(H16=0,(I16/(1-J16)),(I16/H16)/(1-J16))</f>
        <v>23771.428571428572</v>
      </c>
      <c r="L16" s="91">
        <f t="shared" si="0"/>
        <v>23771.428571428572</v>
      </c>
      <c r="M16" s="91">
        <f>L16-I16</f>
        <v>7131.4285714285725</v>
      </c>
    </row>
    <row r="17" spans="2:13" ht="16" thickBot="1" x14ac:dyDescent="0.4">
      <c r="B17" s="208"/>
      <c r="C17" s="201"/>
      <c r="D17" s="201"/>
      <c r="E17" s="215" t="s">
        <v>169</v>
      </c>
      <c r="F17" s="216"/>
      <c r="G17" s="216"/>
      <c r="H17" s="217"/>
      <c r="I17" s="92">
        <f>SUM(I15:I16)</f>
        <v>349440</v>
      </c>
      <c r="J17" s="93"/>
      <c r="K17" s="92">
        <f>SUM(K15:K16)</f>
        <v>499200.00000000006</v>
      </c>
      <c r="L17" s="92">
        <f>SUM(L15:L16)</f>
        <v>499200.00000000006</v>
      </c>
      <c r="M17" s="92">
        <f>SUM(M15:M16)</f>
        <v>149760.00000000006</v>
      </c>
    </row>
    <row r="18" spans="2:13" ht="15.65" customHeight="1" x14ac:dyDescent="0.35">
      <c r="B18" s="208"/>
      <c r="C18" s="202" t="s">
        <v>200</v>
      </c>
      <c r="D18" s="199" t="s">
        <v>199</v>
      </c>
      <c r="E18" s="86" t="s">
        <v>201</v>
      </c>
      <c r="F18" s="87" t="s">
        <v>6</v>
      </c>
      <c r="G18" s="88"/>
      <c r="H18" s="88"/>
      <c r="I18" s="89">
        <f>CIVIL!G33</f>
        <v>493000</v>
      </c>
      <c r="J18" s="95">
        <v>0.3</v>
      </c>
      <c r="K18" s="90">
        <f>IF(H18=0,(I18/(1-J18)),(I18/H18)/(1-J18))</f>
        <v>704285.71428571432</v>
      </c>
      <c r="L18" s="91">
        <f>I18/(1-J18)</f>
        <v>704285.71428571432</v>
      </c>
      <c r="M18" s="91">
        <f>L18-I18</f>
        <v>211285.71428571432</v>
      </c>
    </row>
    <row r="19" spans="2:13" ht="15.65" customHeight="1" x14ac:dyDescent="0.35">
      <c r="B19" s="208"/>
      <c r="C19" s="200"/>
      <c r="D19" s="200"/>
      <c r="E19" s="86" t="s">
        <v>202</v>
      </c>
      <c r="F19" s="87" t="s">
        <v>6</v>
      </c>
      <c r="G19" s="88"/>
      <c r="H19" s="88"/>
      <c r="I19" s="89">
        <f>I18*D6</f>
        <v>24650</v>
      </c>
      <c r="J19" s="95">
        <v>0.3</v>
      </c>
      <c r="K19" s="90">
        <f>IF(H19=0,(I19/(1-J19)),(I19/H19)/(1-J19))</f>
        <v>35214.285714285717</v>
      </c>
      <c r="L19" s="91">
        <f>I19/(1-J19)</f>
        <v>35214.285714285717</v>
      </c>
      <c r="M19" s="91">
        <f>L19-I19</f>
        <v>10564.285714285717</v>
      </c>
    </row>
    <row r="20" spans="2:13" ht="15.5" x14ac:dyDescent="0.35">
      <c r="B20" s="208"/>
      <c r="C20" s="200"/>
      <c r="D20" s="200"/>
      <c r="E20" s="86" t="s">
        <v>203</v>
      </c>
      <c r="F20" s="87" t="s">
        <v>6</v>
      </c>
      <c r="G20" s="88"/>
      <c r="H20" s="88"/>
      <c r="I20" s="89">
        <f>I18*D7</f>
        <v>345100</v>
      </c>
      <c r="J20" s="95">
        <v>0.3</v>
      </c>
      <c r="K20" s="90">
        <f>IF(H20=0,(I20/(1-J20)),(I20/H20)/(1-J20))</f>
        <v>493000.00000000006</v>
      </c>
      <c r="L20" s="91">
        <f>I20/(1-J20)</f>
        <v>493000.00000000006</v>
      </c>
      <c r="M20" s="91">
        <f>L20-I20</f>
        <v>147900.00000000006</v>
      </c>
    </row>
    <row r="21" spans="2:13" ht="15.5" x14ac:dyDescent="0.35">
      <c r="B21" s="208"/>
      <c r="C21" s="200"/>
      <c r="D21" s="201"/>
      <c r="E21" s="215" t="s">
        <v>200</v>
      </c>
      <c r="F21" s="216"/>
      <c r="G21" s="216"/>
      <c r="H21" s="217"/>
      <c r="I21" s="92">
        <f>SUM(I18:I20)</f>
        <v>862750</v>
      </c>
      <c r="J21" s="93"/>
      <c r="K21" s="92">
        <f>SUM(K18:K20)</f>
        <v>1232500</v>
      </c>
      <c r="L21" s="92">
        <f>SUM(L18:L20)</f>
        <v>1232500</v>
      </c>
      <c r="M21" s="92">
        <f>SUM(M18:M20)</f>
        <v>369750.00000000012</v>
      </c>
    </row>
    <row r="22" spans="2:13" ht="16.75" customHeight="1" x14ac:dyDescent="0.35">
      <c r="B22" s="208"/>
      <c r="C22" s="201"/>
      <c r="D22" s="218" t="s">
        <v>106</v>
      </c>
      <c r="E22" s="218"/>
      <c r="F22" s="218"/>
      <c r="G22" s="218"/>
      <c r="H22" s="218"/>
      <c r="I22" s="23">
        <f ca="1">I14+I17+I21</f>
        <v>6748105</v>
      </c>
      <c r="J22" s="63"/>
      <c r="K22" s="23">
        <f ca="1">K14+K17+K21</f>
        <v>9640150.0000000019</v>
      </c>
      <c r="L22" s="23">
        <f ca="1">L14+L17+L21</f>
        <v>9640150.0000000019</v>
      </c>
      <c r="M22" s="23">
        <f ca="1">M14+M17+M21</f>
        <v>2892045.0000000009</v>
      </c>
    </row>
    <row r="23" spans="2:13" ht="15.5" x14ac:dyDescent="0.35">
      <c r="B23" s="208"/>
      <c r="C23" s="219" t="s">
        <v>31</v>
      </c>
      <c r="D23" s="68" t="s">
        <v>107</v>
      </c>
      <c r="E23" s="18" t="s">
        <v>116</v>
      </c>
      <c r="F23" s="18" t="s">
        <v>6</v>
      </c>
      <c r="G23" s="94"/>
      <c r="H23" s="94"/>
      <c r="I23" s="22">
        <f>'Manpower-PM Cost'!I10</f>
        <v>780000</v>
      </c>
      <c r="J23" s="95">
        <v>0.3</v>
      </c>
      <c r="K23" s="90">
        <f>IF(H23=0,(I23/(1-J23)),(I23/H23)/(1-J23))</f>
        <v>1114285.7142857143</v>
      </c>
      <c r="L23" s="91">
        <f t="shared" ref="L23:L25" si="1">I23/(1-J23)</f>
        <v>1114285.7142857143</v>
      </c>
      <c r="M23" s="91">
        <f>L23-I23</f>
        <v>334285.71428571432</v>
      </c>
    </row>
    <row r="24" spans="2:13" ht="15.5" x14ac:dyDescent="0.35">
      <c r="B24" s="208"/>
      <c r="C24" s="219"/>
      <c r="D24" s="68" t="s">
        <v>170</v>
      </c>
      <c r="E24" s="18" t="s">
        <v>171</v>
      </c>
      <c r="F24" s="18" t="s">
        <v>6</v>
      </c>
      <c r="G24" s="94"/>
      <c r="H24" s="94"/>
      <c r="I24" s="22">
        <f>'Manpower-PM Cost'!J27+'Manpower-PM Cost'!J33</f>
        <v>764000</v>
      </c>
      <c r="J24" s="95">
        <v>0.3</v>
      </c>
      <c r="K24" s="90">
        <f>IF(H24=0,(I24/(1-J24)),(I24/H24)/(1-J24))</f>
        <v>1091428.5714285716</v>
      </c>
      <c r="L24" s="91">
        <f t="shared" ref="L24" si="2">I24/(1-J24)</f>
        <v>1091428.5714285716</v>
      </c>
      <c r="M24" s="91">
        <f>L24-I24</f>
        <v>327428.57142857159</v>
      </c>
    </row>
    <row r="25" spans="2:13" ht="15.5" x14ac:dyDescent="0.35">
      <c r="B25" s="208"/>
      <c r="C25" s="219"/>
      <c r="D25" s="69" t="s">
        <v>108</v>
      </c>
      <c r="E25" s="3" t="s">
        <v>108</v>
      </c>
      <c r="F25" s="3" t="s">
        <v>6</v>
      </c>
      <c r="G25" s="94"/>
      <c r="H25" s="94"/>
      <c r="I25" s="22">
        <f>D8</f>
        <v>300000</v>
      </c>
      <c r="J25" s="95">
        <v>0</v>
      </c>
      <c r="K25" s="90">
        <f>IF(H25=0,(I25/(1-J25)),(I25/H25)/(1-J25))</f>
        <v>300000</v>
      </c>
      <c r="L25" s="91">
        <f t="shared" si="1"/>
        <v>300000</v>
      </c>
      <c r="M25" s="91">
        <f>L25-I25</f>
        <v>0</v>
      </c>
    </row>
    <row r="26" spans="2:13" ht="15.5" x14ac:dyDescent="0.35">
      <c r="B26" s="208"/>
      <c r="C26" s="219"/>
      <c r="D26" s="209" t="s">
        <v>109</v>
      </c>
      <c r="E26" s="210"/>
      <c r="F26" s="210"/>
      <c r="G26" s="210"/>
      <c r="H26" s="211"/>
      <c r="I26" s="23">
        <f>SUM(I23:I25)</f>
        <v>1844000</v>
      </c>
      <c r="J26" s="19"/>
      <c r="K26" s="23">
        <f>SUM(K23:K25)</f>
        <v>2505714.2857142859</v>
      </c>
      <c r="L26" s="96">
        <f>SUM(L23:L25)</f>
        <v>2505714.2857142859</v>
      </c>
      <c r="M26" s="96">
        <f>SUM(M23:M25)</f>
        <v>661714.28571428591</v>
      </c>
    </row>
    <row r="27" spans="2:13" ht="19.25" customHeight="1" x14ac:dyDescent="0.35">
      <c r="B27" s="208"/>
      <c r="C27" s="212" t="s">
        <v>16</v>
      </c>
      <c r="D27" s="213"/>
      <c r="E27" s="213"/>
      <c r="F27" s="213"/>
      <c r="G27" s="213"/>
      <c r="H27" s="214"/>
      <c r="I27" s="24">
        <f ca="1">I22+I26</f>
        <v>8592105</v>
      </c>
      <c r="J27" s="15"/>
      <c r="K27" s="24">
        <f ca="1">K22+K26</f>
        <v>12145864.285714287</v>
      </c>
      <c r="L27" s="24">
        <f ca="1">L22+L26</f>
        <v>12145864.285714287</v>
      </c>
      <c r="M27" s="24">
        <f ca="1">M22+M26</f>
        <v>3553759.2857142868</v>
      </c>
    </row>
    <row r="28" spans="2:13" ht="19.25" customHeight="1" x14ac:dyDescent="0.35"/>
    <row r="29" spans="2:13" ht="15.5" x14ac:dyDescent="0.35">
      <c r="B29" s="131"/>
      <c r="C29" s="202" t="s">
        <v>110</v>
      </c>
      <c r="D29" s="202" t="s">
        <v>111</v>
      </c>
      <c r="E29" s="3" t="s">
        <v>112</v>
      </c>
      <c r="F29" s="3" t="s">
        <v>19</v>
      </c>
      <c r="G29" s="22">
        <f>'Manpower-PM Cost'!U10</f>
        <v>810000</v>
      </c>
      <c r="H29" s="97">
        <f>D4</f>
        <v>3</v>
      </c>
      <c r="I29" s="22">
        <f>G29*H29</f>
        <v>2430000</v>
      </c>
      <c r="J29" s="95">
        <v>0.3</v>
      </c>
      <c r="K29" s="90">
        <f>IF(H29=0,(I29/(1-J29)),(I29/H29)/(1-J29)*H29/$D$4)</f>
        <v>1157142.8571428573</v>
      </c>
      <c r="L29" s="91">
        <f t="shared" ref="L29:L32" si="3">I29/(1-J29)</f>
        <v>3471428.5714285718</v>
      </c>
      <c r="M29" s="91">
        <f t="shared" ref="M29:M30" si="4">L29*J29</f>
        <v>1041428.5714285715</v>
      </c>
    </row>
    <row r="30" spans="2:13" ht="15.5" x14ac:dyDescent="0.35">
      <c r="B30" s="131"/>
      <c r="C30" s="200"/>
      <c r="D30" s="201"/>
      <c r="E30" s="3" t="s">
        <v>113</v>
      </c>
      <c r="F30" s="3" t="s">
        <v>19</v>
      </c>
      <c r="G30" s="22">
        <f>'Manpower-PM Cost'!V27</f>
        <v>186000</v>
      </c>
      <c r="H30" s="97">
        <f>D4</f>
        <v>3</v>
      </c>
      <c r="I30" s="22">
        <f>G30*H30</f>
        <v>558000</v>
      </c>
      <c r="J30" s="95">
        <v>0.3</v>
      </c>
      <c r="K30" s="90">
        <f>IF(H30=0,(I30/(1-J30)),(I30/H30)/(1-J30)*H30/$D$4)</f>
        <v>265714.28571428574</v>
      </c>
      <c r="L30" s="91">
        <f t="shared" si="3"/>
        <v>797142.85714285716</v>
      </c>
      <c r="M30" s="91">
        <f t="shared" si="4"/>
        <v>239142.85714285713</v>
      </c>
    </row>
    <row r="31" spans="2:13" ht="15.5" x14ac:dyDescent="0.35">
      <c r="B31" s="131"/>
      <c r="C31" s="200"/>
      <c r="D31" s="209" t="s">
        <v>114</v>
      </c>
      <c r="E31" s="210"/>
      <c r="F31" s="210"/>
      <c r="G31" s="210"/>
      <c r="H31" s="211"/>
      <c r="I31" s="23">
        <f>SUM(I29:I30)</f>
        <v>2988000</v>
      </c>
      <c r="J31" s="19"/>
      <c r="K31" s="23">
        <f>SUM(K29:K30)</f>
        <v>1422857.142857143</v>
      </c>
      <c r="L31" s="23">
        <f>SUM(L29:L30)</f>
        <v>4268571.4285714291</v>
      </c>
      <c r="M31" s="23"/>
    </row>
    <row r="32" spans="2:13" ht="15.5" x14ac:dyDescent="0.35">
      <c r="B32" s="131"/>
      <c r="C32" s="200"/>
      <c r="D32" s="98" t="s">
        <v>115</v>
      </c>
      <c r="E32" s="3" t="s">
        <v>115</v>
      </c>
      <c r="F32" s="3" t="s">
        <v>19</v>
      </c>
      <c r="G32" s="22">
        <f>D9*12</f>
        <v>2100000</v>
      </c>
      <c r="H32" s="26">
        <f>D4</f>
        <v>3</v>
      </c>
      <c r="I32" s="22">
        <f>H32*G32</f>
        <v>6300000</v>
      </c>
      <c r="J32" s="14">
        <v>0</v>
      </c>
      <c r="K32" s="90">
        <f>IF(H32=0,(I32/(1-J32)),(I32/H32)/(1-J32))</f>
        <v>2100000</v>
      </c>
      <c r="L32" s="91">
        <f t="shared" si="3"/>
        <v>6300000</v>
      </c>
      <c r="M32" s="91">
        <f>L32*0.5</f>
        <v>3150000</v>
      </c>
    </row>
    <row r="33" spans="2:17" ht="15.5" x14ac:dyDescent="0.35">
      <c r="B33" s="131"/>
      <c r="C33" s="201"/>
      <c r="D33" s="209" t="s">
        <v>73</v>
      </c>
      <c r="E33" s="210"/>
      <c r="F33" s="210"/>
      <c r="G33" s="210"/>
      <c r="H33" s="211"/>
      <c r="I33" s="23">
        <f>SUM(I32)</f>
        <v>6300000</v>
      </c>
      <c r="J33" s="19"/>
      <c r="K33" s="23">
        <f>SUM(K32)</f>
        <v>2100000</v>
      </c>
      <c r="L33" s="23">
        <f>SUM(L32)</f>
        <v>6300000</v>
      </c>
      <c r="M33" s="23"/>
    </row>
    <row r="34" spans="2:17" ht="19.25" customHeight="1" x14ac:dyDescent="0.35">
      <c r="B34" s="132"/>
      <c r="C34" s="212" t="s">
        <v>35</v>
      </c>
      <c r="D34" s="213"/>
      <c r="E34" s="213"/>
      <c r="F34" s="213"/>
      <c r="G34" s="213"/>
      <c r="H34" s="214"/>
      <c r="I34" s="24">
        <f>I31+I33</f>
        <v>9288000</v>
      </c>
      <c r="J34" s="15"/>
      <c r="K34" s="24">
        <f>K31+K33</f>
        <v>3522857.1428571427</v>
      </c>
      <c r="L34" s="24" t="e">
        <f ca="1">L31+L33+L37</f>
        <v>#REF!</v>
      </c>
      <c r="M34" s="24"/>
      <c r="O34" s="59"/>
      <c r="P34" s="59">
        <f>O34/4</f>
        <v>0</v>
      </c>
      <c r="Q34" s="61"/>
    </row>
    <row r="35" spans="2:17" x14ac:dyDescent="0.35">
      <c r="K35" s="61">
        <f>K34/12</f>
        <v>293571.42857142858</v>
      </c>
    </row>
    <row r="37" spans="2:17" ht="31" x14ac:dyDescent="0.35">
      <c r="B37" s="131"/>
      <c r="C37" s="98" t="s">
        <v>177</v>
      </c>
      <c r="D37" s="133"/>
      <c r="E37" s="133"/>
      <c r="F37" s="133"/>
      <c r="G37" s="134" t="e">
        <f ca="1">SUM(I12+#REF!+I15)*D5</f>
        <v>#REF!</v>
      </c>
      <c r="H37" s="135">
        <v>2</v>
      </c>
      <c r="I37" s="22" t="e">
        <f ca="1">G37*H37</f>
        <v>#REF!</v>
      </c>
      <c r="J37" s="95">
        <v>0.3</v>
      </c>
      <c r="K37" s="90" t="e">
        <f ca="1">IF(H37=0,(I37/(1-J37)),(I37/H37)/(1-J37)*H37/($D$4-1))</f>
        <v>#REF!</v>
      </c>
      <c r="L37" s="91" t="e">
        <f t="shared" ref="L37" ca="1" si="5">I37/(1-J37)</f>
        <v>#REF!</v>
      </c>
      <c r="M37" s="91" t="e">
        <f t="shared" ref="M37" ca="1" si="6">L37*J37</f>
        <v>#REF!</v>
      </c>
    </row>
    <row r="38" spans="2:17" x14ac:dyDescent="0.35">
      <c r="K38" s="59"/>
    </row>
    <row r="40" spans="2:17" x14ac:dyDescent="0.35">
      <c r="J40" s="59"/>
      <c r="M40" s="59"/>
    </row>
    <row r="41" spans="2:17" x14ac:dyDescent="0.35">
      <c r="J41" s="59"/>
      <c r="K41" s="59"/>
    </row>
    <row r="42" spans="2:17" x14ac:dyDescent="0.35">
      <c r="J42" s="59"/>
      <c r="K42" s="61"/>
    </row>
    <row r="43" spans="2:17" x14ac:dyDescent="0.35">
      <c r="J43" s="59"/>
    </row>
    <row r="44" spans="2:17" x14ac:dyDescent="0.35">
      <c r="J44" s="59"/>
    </row>
  </sheetData>
  <mergeCells count="26">
    <mergeCell ref="C29:C33"/>
    <mergeCell ref="D29:D30"/>
    <mergeCell ref="D31:H31"/>
    <mergeCell ref="D33:H33"/>
    <mergeCell ref="C34:H34"/>
    <mergeCell ref="D12:D14"/>
    <mergeCell ref="D26:H26"/>
    <mergeCell ref="C27:H27"/>
    <mergeCell ref="E14:H14"/>
    <mergeCell ref="D15:D17"/>
    <mergeCell ref="E17:H17"/>
    <mergeCell ref="D22:H22"/>
    <mergeCell ref="C23:C26"/>
    <mergeCell ref="D18:D21"/>
    <mergeCell ref="E21:H21"/>
    <mergeCell ref="B7:C7"/>
    <mergeCell ref="C12:C17"/>
    <mergeCell ref="C18:C22"/>
    <mergeCell ref="B2:C2"/>
    <mergeCell ref="B3:C3"/>
    <mergeCell ref="B4:C4"/>
    <mergeCell ref="B5:C5"/>
    <mergeCell ref="B6:C6"/>
    <mergeCell ref="B8:C8"/>
    <mergeCell ref="B9:C9"/>
    <mergeCell ref="B12:B2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11BFC-C586-47E8-9853-07F73EF9CB38}">
  <sheetPr>
    <tabColor theme="8" tint="0.79998168889431442"/>
  </sheetPr>
  <dimension ref="B1:W35"/>
  <sheetViews>
    <sheetView topLeftCell="A3" zoomScale="88" zoomScaleNormal="85" workbookViewId="0">
      <selection activeCell="G7" sqref="G7:G9"/>
    </sheetView>
  </sheetViews>
  <sheetFormatPr defaultColWidth="8.90625" defaultRowHeight="15.5" x14ac:dyDescent="0.35"/>
  <cols>
    <col min="1" max="1" width="2.81640625" style="16" customWidth="1"/>
    <col min="2" max="2" width="4.54296875" style="16" customWidth="1"/>
    <col min="3" max="3" width="36.81640625" style="16" customWidth="1"/>
    <col min="4" max="4" width="24" style="16" customWidth="1"/>
    <col min="5" max="5" width="16.6328125" style="16" customWidth="1"/>
    <col min="6" max="6" width="13.08984375" style="16" customWidth="1"/>
    <col min="7" max="7" width="18.90625" style="16" customWidth="1"/>
    <col min="8" max="8" width="16.90625" style="16" customWidth="1"/>
    <col min="9" max="9" width="15.453125" style="16" customWidth="1"/>
    <col min="10" max="10" width="15" style="16" customWidth="1"/>
    <col min="11" max="14" width="4.54296875" style="16" customWidth="1"/>
    <col min="15" max="15" width="36.81640625" style="16" customWidth="1"/>
    <col min="16" max="16" width="24" style="16" customWidth="1"/>
    <col min="17" max="17" width="16.6328125" style="16" customWidth="1"/>
    <col min="18" max="18" width="13.08984375" style="16" customWidth="1"/>
    <col min="19" max="19" width="18.90625" style="16" customWidth="1"/>
    <col min="20" max="20" width="16.90625" style="16" customWidth="1"/>
    <col min="21" max="21" width="15.453125" style="16" customWidth="1"/>
    <col min="22" max="22" width="15.08984375" style="16" customWidth="1"/>
    <col min="23" max="23" width="4.54296875" style="16" customWidth="1"/>
    <col min="24" max="16384" width="8.90625" style="16"/>
  </cols>
  <sheetData>
    <row r="1" spans="2:23" ht="16" thickBot="1" x14ac:dyDescent="0.4"/>
    <row r="2" spans="2:23" x14ac:dyDescent="0.35">
      <c r="B2" s="220" t="s">
        <v>31</v>
      </c>
      <c r="C2" s="221"/>
      <c r="D2" s="221"/>
      <c r="E2" s="221"/>
      <c r="F2" s="221"/>
      <c r="G2" s="221"/>
      <c r="H2" s="221"/>
      <c r="I2" s="221"/>
      <c r="J2" s="221"/>
      <c r="K2" s="222"/>
      <c r="N2" s="220" t="s">
        <v>88</v>
      </c>
      <c r="O2" s="221"/>
      <c r="P2" s="221"/>
      <c r="Q2" s="221"/>
      <c r="R2" s="221"/>
      <c r="S2" s="221"/>
      <c r="T2" s="221"/>
      <c r="U2" s="221"/>
      <c r="V2" s="221"/>
      <c r="W2" s="222"/>
    </row>
    <row r="3" spans="2:23" x14ac:dyDescent="0.35">
      <c r="B3" s="44"/>
      <c r="K3" s="45"/>
      <c r="N3" s="44"/>
      <c r="W3" s="45"/>
    </row>
    <row r="4" spans="2:23" ht="27" customHeight="1" x14ac:dyDescent="0.35">
      <c r="B4" s="44"/>
      <c r="C4" s="228" t="s">
        <v>31</v>
      </c>
      <c r="D4" s="228"/>
      <c r="E4" s="228"/>
      <c r="F4" s="228"/>
      <c r="G4" s="228"/>
      <c r="H4" s="228"/>
      <c r="I4" s="228"/>
      <c r="J4"/>
      <c r="K4" s="45"/>
      <c r="N4" s="44"/>
      <c r="O4" s="223" t="s">
        <v>89</v>
      </c>
      <c r="P4" s="224"/>
      <c r="Q4" s="224"/>
      <c r="R4" s="224"/>
      <c r="S4" s="224"/>
      <c r="T4" s="224"/>
      <c r="U4" s="225"/>
      <c r="V4" s="71"/>
      <c r="W4" s="45"/>
    </row>
    <row r="5" spans="2:23" ht="27" customHeight="1" x14ac:dyDescent="0.35">
      <c r="B5" s="44"/>
      <c r="C5" s="226" t="s">
        <v>74</v>
      </c>
      <c r="D5" s="226"/>
      <c r="E5" s="226"/>
      <c r="F5" s="226"/>
      <c r="G5" s="226"/>
      <c r="H5" s="226"/>
      <c r="I5" s="226"/>
      <c r="J5"/>
      <c r="K5" s="45"/>
      <c r="N5" s="44"/>
      <c r="O5" s="226" t="s">
        <v>90</v>
      </c>
      <c r="P5" s="226"/>
      <c r="Q5" s="226"/>
      <c r="R5" s="226"/>
      <c r="S5" s="226"/>
      <c r="T5" s="226"/>
      <c r="U5" s="226"/>
      <c r="V5" s="71"/>
      <c r="W5" s="45"/>
    </row>
    <row r="6" spans="2:23" ht="31" x14ac:dyDescent="0.35">
      <c r="B6" s="44"/>
      <c r="C6" s="5" t="s">
        <v>4</v>
      </c>
      <c r="D6" s="5" t="s">
        <v>17</v>
      </c>
      <c r="E6" s="5" t="s">
        <v>13</v>
      </c>
      <c r="F6" s="5" t="s">
        <v>14</v>
      </c>
      <c r="G6" s="5" t="s">
        <v>56</v>
      </c>
      <c r="H6" s="5" t="s">
        <v>15</v>
      </c>
      <c r="I6" s="5" t="s">
        <v>1</v>
      </c>
      <c r="J6"/>
      <c r="K6" s="45"/>
      <c r="N6" s="44"/>
      <c r="O6" s="5" t="s">
        <v>4</v>
      </c>
      <c r="P6" s="5" t="s">
        <v>17</v>
      </c>
      <c r="Q6" s="5" t="s">
        <v>13</v>
      </c>
      <c r="R6" s="5" t="s">
        <v>14</v>
      </c>
      <c r="S6" s="5" t="s">
        <v>56</v>
      </c>
      <c r="T6" s="5" t="s">
        <v>15</v>
      </c>
      <c r="U6" s="5" t="s">
        <v>1</v>
      </c>
      <c r="V6" s="72"/>
      <c r="W6" s="45"/>
    </row>
    <row r="7" spans="2:23" x14ac:dyDescent="0.35">
      <c r="B7" s="44"/>
      <c r="C7" s="30" t="s">
        <v>91</v>
      </c>
      <c r="D7" s="30" t="s">
        <v>65</v>
      </c>
      <c r="E7" s="6">
        <v>0.5</v>
      </c>
      <c r="F7" s="6">
        <v>1</v>
      </c>
      <c r="G7" s="21">
        <v>60000</v>
      </c>
      <c r="H7" s="60">
        <v>4</v>
      </c>
      <c r="I7" s="21">
        <f>PRODUCT(E7:H7)</f>
        <v>120000</v>
      </c>
      <c r="J7"/>
      <c r="K7" s="45"/>
      <c r="N7" s="44"/>
      <c r="O7" s="30" t="s">
        <v>184</v>
      </c>
      <c r="P7" s="30" t="s">
        <v>76</v>
      </c>
      <c r="Q7" s="6">
        <v>0.5</v>
      </c>
      <c r="R7" s="6">
        <v>1</v>
      </c>
      <c r="S7" s="21">
        <v>50000</v>
      </c>
      <c r="T7" s="6">
        <v>12</v>
      </c>
      <c r="U7" s="41">
        <f>PRODUCT(Q7:T7)</f>
        <v>300000</v>
      </c>
      <c r="V7"/>
      <c r="W7" s="45"/>
    </row>
    <row r="8" spans="2:23" x14ac:dyDescent="0.35">
      <c r="B8" s="44"/>
      <c r="C8" s="30" t="s">
        <v>57</v>
      </c>
      <c r="D8" s="30" t="s">
        <v>65</v>
      </c>
      <c r="E8" s="6">
        <v>3</v>
      </c>
      <c r="F8" s="6">
        <v>1</v>
      </c>
      <c r="G8" s="21">
        <v>30000</v>
      </c>
      <c r="H8" s="60">
        <v>4</v>
      </c>
      <c r="I8" s="21">
        <f>PRODUCT(E8:H8)</f>
        <v>360000</v>
      </c>
      <c r="J8"/>
      <c r="K8" s="45"/>
      <c r="N8" s="44"/>
      <c r="O8" s="30" t="s">
        <v>57</v>
      </c>
      <c r="P8" s="30" t="s">
        <v>65</v>
      </c>
      <c r="Q8" s="6">
        <v>1</v>
      </c>
      <c r="R8" s="6">
        <v>1</v>
      </c>
      <c r="S8" s="21">
        <v>30000</v>
      </c>
      <c r="T8" s="6">
        <v>12</v>
      </c>
      <c r="U8" s="41">
        <f>PRODUCT(Q8:T8)</f>
        <v>360000</v>
      </c>
      <c r="V8"/>
      <c r="W8" s="45"/>
    </row>
    <row r="9" spans="2:23" x14ac:dyDescent="0.35">
      <c r="B9" s="44"/>
      <c r="C9" s="30" t="s">
        <v>96</v>
      </c>
      <c r="D9" s="30" t="s">
        <v>76</v>
      </c>
      <c r="E9" s="6">
        <v>2</v>
      </c>
      <c r="F9" s="6">
        <v>1</v>
      </c>
      <c r="G9" s="21">
        <v>50000</v>
      </c>
      <c r="H9" s="60">
        <v>3</v>
      </c>
      <c r="I9" s="21">
        <f>PRODUCT(E9:H9)</f>
        <v>300000</v>
      </c>
      <c r="J9"/>
      <c r="K9" s="45"/>
      <c r="N9" s="44"/>
      <c r="O9" s="30" t="s">
        <v>96</v>
      </c>
      <c r="P9" s="30" t="s">
        <v>76</v>
      </c>
      <c r="Q9" s="6">
        <v>0.25</v>
      </c>
      <c r="R9" s="6">
        <v>1</v>
      </c>
      <c r="S9" s="21">
        <v>50000</v>
      </c>
      <c r="T9" s="6">
        <v>12</v>
      </c>
      <c r="U9" s="41">
        <f>PRODUCT(Q9:T9)</f>
        <v>150000</v>
      </c>
      <c r="V9"/>
      <c r="W9" s="45"/>
    </row>
    <row r="10" spans="2:23" x14ac:dyDescent="0.35">
      <c r="B10" s="44"/>
      <c r="C10" s="30"/>
      <c r="D10" s="30"/>
      <c r="E10" s="35">
        <f>SUMPRODUCT(E7:E9,F7:F9)</f>
        <v>5.5</v>
      </c>
      <c r="F10" s="6"/>
      <c r="G10" s="6"/>
      <c r="H10" s="31" t="s">
        <v>1</v>
      </c>
      <c r="I10" s="32">
        <f>SUM(I7:I9)</f>
        <v>780000</v>
      </c>
      <c r="J10"/>
      <c r="K10" s="45"/>
      <c r="N10" s="44"/>
      <c r="O10" s="30"/>
      <c r="P10" s="30"/>
      <c r="Q10" s="35">
        <f>SUMPRODUCT(Q7:Q9,R7:R9)</f>
        <v>1.75</v>
      </c>
      <c r="R10" s="30"/>
      <c r="S10" s="30"/>
      <c r="T10" s="31" t="s">
        <v>1</v>
      </c>
      <c r="U10" s="42">
        <f>SUM(U7:U9)</f>
        <v>810000</v>
      </c>
      <c r="V10"/>
      <c r="W10" s="45"/>
    </row>
    <row r="11" spans="2:23" hidden="1" x14ac:dyDescent="0.35">
      <c r="B11" s="44"/>
      <c r="K11" s="45"/>
      <c r="L11" s="47"/>
      <c r="N11" s="44"/>
      <c r="W11" s="45"/>
    </row>
    <row r="12" spans="2:23" hidden="1" x14ac:dyDescent="0.35">
      <c r="B12" s="44"/>
      <c r="K12" s="45"/>
      <c r="L12" s="47"/>
      <c r="N12" s="44"/>
      <c r="W12" s="45"/>
    </row>
    <row r="13" spans="2:23" hidden="1" x14ac:dyDescent="0.35">
      <c r="B13" s="44"/>
      <c r="C13" s="36" t="s">
        <v>58</v>
      </c>
      <c r="D13" s="36"/>
      <c r="E13" s="36" t="s">
        <v>27</v>
      </c>
      <c r="F13" s="36" t="s">
        <v>59</v>
      </c>
      <c r="G13" s="36" t="s">
        <v>60</v>
      </c>
      <c r="K13" s="45"/>
      <c r="L13" s="48" t="s">
        <v>61</v>
      </c>
      <c r="N13" s="44"/>
      <c r="W13" s="45"/>
    </row>
    <row r="14" spans="2:23" hidden="1" x14ac:dyDescent="0.35">
      <c r="B14" s="44"/>
      <c r="C14" s="30" t="s">
        <v>62</v>
      </c>
      <c r="D14" s="30"/>
      <c r="E14" s="30">
        <v>47</v>
      </c>
      <c r="F14" s="30">
        <v>6</v>
      </c>
      <c r="G14" s="30">
        <f>ROUND(E14/F14,0)</f>
        <v>8</v>
      </c>
      <c r="K14" s="45"/>
      <c r="L14" s="49" t="s">
        <v>62</v>
      </c>
      <c r="N14" s="44"/>
      <c r="W14" s="45"/>
    </row>
    <row r="15" spans="2:23" hidden="1" x14ac:dyDescent="0.35">
      <c r="B15" s="44"/>
      <c r="C15" s="30" t="s">
        <v>63</v>
      </c>
      <c r="D15" s="30"/>
      <c r="E15" s="30">
        <v>40</v>
      </c>
      <c r="F15" s="30">
        <v>7</v>
      </c>
      <c r="G15" s="30">
        <f>ROUND(E15/F15,0)</f>
        <v>6</v>
      </c>
      <c r="K15" s="45"/>
      <c r="L15" s="49" t="s">
        <v>63</v>
      </c>
      <c r="N15" s="44"/>
      <c r="W15" s="45"/>
    </row>
    <row r="16" spans="2:23" hidden="1" x14ac:dyDescent="0.35">
      <c r="B16" s="44"/>
      <c r="C16" s="30" t="s">
        <v>64</v>
      </c>
      <c r="D16" s="30"/>
      <c r="E16" s="30">
        <v>810</v>
      </c>
      <c r="F16" s="37">
        <v>120</v>
      </c>
      <c r="G16" s="37">
        <f>ROUND(E16/F16,0)</f>
        <v>7</v>
      </c>
      <c r="K16" s="45"/>
      <c r="L16" s="49" t="s">
        <v>64</v>
      </c>
      <c r="N16" s="44"/>
      <c r="W16" s="45"/>
    </row>
    <row r="17" spans="2:23" hidden="1" x14ac:dyDescent="0.35">
      <c r="B17" s="44"/>
      <c r="F17" s="38" t="s">
        <v>65</v>
      </c>
      <c r="G17" s="39">
        <f>SUM(G14:G16)</f>
        <v>21</v>
      </c>
      <c r="K17" s="45"/>
      <c r="L17" s="47"/>
      <c r="N17" s="44"/>
      <c r="W17" s="45"/>
    </row>
    <row r="18" spans="2:23" hidden="1" x14ac:dyDescent="0.35">
      <c r="B18" s="44"/>
      <c r="F18" s="38" t="s">
        <v>66</v>
      </c>
      <c r="G18" s="40">
        <f>ROUND(G17/8,0)</f>
        <v>3</v>
      </c>
      <c r="K18" s="45"/>
      <c r="L18" s="47"/>
      <c r="N18" s="44"/>
      <c r="W18" s="45"/>
    </row>
    <row r="19" spans="2:23" x14ac:dyDescent="0.35">
      <c r="B19" s="44"/>
      <c r="F19"/>
      <c r="G19"/>
      <c r="K19" s="45"/>
      <c r="L19" s="47"/>
      <c r="N19" s="44"/>
      <c r="U19" s="136"/>
      <c r="W19" s="45"/>
    </row>
    <row r="20" spans="2:23" x14ac:dyDescent="0.35">
      <c r="B20" s="44"/>
      <c r="C20"/>
      <c r="D20"/>
      <c r="E20"/>
      <c r="F20"/>
      <c r="G20"/>
      <c r="H20"/>
      <c r="I20"/>
      <c r="J20"/>
      <c r="K20" s="45"/>
      <c r="L20" s="47"/>
      <c r="N20" s="44"/>
      <c r="W20" s="45"/>
    </row>
    <row r="21" spans="2:23" ht="27" customHeight="1" x14ac:dyDescent="0.35">
      <c r="B21" s="44"/>
      <c r="C21" s="227" t="s">
        <v>79</v>
      </c>
      <c r="D21" s="227"/>
      <c r="E21" s="227"/>
      <c r="F21" s="227"/>
      <c r="G21" s="227"/>
      <c r="H21" s="227"/>
      <c r="I21" s="227"/>
      <c r="J21" s="227"/>
      <c r="K21" s="45"/>
      <c r="N21" s="73"/>
      <c r="O21" s="223" t="s">
        <v>92</v>
      </c>
      <c r="P21" s="224"/>
      <c r="Q21" s="224"/>
      <c r="R21" s="224"/>
      <c r="S21" s="224"/>
      <c r="T21" s="224"/>
      <c r="U21" s="224"/>
      <c r="V21" s="224"/>
      <c r="W21" s="74"/>
    </row>
    <row r="22" spans="2:23" ht="27" customHeight="1" x14ac:dyDescent="0.35">
      <c r="B22" s="44"/>
      <c r="C22" s="226" t="s">
        <v>80</v>
      </c>
      <c r="D22" s="226"/>
      <c r="E22" s="226"/>
      <c r="F22" s="226"/>
      <c r="G22" s="226"/>
      <c r="H22" s="226"/>
      <c r="I22" s="226"/>
      <c r="J22" s="226"/>
      <c r="K22" s="45"/>
      <c r="N22" s="44"/>
      <c r="O22" s="226" t="s">
        <v>93</v>
      </c>
      <c r="P22" s="226"/>
      <c r="Q22" s="226"/>
      <c r="R22" s="226"/>
      <c r="S22" s="226"/>
      <c r="T22" s="226"/>
      <c r="U22" s="226"/>
      <c r="V22" s="226"/>
      <c r="W22" s="45"/>
    </row>
    <row r="23" spans="2:23" ht="31" x14ac:dyDescent="0.35">
      <c r="B23" s="44"/>
      <c r="C23" s="29" t="s">
        <v>4</v>
      </c>
      <c r="D23" s="5" t="s">
        <v>17</v>
      </c>
      <c r="E23" s="5" t="s">
        <v>78</v>
      </c>
      <c r="F23" s="5" t="s">
        <v>34</v>
      </c>
      <c r="G23" s="5" t="s">
        <v>9</v>
      </c>
      <c r="H23" s="5" t="s">
        <v>5</v>
      </c>
      <c r="I23" s="5" t="s">
        <v>77</v>
      </c>
      <c r="J23" s="5" t="s">
        <v>1</v>
      </c>
      <c r="K23" s="45"/>
      <c r="N23" s="44"/>
      <c r="O23" s="29" t="s">
        <v>4</v>
      </c>
      <c r="P23" s="5" t="s">
        <v>17</v>
      </c>
      <c r="Q23" s="5" t="s">
        <v>94</v>
      </c>
      <c r="R23" s="5" t="s">
        <v>34</v>
      </c>
      <c r="S23" s="5" t="s">
        <v>9</v>
      </c>
      <c r="T23" s="5" t="s">
        <v>5</v>
      </c>
      <c r="U23" s="5" t="s">
        <v>95</v>
      </c>
      <c r="V23" s="5" t="s">
        <v>1</v>
      </c>
      <c r="W23" s="45"/>
    </row>
    <row r="24" spans="2:23" x14ac:dyDescent="0.35">
      <c r="B24" s="44"/>
      <c r="C24" s="30" t="s">
        <v>91</v>
      </c>
      <c r="D24" s="30" t="s">
        <v>65</v>
      </c>
      <c r="E24" s="43">
        <v>1500</v>
      </c>
      <c r="F24" s="43">
        <v>25000</v>
      </c>
      <c r="G24" s="43">
        <v>4500</v>
      </c>
      <c r="H24" s="26">
        <v>2</v>
      </c>
      <c r="I24" s="26">
        <v>2</v>
      </c>
      <c r="J24" s="41">
        <f>(I24*H24*E24)+(F24*I24)+(G24*H24*I24)</f>
        <v>74000</v>
      </c>
      <c r="K24" s="45"/>
      <c r="N24" s="44"/>
      <c r="O24" s="30" t="s">
        <v>91</v>
      </c>
      <c r="P24" s="30" t="s">
        <v>19</v>
      </c>
      <c r="Q24" s="43">
        <v>1500</v>
      </c>
      <c r="R24" s="43">
        <v>25000</v>
      </c>
      <c r="S24" s="43">
        <v>4500</v>
      </c>
      <c r="T24" s="26">
        <v>1</v>
      </c>
      <c r="U24" s="26">
        <v>3</v>
      </c>
      <c r="V24" s="41">
        <f>(U24*T24*Q24)+(R24*U24)+(S24*T24*U24)</f>
        <v>93000</v>
      </c>
      <c r="W24" s="45"/>
    </row>
    <row r="25" spans="2:23" x14ac:dyDescent="0.35">
      <c r="B25" s="44"/>
      <c r="C25" s="30" t="s">
        <v>57</v>
      </c>
      <c r="D25" s="30" t="s">
        <v>65</v>
      </c>
      <c r="E25" s="43">
        <v>1500</v>
      </c>
      <c r="F25" s="43">
        <v>25000</v>
      </c>
      <c r="G25" s="43">
        <v>0</v>
      </c>
      <c r="H25" s="26">
        <v>0</v>
      </c>
      <c r="I25" s="130">
        <v>8</v>
      </c>
      <c r="J25" s="41">
        <f>(I25*H25*E25)+(F25*I25)+(G25*H25*I25)</f>
        <v>200000</v>
      </c>
      <c r="K25" s="45"/>
      <c r="N25" s="44"/>
      <c r="O25" s="30" t="s">
        <v>57</v>
      </c>
      <c r="P25" s="30" t="s">
        <v>19</v>
      </c>
      <c r="Q25" s="43">
        <v>1500</v>
      </c>
      <c r="R25" s="43">
        <v>25000</v>
      </c>
      <c r="S25" s="43">
        <v>2000</v>
      </c>
      <c r="T25" s="26">
        <v>0</v>
      </c>
      <c r="U25" s="26">
        <v>0</v>
      </c>
      <c r="V25" s="41">
        <f t="shared" ref="V25:V26" si="0">(U25*T25*Q25)+(R25*U25)+(S25*T25*U25)</f>
        <v>0</v>
      </c>
      <c r="W25" s="45"/>
    </row>
    <row r="26" spans="2:23" x14ac:dyDescent="0.35">
      <c r="B26" s="44"/>
      <c r="C26" s="30" t="s">
        <v>96</v>
      </c>
      <c r="D26" s="30" t="s">
        <v>76</v>
      </c>
      <c r="E26" s="43">
        <v>1500</v>
      </c>
      <c r="F26" s="43">
        <v>25000</v>
      </c>
      <c r="G26" s="43">
        <v>4500</v>
      </c>
      <c r="H26" s="26">
        <v>0</v>
      </c>
      <c r="I26" s="26">
        <v>2</v>
      </c>
      <c r="J26" s="41">
        <f>(I26*H26*E26)+(F26*I26)+(G26*H26*I26)</f>
        <v>50000</v>
      </c>
      <c r="K26" s="45"/>
      <c r="N26" s="44"/>
      <c r="O26" s="30" t="s">
        <v>166</v>
      </c>
      <c r="P26" s="30" t="s">
        <v>19</v>
      </c>
      <c r="Q26" s="43">
        <v>1500</v>
      </c>
      <c r="R26" s="43">
        <v>25000</v>
      </c>
      <c r="S26" s="43">
        <v>4500</v>
      </c>
      <c r="T26" s="26">
        <v>1</v>
      </c>
      <c r="U26" s="26">
        <v>3</v>
      </c>
      <c r="V26" s="41">
        <f t="shared" si="0"/>
        <v>93000</v>
      </c>
      <c r="W26" s="45"/>
    </row>
    <row r="27" spans="2:23" ht="16.75" customHeight="1" x14ac:dyDescent="0.35">
      <c r="B27" s="44"/>
      <c r="C27" s="30"/>
      <c r="D27" s="30"/>
      <c r="E27" s="30"/>
      <c r="F27" s="30"/>
      <c r="G27" s="46"/>
      <c r="H27" s="30"/>
      <c r="I27" s="31" t="s">
        <v>1</v>
      </c>
      <c r="J27" s="42">
        <f>SUM(J24:J26)</f>
        <v>324000</v>
      </c>
      <c r="K27" s="45"/>
      <c r="N27" s="44"/>
      <c r="O27" s="30"/>
      <c r="P27" s="30"/>
      <c r="Q27" s="30"/>
      <c r="R27" s="30"/>
      <c r="S27" s="46"/>
      <c r="T27" s="30"/>
      <c r="U27" s="31" t="s">
        <v>1</v>
      </c>
      <c r="V27" s="42">
        <f>SUM(V24:V26)</f>
        <v>186000</v>
      </c>
      <c r="W27" s="45"/>
    </row>
    <row r="28" spans="2:23" ht="16" thickBot="1" x14ac:dyDescent="0.4">
      <c r="B28" s="50"/>
      <c r="C28" s="51"/>
      <c r="D28" s="51"/>
      <c r="E28" s="51"/>
      <c r="F28" s="51"/>
      <c r="G28" s="51"/>
      <c r="H28" s="51"/>
      <c r="I28" s="51"/>
      <c r="J28" s="51"/>
      <c r="K28" s="52"/>
      <c r="N28" s="50"/>
      <c r="O28" s="51"/>
      <c r="P28" s="51"/>
      <c r="Q28" s="51"/>
      <c r="R28" s="51"/>
      <c r="S28" s="51"/>
      <c r="T28" s="51"/>
      <c r="U28" s="51"/>
      <c r="V28" s="51"/>
      <c r="W28" s="52"/>
    </row>
    <row r="29" spans="2:23" x14ac:dyDescent="0.35">
      <c r="H29" s="62"/>
      <c r="J29" s="62"/>
    </row>
    <row r="30" spans="2:23" x14ac:dyDescent="0.35">
      <c r="G30"/>
      <c r="H30" s="5" t="s">
        <v>162</v>
      </c>
      <c r="I30" s="5" t="s">
        <v>163</v>
      </c>
      <c r="J30" s="5" t="s">
        <v>1</v>
      </c>
    </row>
    <row r="31" spans="2:23" x14ac:dyDescent="0.35">
      <c r="G31" s="99" t="s">
        <v>164</v>
      </c>
      <c r="H31" s="112">
        <v>60000</v>
      </c>
      <c r="I31" s="112">
        <v>4</v>
      </c>
      <c r="J31" s="112">
        <f>H31*I31</f>
        <v>240000</v>
      </c>
    </row>
    <row r="32" spans="2:23" x14ac:dyDescent="0.35">
      <c r="C32" s="53"/>
      <c r="D32" s="53"/>
      <c r="G32" s="99" t="s">
        <v>165</v>
      </c>
      <c r="H32" s="112">
        <v>50000</v>
      </c>
      <c r="I32" s="112">
        <v>4</v>
      </c>
      <c r="J32" s="112">
        <f>H32*I32</f>
        <v>200000</v>
      </c>
    </row>
    <row r="33" spans="3:10" x14ac:dyDescent="0.35">
      <c r="C33" s="54"/>
      <c r="D33" s="54"/>
      <c r="E33" s="54"/>
      <c r="G33"/>
      <c r="H33"/>
      <c r="I33"/>
      <c r="J33" s="32">
        <f>SUM(J31:J32)</f>
        <v>440000</v>
      </c>
    </row>
    <row r="34" spans="3:10" x14ac:dyDescent="0.35">
      <c r="E34" s="54"/>
    </row>
    <row r="35" spans="3:10" ht="21" x14ac:dyDescent="0.5">
      <c r="E35" s="54"/>
      <c r="J35" s="113">
        <f>J33+J27</f>
        <v>764000</v>
      </c>
    </row>
  </sheetData>
  <mergeCells count="10">
    <mergeCell ref="N2:W2"/>
    <mergeCell ref="O4:U4"/>
    <mergeCell ref="O5:U5"/>
    <mergeCell ref="O21:V21"/>
    <mergeCell ref="C22:J22"/>
    <mergeCell ref="O22:V22"/>
    <mergeCell ref="C21:J21"/>
    <mergeCell ref="B2:K2"/>
    <mergeCell ref="C5:I5"/>
    <mergeCell ref="C4:I4"/>
  </mergeCells>
  <phoneticPr fontId="15" type="noConversion"/>
  <conditionalFormatting sqref="G7:G9">
    <cfRule type="cellIs" dxfId="15" priority="4" operator="equal">
      <formula>0</formula>
    </cfRule>
  </conditionalFormatting>
  <conditionalFormatting sqref="I7:I10">
    <cfRule type="cellIs" dxfId="14" priority="6" operator="equal">
      <formula>0</formula>
    </cfRule>
  </conditionalFormatting>
  <conditionalFormatting sqref="J24:J27">
    <cfRule type="cellIs" dxfId="13" priority="3" operator="equal">
      <formula>0</formula>
    </cfRule>
  </conditionalFormatting>
  <conditionalFormatting sqref="S7:S9">
    <cfRule type="cellIs" dxfId="12" priority="5" operator="equal">
      <formula>0</formula>
    </cfRule>
  </conditionalFormatting>
  <conditionalFormatting sqref="U7:U10">
    <cfRule type="cellIs" dxfId="11" priority="8" operator="equal">
      <formula>0</formula>
    </cfRule>
  </conditionalFormatting>
  <conditionalFormatting sqref="V24:V27">
    <cfRule type="cellIs" dxfId="10" priority="1" operator="equal">
      <formula>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3134A-6370-48E5-9BCF-833A682B00EF}">
  <sheetPr>
    <tabColor theme="8" tint="0.79998168889431442"/>
  </sheetPr>
  <dimension ref="A2:J18"/>
  <sheetViews>
    <sheetView zoomScale="85" zoomScaleNormal="85" workbookViewId="0">
      <selection activeCell="E3" sqref="E3"/>
    </sheetView>
  </sheetViews>
  <sheetFormatPr defaultRowHeight="14.5" x14ac:dyDescent="0.35"/>
  <cols>
    <col min="2" max="2" width="49.1796875" customWidth="1"/>
    <col min="3" max="3" width="22" customWidth="1"/>
    <col min="4" max="4" width="11.1796875" customWidth="1"/>
    <col min="5" max="5" width="9.6328125" customWidth="1"/>
    <col min="6" max="6" width="15.08984375" customWidth="1"/>
    <col min="7" max="7" width="9.6328125" customWidth="1"/>
    <col min="8" max="9" width="15.08984375" customWidth="1"/>
    <col min="10" max="10" width="9.6328125" customWidth="1"/>
  </cols>
  <sheetData>
    <row r="2" spans="1:10" ht="62.4" customHeight="1" x14ac:dyDescent="0.35">
      <c r="A2" s="27" t="s">
        <v>24</v>
      </c>
      <c r="B2" s="28" t="s">
        <v>0</v>
      </c>
      <c r="C2" s="28" t="s">
        <v>194</v>
      </c>
      <c r="D2" s="28" t="s">
        <v>12</v>
      </c>
      <c r="E2" s="28" t="s">
        <v>27</v>
      </c>
      <c r="F2" s="28" t="s">
        <v>11</v>
      </c>
      <c r="G2" s="28" t="s">
        <v>44</v>
      </c>
      <c r="H2" s="28" t="s">
        <v>45</v>
      </c>
      <c r="I2" s="28" t="s">
        <v>161</v>
      </c>
      <c r="J2" s="28" t="s">
        <v>84</v>
      </c>
    </row>
    <row r="3" spans="1:10" ht="15.5" x14ac:dyDescent="0.35">
      <c r="A3" s="4">
        <v>1</v>
      </c>
      <c r="B3" s="2" t="s">
        <v>2</v>
      </c>
      <c r="C3" s="2" t="s">
        <v>181</v>
      </c>
      <c r="D3" s="25">
        <f>VLOOKUP($B3,Master!$A$3:$B$21,2,FALSE)</f>
        <v>27000</v>
      </c>
      <c r="E3" s="105">
        <f ca="1">SUMIF(BOQ!$B$4:$G$54,'Total Hardware'!$B3,BOQ!$F$4:$F$54)</f>
        <v>28</v>
      </c>
      <c r="F3" s="25">
        <f ca="1">E3*$D3</f>
        <v>756000</v>
      </c>
      <c r="G3" s="35">
        <v>2</v>
      </c>
      <c r="H3" s="25">
        <f>G3*$D3</f>
        <v>54000</v>
      </c>
      <c r="I3" s="25">
        <f ca="1">F3+H3</f>
        <v>810000</v>
      </c>
      <c r="J3" s="106">
        <f t="shared" ref="J3:J11" ca="1" si="0">E3+G3</f>
        <v>30</v>
      </c>
    </row>
    <row r="4" spans="1:10" ht="15.5" x14ac:dyDescent="0.35">
      <c r="A4" s="4">
        <v>2</v>
      </c>
      <c r="B4" s="2" t="s">
        <v>189</v>
      </c>
      <c r="C4" s="2" t="s">
        <v>195</v>
      </c>
      <c r="D4" s="25">
        <f>VLOOKUP($B4,Master!$A$3:$B$21,2,FALSE)</f>
        <v>66000</v>
      </c>
      <c r="E4" s="105">
        <f ca="1">SUMIF(BOQ!$B$4:$G$54,'Total Hardware'!$B4,BOQ!$F$4:$F$54)</f>
        <v>1</v>
      </c>
      <c r="F4" s="25">
        <f ca="1">E4*$D4</f>
        <v>66000</v>
      </c>
      <c r="G4" s="35"/>
      <c r="H4" s="25">
        <f>G4*$D4</f>
        <v>0</v>
      </c>
      <c r="I4" s="25">
        <f ca="1">F4+H4</f>
        <v>66000</v>
      </c>
      <c r="J4" s="106">
        <f t="shared" ref="J4" ca="1" si="1">E4+G4</f>
        <v>1</v>
      </c>
    </row>
    <row r="5" spans="1:10" ht="15.5" x14ac:dyDescent="0.35">
      <c r="A5" s="4">
        <v>3</v>
      </c>
      <c r="B5" s="2" t="s">
        <v>71</v>
      </c>
      <c r="C5" s="2" t="s">
        <v>188</v>
      </c>
      <c r="D5" s="25">
        <f>VLOOKUP($B5,Master!$A$3:$B$21,2,FALSE)</f>
        <v>16000</v>
      </c>
      <c r="E5" s="105">
        <f ca="1">SUMIF(BOQ!$B$4:$G$54,'Total Hardware'!$B5,BOQ!$F$4:$F$54)</f>
        <v>25</v>
      </c>
      <c r="F5" s="25">
        <f ca="1">E5*$D5</f>
        <v>400000</v>
      </c>
      <c r="G5" s="35">
        <v>2</v>
      </c>
      <c r="H5" s="25">
        <f t="shared" ref="H5:H8" si="2">G5*$D5</f>
        <v>32000</v>
      </c>
      <c r="I5" s="25">
        <f ca="1">F5+H5</f>
        <v>432000</v>
      </c>
      <c r="J5" s="106">
        <f t="shared" ref="J5:J8" ca="1" si="3">E5+G5</f>
        <v>27</v>
      </c>
    </row>
    <row r="6" spans="1:10" ht="15.5" x14ac:dyDescent="0.35">
      <c r="A6" s="4">
        <v>4</v>
      </c>
      <c r="B6" s="2" t="s">
        <v>72</v>
      </c>
      <c r="C6" s="2" t="s">
        <v>196</v>
      </c>
      <c r="D6" s="25">
        <f>VLOOKUP($B6,Master!$A$3:$B$21,2,FALSE)</f>
        <v>65000</v>
      </c>
      <c r="E6" s="105">
        <f ca="1">SUMIF(BOQ!$B$4:$G$54,'Total Hardware'!$B6,BOQ!$F$4:$F$54)</f>
        <v>2</v>
      </c>
      <c r="F6" s="25">
        <f t="shared" ref="F6:F8" ca="1" si="4">E6*$D6</f>
        <v>130000</v>
      </c>
      <c r="G6" s="35"/>
      <c r="H6" s="25">
        <f t="shared" si="2"/>
        <v>0</v>
      </c>
      <c r="I6" s="25">
        <f t="shared" ref="I6:I7" ca="1" si="5">F6+H6</f>
        <v>130000</v>
      </c>
      <c r="J6" s="106">
        <f t="shared" ca="1" si="3"/>
        <v>2</v>
      </c>
    </row>
    <row r="7" spans="1:10" ht="15.5" x14ac:dyDescent="0.35">
      <c r="A7" s="4">
        <v>5</v>
      </c>
      <c r="B7" s="2" t="s">
        <v>133</v>
      </c>
      <c r="C7" s="2" t="s">
        <v>196</v>
      </c>
      <c r="D7" s="25">
        <f>VLOOKUP($B7,Master!$A$3:$B$21,2,FALSE)</f>
        <v>7000</v>
      </c>
      <c r="E7" s="105">
        <f ca="1">SUMIF(BOQ!$B$4:$G$54,'Total Hardware'!$B7,BOQ!$F$4:$F$54)</f>
        <v>64</v>
      </c>
      <c r="F7" s="25">
        <f t="shared" ca="1" si="4"/>
        <v>448000</v>
      </c>
      <c r="G7" s="35">
        <v>2</v>
      </c>
      <c r="H7" s="25">
        <f t="shared" si="2"/>
        <v>14000</v>
      </c>
      <c r="I7" s="25">
        <f t="shared" ca="1" si="5"/>
        <v>462000</v>
      </c>
      <c r="J7" s="106">
        <f t="shared" ca="1" si="3"/>
        <v>66</v>
      </c>
    </row>
    <row r="8" spans="1:10" ht="15.5" x14ac:dyDescent="0.35">
      <c r="A8" s="4">
        <v>6</v>
      </c>
      <c r="B8" s="2" t="s">
        <v>75</v>
      </c>
      <c r="C8" s="2" t="s">
        <v>195</v>
      </c>
      <c r="D8" s="25">
        <f>VLOOKUP($B8,Master!$A$3:$B$21,2,FALSE)</f>
        <v>41000</v>
      </c>
      <c r="E8" s="105">
        <f ca="1">SUMIF(BOQ!$B$4:$G$54,'Total Hardware'!$B8,BOQ!$F$4:$F$54)</f>
        <v>2</v>
      </c>
      <c r="F8" s="25">
        <f t="shared" ca="1" si="4"/>
        <v>82000</v>
      </c>
      <c r="G8" s="35"/>
      <c r="H8" s="25">
        <f t="shared" si="2"/>
        <v>0</v>
      </c>
      <c r="I8" s="25">
        <f ca="1">F8+H8</f>
        <v>82000</v>
      </c>
      <c r="J8" s="106">
        <f t="shared" ca="1" si="3"/>
        <v>2</v>
      </c>
    </row>
    <row r="9" spans="1:10" ht="15.5" x14ac:dyDescent="0.35">
      <c r="A9" s="4">
        <v>7</v>
      </c>
      <c r="B9" s="2" t="s">
        <v>139</v>
      </c>
      <c r="C9" s="2" t="s">
        <v>187</v>
      </c>
      <c r="D9" s="25">
        <f>VLOOKUP($B9,Master!$A$3:$B$21,2,FALSE)</f>
        <v>28000</v>
      </c>
      <c r="E9" s="105">
        <f ca="1">SUMIF(BOQ!$B$4:$G$54,'Total Hardware'!$B9,BOQ!$F$4:$F$54)</f>
        <v>0</v>
      </c>
      <c r="F9" s="25">
        <f ca="1">E9*$D9</f>
        <v>0</v>
      </c>
      <c r="G9" s="35"/>
      <c r="H9" s="25">
        <f t="shared" ref="H9:H11" si="6">G9*$D9</f>
        <v>0</v>
      </c>
      <c r="I9" s="25">
        <f ca="1">F9+H9</f>
        <v>0</v>
      </c>
      <c r="J9" s="106">
        <f t="shared" ca="1" si="0"/>
        <v>0</v>
      </c>
    </row>
    <row r="10" spans="1:10" ht="15.5" x14ac:dyDescent="0.35">
      <c r="A10" s="4">
        <v>8</v>
      </c>
      <c r="B10" s="2" t="s">
        <v>136</v>
      </c>
      <c r="C10" s="2" t="s">
        <v>188</v>
      </c>
      <c r="D10" s="25">
        <f>VLOOKUP($B10,Master!$A$3:$B$21,2,FALSE)</f>
        <v>9200</v>
      </c>
      <c r="E10" s="105">
        <f ca="1">SUMIF(BOQ!$B$4:$G$54,'Total Hardware'!$B10,BOQ!$F$4:$F$54)</f>
        <v>4</v>
      </c>
      <c r="F10" s="25">
        <f ca="1">E10*$D10</f>
        <v>36800</v>
      </c>
      <c r="G10" s="35"/>
      <c r="H10" s="25">
        <f t="shared" ref="H10" si="7">G10*$D10</f>
        <v>0</v>
      </c>
      <c r="I10" s="25">
        <f ca="1">F10+H10</f>
        <v>36800</v>
      </c>
      <c r="J10" s="106">
        <f t="shared" ref="J10" ca="1" si="8">E10+G10</f>
        <v>4</v>
      </c>
    </row>
    <row r="11" spans="1:10" ht="15.5" x14ac:dyDescent="0.35">
      <c r="A11" s="4">
        <v>9</v>
      </c>
      <c r="B11" s="2" t="s">
        <v>135</v>
      </c>
      <c r="C11" s="2" t="s">
        <v>188</v>
      </c>
      <c r="D11" s="25">
        <f>VLOOKUP($B11,Master!$A$3:$B$21,2,FALSE)</f>
        <v>8000</v>
      </c>
      <c r="E11" s="105">
        <f ca="1">SUMIF(BOQ!$B$4:$G$54,'Total Hardware'!$B11,BOQ!$F$4:$F$54)</f>
        <v>15</v>
      </c>
      <c r="F11" s="25">
        <f t="shared" ref="F11" ca="1" si="9">E11*$D11</f>
        <v>120000</v>
      </c>
      <c r="G11" s="35">
        <v>1</v>
      </c>
      <c r="H11" s="25">
        <f t="shared" si="6"/>
        <v>8000</v>
      </c>
      <c r="I11" s="25">
        <f t="shared" ref="I11" ca="1" si="10">F11+H11</f>
        <v>128000</v>
      </c>
      <c r="J11" s="106">
        <f t="shared" ca="1" si="0"/>
        <v>16</v>
      </c>
    </row>
    <row r="12" spans="1:10" ht="15.5" x14ac:dyDescent="0.35">
      <c r="A12" s="4">
        <v>10</v>
      </c>
      <c r="B12" s="2" t="s">
        <v>193</v>
      </c>
      <c r="C12" s="2" t="s">
        <v>188</v>
      </c>
      <c r="D12" s="25">
        <f>VLOOKUP($B12,Master!$A$3:$B$21,2,FALSE)</f>
        <v>100000</v>
      </c>
      <c r="E12" s="105">
        <f ca="1">SUMIF(BOQ!$B$4:$G$54,'Total Hardware'!$B12,BOQ!$F$4:$F$54)</f>
        <v>6</v>
      </c>
      <c r="F12" s="25">
        <f t="shared" ref="F12:F14" ca="1" si="11">E12*$D12</f>
        <v>600000</v>
      </c>
      <c r="G12" s="35"/>
      <c r="H12" s="25">
        <f t="shared" ref="H12:H14" si="12">G12*$D12</f>
        <v>0</v>
      </c>
      <c r="I12" s="25">
        <f t="shared" ref="I12" ca="1" si="13">F12+H12</f>
        <v>600000</v>
      </c>
      <c r="J12" s="106">
        <f t="shared" ref="J12:J14" ca="1" si="14">E12+G12</f>
        <v>6</v>
      </c>
    </row>
    <row r="13" spans="1:10" ht="15.5" x14ac:dyDescent="0.35">
      <c r="A13" s="4">
        <v>11</v>
      </c>
      <c r="B13" s="2" t="s">
        <v>134</v>
      </c>
      <c r="C13" s="2" t="s">
        <v>188</v>
      </c>
      <c r="D13" s="25">
        <f>VLOOKUP($B13,Master!$A$3:$B$21,2,FALSE)</f>
        <v>114500</v>
      </c>
      <c r="E13" s="105">
        <f ca="1">SUMIF(BOQ!$B$4:$G$54,'Total Hardware'!$B13,BOQ!$F$4:$F$54)</f>
        <v>23</v>
      </c>
      <c r="F13" s="25">
        <f t="shared" ca="1" si="11"/>
        <v>2633500</v>
      </c>
      <c r="G13" s="35"/>
      <c r="H13" s="25">
        <f t="shared" si="12"/>
        <v>0</v>
      </c>
      <c r="I13" s="25">
        <f ca="1">F13+H13</f>
        <v>2633500</v>
      </c>
      <c r="J13" s="106">
        <f t="shared" ca="1" si="14"/>
        <v>23</v>
      </c>
    </row>
    <row r="14" spans="1:10" ht="15.5" x14ac:dyDescent="0.35">
      <c r="A14" s="4">
        <v>12</v>
      </c>
      <c r="B14" s="2" t="s">
        <v>158</v>
      </c>
      <c r="C14" s="2" t="s">
        <v>188</v>
      </c>
      <c r="D14" s="25">
        <f>VLOOKUP($B14,Master!$A$3:$B$21,2,FALSE)</f>
        <v>56200</v>
      </c>
      <c r="E14" s="105">
        <f ca="1">SUMIF(BOQ!$B$4:$G$54,'Total Hardware'!$B14,BOQ!$F$4:$F$54)</f>
        <v>0</v>
      </c>
      <c r="F14" s="25">
        <f t="shared" ca="1" si="11"/>
        <v>0</v>
      </c>
      <c r="G14" s="35">
        <v>4</v>
      </c>
      <c r="H14" s="25">
        <f t="shared" si="12"/>
        <v>224800</v>
      </c>
      <c r="I14" s="25">
        <f ca="1">F14+H14</f>
        <v>224800</v>
      </c>
      <c r="J14" s="106">
        <f t="shared" ca="1" si="14"/>
        <v>4</v>
      </c>
    </row>
    <row r="15" spans="1:10" ht="15.5" x14ac:dyDescent="0.35">
      <c r="A15" s="11"/>
      <c r="B15" s="10" t="s">
        <v>1</v>
      </c>
      <c r="C15" s="10"/>
      <c r="D15" s="107"/>
      <c r="E15" s="108">
        <f t="shared" ref="E15:J15" ca="1" si="15">SUM(E3:E14)</f>
        <v>170</v>
      </c>
      <c r="F15" s="109">
        <f t="shared" ca="1" si="15"/>
        <v>5272300</v>
      </c>
      <c r="G15" s="110">
        <f t="shared" si="15"/>
        <v>11</v>
      </c>
      <c r="H15" s="109">
        <f t="shared" si="15"/>
        <v>332800</v>
      </c>
      <c r="I15" s="109">
        <f t="shared" ca="1" si="15"/>
        <v>5605100</v>
      </c>
      <c r="J15" s="111">
        <f t="shared" ca="1" si="15"/>
        <v>181</v>
      </c>
    </row>
    <row r="16" spans="1:10" x14ac:dyDescent="0.35">
      <c r="I16" s="59"/>
    </row>
    <row r="17" spans="2:3" ht="31" x14ac:dyDescent="0.7">
      <c r="B17" s="12" t="s">
        <v>53</v>
      </c>
      <c r="C17" s="12"/>
    </row>
    <row r="18" spans="2:3" ht="31" x14ac:dyDescent="0.7">
      <c r="B18" s="13" t="s">
        <v>33</v>
      </c>
      <c r="C18" s="13"/>
    </row>
  </sheetData>
  <conditionalFormatting sqref="B3:B4">
    <cfRule type="duplicateValues" dxfId="9" priority="3"/>
  </conditionalFormatting>
  <conditionalFormatting sqref="B5">
    <cfRule type="duplicateValues" dxfId="8" priority="2"/>
  </conditionalFormatting>
  <conditionalFormatting sqref="B14 B6:B12">
    <cfRule type="duplicateValues" dxfId="7" priority="4"/>
  </conditionalFormatting>
  <conditionalFormatting sqref="B13">
    <cfRule type="duplicateValues" dxfId="6" priority="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25DC1-BFB4-4E13-BF15-CBD97CDB67EB}">
  <sheetPr>
    <tabColor theme="7" tint="0.79998168889431442"/>
  </sheetPr>
  <dimension ref="A1:H33"/>
  <sheetViews>
    <sheetView zoomScale="70" zoomScaleNormal="70" workbookViewId="0">
      <pane xSplit="2" ySplit="3" topLeftCell="C4" activePane="bottomRight" state="frozen"/>
      <selection pane="topRight" activeCell="D1" sqref="D1"/>
      <selection pane="bottomLeft" activeCell="A4" sqref="A4"/>
      <selection pane="bottomRight" activeCell="D25" sqref="D25"/>
    </sheetView>
  </sheetViews>
  <sheetFormatPr defaultColWidth="37.453125" defaultRowHeight="14.5" x14ac:dyDescent="0.35"/>
  <cols>
    <col min="1" max="1" width="50.36328125" customWidth="1"/>
    <col min="2" max="2" width="63.08984375" style="1" customWidth="1"/>
    <col min="3" max="6" width="15.6328125" customWidth="1"/>
    <col min="7" max="7" width="19.6328125" customWidth="1"/>
  </cols>
  <sheetData>
    <row r="1" spans="1:8" ht="34.75" customHeight="1" x14ac:dyDescent="0.35"/>
    <row r="2" spans="1:8" ht="31.25" customHeight="1" x14ac:dyDescent="0.35">
      <c r="A2" s="99"/>
      <c r="B2" s="100"/>
      <c r="C2" s="99"/>
      <c r="D2" s="104"/>
      <c r="E2" s="104"/>
      <c r="F2" s="104"/>
      <c r="G2" s="104"/>
    </row>
    <row r="3" spans="1:8" ht="31.5" thickBot="1" x14ac:dyDescent="0.4">
      <c r="A3" s="114" t="s">
        <v>3</v>
      </c>
      <c r="B3" s="114" t="s">
        <v>0</v>
      </c>
      <c r="C3" s="114" t="s">
        <v>12</v>
      </c>
      <c r="D3" s="114" t="s">
        <v>30</v>
      </c>
      <c r="E3" s="114" t="s">
        <v>83</v>
      </c>
      <c r="F3" s="114" t="s">
        <v>82</v>
      </c>
      <c r="G3" s="114" t="s">
        <v>157</v>
      </c>
    </row>
    <row r="4" spans="1:8" ht="15.5" x14ac:dyDescent="0.35">
      <c r="A4" s="115" t="s">
        <v>148</v>
      </c>
      <c r="B4" s="116" t="s">
        <v>205</v>
      </c>
      <c r="C4" s="117">
        <f>_xlfn.IFNA(VLOOKUP(B4,Master!$A$3:$B$21,2,FALSE),0)</f>
        <v>4600</v>
      </c>
      <c r="D4" s="118">
        <v>1</v>
      </c>
      <c r="E4" s="118">
        <f>VLOOKUP($A4,Master!$A$24:$B$37,2,FALSE)</f>
        <v>2</v>
      </c>
      <c r="F4" s="118">
        <f t="shared" ref="F4:F15" si="0">D4*E4</f>
        <v>2</v>
      </c>
      <c r="G4" s="119">
        <f>F4*$C4</f>
        <v>9200</v>
      </c>
    </row>
    <row r="5" spans="1:8" ht="15.5" x14ac:dyDescent="0.35">
      <c r="A5" s="120" t="s">
        <v>148</v>
      </c>
      <c r="B5" s="2" t="s">
        <v>206</v>
      </c>
      <c r="C5" s="21">
        <f>_xlfn.IFNA(VLOOKUP(B5,Master!$A$3:$B$21,2,FALSE),0)</f>
        <v>4600</v>
      </c>
      <c r="D5" s="70">
        <v>1</v>
      </c>
      <c r="E5" s="70">
        <f>VLOOKUP($A5,Master!$A$24:$B$37,2,FALSE)</f>
        <v>2</v>
      </c>
      <c r="F5" s="70">
        <f t="shared" si="0"/>
        <v>2</v>
      </c>
      <c r="G5" s="121">
        <f t="shared" ref="G5:G32" si="1">F5*$C5</f>
        <v>9200</v>
      </c>
    </row>
    <row r="6" spans="1:8" ht="15.5" x14ac:dyDescent="0.35">
      <c r="A6" s="120" t="s">
        <v>148</v>
      </c>
      <c r="B6" s="2" t="s">
        <v>207</v>
      </c>
      <c r="C6" s="21">
        <f>_xlfn.IFNA(VLOOKUP(B6,Master!$A$3:$B$21,2,FALSE),0)</f>
        <v>4900</v>
      </c>
      <c r="D6" s="70">
        <v>1</v>
      </c>
      <c r="E6" s="70">
        <f>VLOOKUP($A6,Master!$A$24:$B$37,2,FALSE)</f>
        <v>2</v>
      </c>
      <c r="F6" s="70">
        <f t="shared" si="0"/>
        <v>2</v>
      </c>
      <c r="G6" s="121">
        <f t="shared" si="1"/>
        <v>9800</v>
      </c>
    </row>
    <row r="7" spans="1:8" ht="16" thickBot="1" x14ac:dyDescent="0.4">
      <c r="A7" s="120" t="s">
        <v>148</v>
      </c>
      <c r="B7" s="2" t="s">
        <v>197</v>
      </c>
      <c r="C7" s="21">
        <f>_xlfn.IFNA(VLOOKUP(B7,Master!$A$3:$B$21,2,FALSE),0)</f>
        <v>6000</v>
      </c>
      <c r="D7" s="70">
        <v>1</v>
      </c>
      <c r="E7" s="70">
        <f>VLOOKUP($A7,Master!$A$24:$B$37,2,FALSE)</f>
        <v>2</v>
      </c>
      <c r="F7" s="70">
        <f t="shared" si="0"/>
        <v>2</v>
      </c>
      <c r="G7" s="121">
        <f t="shared" si="1"/>
        <v>12000</v>
      </c>
    </row>
    <row r="8" spans="1:8" ht="16" thickBot="1" x14ac:dyDescent="0.4">
      <c r="A8" s="115" t="s">
        <v>149</v>
      </c>
      <c r="B8" s="116" t="s">
        <v>205</v>
      </c>
      <c r="C8" s="117">
        <f>_xlfn.IFNA(VLOOKUP(B8,Master!$A$3:$B$21,2,FALSE),0)</f>
        <v>4600</v>
      </c>
      <c r="D8" s="118">
        <v>1</v>
      </c>
      <c r="E8" s="118">
        <f>VLOOKUP($A8,Master!$A$24:$B$37,2,FALSE)</f>
        <v>2</v>
      </c>
      <c r="F8" s="118">
        <f t="shared" si="0"/>
        <v>2</v>
      </c>
      <c r="G8" s="119">
        <f t="shared" si="1"/>
        <v>9200</v>
      </c>
    </row>
    <row r="9" spans="1:8" ht="15.5" x14ac:dyDescent="0.35">
      <c r="A9" s="115" t="s">
        <v>146</v>
      </c>
      <c r="B9" s="116" t="s">
        <v>205</v>
      </c>
      <c r="C9" s="117">
        <f>_xlfn.IFNA(VLOOKUP(B9,Master!$A$3:$B$21,2,FALSE),0)</f>
        <v>4600</v>
      </c>
      <c r="D9" s="118">
        <f>1+2</f>
        <v>3</v>
      </c>
      <c r="E9" s="118">
        <f>VLOOKUP($A9,Master!$A$24:$B$37,2,FALSE)</f>
        <v>3</v>
      </c>
      <c r="F9" s="118">
        <f t="shared" si="0"/>
        <v>9</v>
      </c>
      <c r="G9" s="119">
        <f t="shared" si="1"/>
        <v>41400</v>
      </c>
    </row>
    <row r="10" spans="1:8" ht="15.5" x14ac:dyDescent="0.35">
      <c r="A10" s="120" t="s">
        <v>146</v>
      </c>
      <c r="B10" s="2" t="s">
        <v>208</v>
      </c>
      <c r="C10" s="21">
        <f>_xlfn.IFNA(VLOOKUP(B10,Master!$A$3:$B$21,2,FALSE),0)</f>
        <v>10200</v>
      </c>
      <c r="D10" s="70">
        <v>1</v>
      </c>
      <c r="E10" s="70">
        <f>VLOOKUP($A10,Master!$A$24:$B$37,2,FALSE)</f>
        <v>3</v>
      </c>
      <c r="F10" s="70">
        <f t="shared" si="0"/>
        <v>3</v>
      </c>
      <c r="G10" s="121">
        <f t="shared" si="1"/>
        <v>30600</v>
      </c>
    </row>
    <row r="11" spans="1:8" ht="16" thickBot="1" x14ac:dyDescent="0.4">
      <c r="A11" s="120" t="s">
        <v>146</v>
      </c>
      <c r="B11" s="2" t="s">
        <v>197</v>
      </c>
      <c r="C11" s="21">
        <f>_xlfn.IFNA(VLOOKUP(B11,Master!$A$3:$B$21,2,FALSE),0)</f>
        <v>6000</v>
      </c>
      <c r="D11" s="70">
        <v>1</v>
      </c>
      <c r="E11" s="70">
        <f>VLOOKUP($A11,Master!$A$24:$B$37,2,FALSE)</f>
        <v>3</v>
      </c>
      <c r="F11" s="70">
        <f t="shared" si="0"/>
        <v>3</v>
      </c>
      <c r="G11" s="121">
        <f t="shared" si="1"/>
        <v>18000</v>
      </c>
    </row>
    <row r="12" spans="1:8" ht="15.5" x14ac:dyDescent="0.35">
      <c r="A12" s="115" t="s">
        <v>147</v>
      </c>
      <c r="B12" s="116" t="s">
        <v>205</v>
      </c>
      <c r="C12" s="117">
        <f>_xlfn.IFNA(VLOOKUP(B12,Master!$A$3:$B$21,2,FALSE),0)</f>
        <v>4600</v>
      </c>
      <c r="D12" s="118">
        <v>1</v>
      </c>
      <c r="E12" s="118">
        <f>VLOOKUP($A12,Master!$A$24:$B$37,2,FALSE)</f>
        <v>3</v>
      </c>
      <c r="F12" s="118">
        <f t="shared" si="0"/>
        <v>3</v>
      </c>
      <c r="G12" s="119">
        <f t="shared" si="1"/>
        <v>13800</v>
      </c>
    </row>
    <row r="13" spans="1:8" ht="15.5" x14ac:dyDescent="0.35">
      <c r="A13" s="120" t="s">
        <v>147</v>
      </c>
      <c r="B13" s="2" t="s">
        <v>207</v>
      </c>
      <c r="C13" s="21">
        <f>_xlfn.IFNA(VLOOKUP(B13,Master!$A$3:$B$21,2,FALSE),0)</f>
        <v>4900</v>
      </c>
      <c r="D13" s="70">
        <v>1</v>
      </c>
      <c r="E13" s="70">
        <f>VLOOKUP($A13,Master!$A$24:$B$37,2,FALSE)</f>
        <v>3</v>
      </c>
      <c r="F13" s="70">
        <f t="shared" si="0"/>
        <v>3</v>
      </c>
      <c r="G13" s="121">
        <f t="shared" si="1"/>
        <v>14700</v>
      </c>
    </row>
    <row r="14" spans="1:8" ht="15.5" x14ac:dyDescent="0.35">
      <c r="A14" s="120" t="s">
        <v>147</v>
      </c>
      <c r="B14" s="2" t="s">
        <v>197</v>
      </c>
      <c r="C14" s="21">
        <f>_xlfn.IFNA(VLOOKUP(B14,Master!$A$3:$B$21,2,FALSE),0)</f>
        <v>6000</v>
      </c>
      <c r="D14" s="70">
        <v>1</v>
      </c>
      <c r="E14" s="70">
        <f>VLOOKUP($A14,Master!$A$24:$B$37,2,FALSE)</f>
        <v>3</v>
      </c>
      <c r="F14" s="70">
        <f t="shared" si="0"/>
        <v>3</v>
      </c>
      <c r="G14" s="121">
        <f t="shared" si="1"/>
        <v>18000</v>
      </c>
      <c r="H14" t="s">
        <v>175</v>
      </c>
    </row>
    <row r="15" spans="1:8" ht="16" thickBot="1" x14ac:dyDescent="0.4">
      <c r="A15" s="120" t="s">
        <v>147</v>
      </c>
      <c r="B15" s="2" t="s">
        <v>198</v>
      </c>
      <c r="C15" s="21">
        <f>_xlfn.IFNA(VLOOKUP(B15,Master!$A$3:$B$21,2,FALSE),0)</f>
        <v>4000</v>
      </c>
      <c r="D15" s="70">
        <v>1</v>
      </c>
      <c r="E15" s="70">
        <f>VLOOKUP($A15,Master!$A$24:$B$37,2,FALSE)</f>
        <v>3</v>
      </c>
      <c r="F15" s="70">
        <f t="shared" si="0"/>
        <v>3</v>
      </c>
      <c r="G15" s="121">
        <f t="shared" si="1"/>
        <v>12000</v>
      </c>
    </row>
    <row r="16" spans="1:8" ht="15.5" x14ac:dyDescent="0.35">
      <c r="A16" s="115" t="s">
        <v>150</v>
      </c>
      <c r="B16" s="116" t="s">
        <v>205</v>
      </c>
      <c r="C16" s="117">
        <f>_xlfn.IFNA(VLOOKUP(B16,Master!$A$3:$B$21,2,FALSE),0)</f>
        <v>4600</v>
      </c>
      <c r="D16" s="118">
        <v>1</v>
      </c>
      <c r="E16" s="118">
        <f>VLOOKUP($A16,Master!$A$24:$B$37,2,FALSE)</f>
        <v>3</v>
      </c>
      <c r="F16" s="118">
        <f t="shared" ref="F16:F32" si="2">D16*E16</f>
        <v>3</v>
      </c>
      <c r="G16" s="119">
        <f t="shared" si="1"/>
        <v>13800</v>
      </c>
    </row>
    <row r="17" spans="1:7" ht="15.5" x14ac:dyDescent="0.35">
      <c r="A17" s="120" t="s">
        <v>150</v>
      </c>
      <c r="B17" s="2" t="s">
        <v>207</v>
      </c>
      <c r="C17" s="21">
        <f>_xlfn.IFNA(VLOOKUP(B17,Master!$A$3:$B$21,2,FALSE),0)</f>
        <v>4900</v>
      </c>
      <c r="D17" s="70">
        <v>1</v>
      </c>
      <c r="E17" s="70">
        <f>VLOOKUP($A17,Master!$A$24:$B$37,2,FALSE)</f>
        <v>3</v>
      </c>
      <c r="F17" s="70">
        <f t="shared" si="2"/>
        <v>3</v>
      </c>
      <c r="G17" s="121">
        <f t="shared" si="1"/>
        <v>14700</v>
      </c>
    </row>
    <row r="18" spans="1:7" ht="15.5" x14ac:dyDescent="0.35">
      <c r="A18" s="120" t="s">
        <v>150</v>
      </c>
      <c r="B18" s="2" t="s">
        <v>197</v>
      </c>
      <c r="C18" s="21">
        <f>_xlfn.IFNA(VLOOKUP(B18,Master!$A$3:$B$21,2,FALSE),0)</f>
        <v>6000</v>
      </c>
      <c r="D18" s="70">
        <v>1</v>
      </c>
      <c r="E18" s="70">
        <f>VLOOKUP($A18,Master!$A$24:$B$37,2,FALSE)</f>
        <v>3</v>
      </c>
      <c r="F18" s="70">
        <f t="shared" si="2"/>
        <v>3</v>
      </c>
      <c r="G18" s="121">
        <f t="shared" si="1"/>
        <v>18000</v>
      </c>
    </row>
    <row r="19" spans="1:7" ht="16" thickBot="1" x14ac:dyDescent="0.4">
      <c r="A19" s="120" t="s">
        <v>150</v>
      </c>
      <c r="B19" s="2" t="s">
        <v>198</v>
      </c>
      <c r="C19" s="21">
        <f>_xlfn.IFNA(VLOOKUP(B19,Master!$A$3:$B$21,2,FALSE),0)</f>
        <v>4000</v>
      </c>
      <c r="D19" s="70">
        <v>1</v>
      </c>
      <c r="E19" s="70">
        <f>VLOOKUP($A19,Master!$A$24:$B$37,2,FALSE)</f>
        <v>3</v>
      </c>
      <c r="F19" s="70">
        <f t="shared" si="2"/>
        <v>3</v>
      </c>
      <c r="G19" s="121">
        <f t="shared" si="1"/>
        <v>12000</v>
      </c>
    </row>
    <row r="20" spans="1:7" ht="15.5" x14ac:dyDescent="0.35">
      <c r="A20" s="115" t="s">
        <v>151</v>
      </c>
      <c r="B20" s="116" t="s">
        <v>205</v>
      </c>
      <c r="C20" s="117">
        <f>_xlfn.IFNA(VLOOKUP(B20,Master!$A$3:$B$21,2,FALSE),0)</f>
        <v>4600</v>
      </c>
      <c r="D20" s="118">
        <f>1+2</f>
        <v>3</v>
      </c>
      <c r="E20" s="118">
        <f>VLOOKUP($A20,Master!$A$24:$B$37,2,FALSE)</f>
        <v>3</v>
      </c>
      <c r="F20" s="118">
        <f t="shared" si="2"/>
        <v>9</v>
      </c>
      <c r="G20" s="119">
        <f t="shared" si="1"/>
        <v>41400</v>
      </c>
    </row>
    <row r="21" spans="1:7" ht="15.5" x14ac:dyDescent="0.35">
      <c r="A21" s="120" t="s">
        <v>151</v>
      </c>
      <c r="B21" s="2" t="s">
        <v>208</v>
      </c>
      <c r="C21" s="21">
        <f>_xlfn.IFNA(VLOOKUP(B21,Master!$A$3:$B$21,2,FALSE),0)</f>
        <v>10200</v>
      </c>
      <c r="D21" s="70">
        <v>1</v>
      </c>
      <c r="E21" s="70">
        <f>VLOOKUP($A21,Master!$A$24:$B$37,2,FALSE)</f>
        <v>3</v>
      </c>
      <c r="F21" s="70">
        <f t="shared" si="2"/>
        <v>3</v>
      </c>
      <c r="G21" s="121">
        <f t="shared" si="1"/>
        <v>30600</v>
      </c>
    </row>
    <row r="22" spans="1:7" ht="16" thickBot="1" x14ac:dyDescent="0.4">
      <c r="A22" s="120" t="s">
        <v>151</v>
      </c>
      <c r="B22" s="2" t="s">
        <v>197</v>
      </c>
      <c r="C22" s="21">
        <f>_xlfn.IFNA(VLOOKUP(B22,Master!$A$3:$B$21,2,FALSE),0)</f>
        <v>6000</v>
      </c>
      <c r="D22" s="70">
        <v>1</v>
      </c>
      <c r="E22" s="70">
        <f>VLOOKUP($A22,Master!$A$24:$B$37,2,FALSE)</f>
        <v>3</v>
      </c>
      <c r="F22" s="70">
        <f t="shared" si="2"/>
        <v>3</v>
      </c>
      <c r="G22" s="121">
        <f t="shared" si="1"/>
        <v>18000</v>
      </c>
    </row>
    <row r="23" spans="1:7" ht="15.5" x14ac:dyDescent="0.35">
      <c r="A23" s="115" t="s">
        <v>152</v>
      </c>
      <c r="B23" s="116" t="s">
        <v>205</v>
      </c>
      <c r="C23" s="117">
        <f>_xlfn.IFNA(VLOOKUP(B23,Master!$A$3:$B$21,2,FALSE),0)</f>
        <v>4600</v>
      </c>
      <c r="D23" s="118">
        <v>1</v>
      </c>
      <c r="E23" s="118">
        <f>VLOOKUP($A23,Master!$A$24:$B$37,2,FALSE)</f>
        <v>2</v>
      </c>
      <c r="F23" s="118">
        <f t="shared" si="2"/>
        <v>2</v>
      </c>
      <c r="G23" s="119">
        <f t="shared" si="1"/>
        <v>9200</v>
      </c>
    </row>
    <row r="24" spans="1:7" ht="15.5" x14ac:dyDescent="0.35">
      <c r="A24" s="120" t="s">
        <v>152</v>
      </c>
      <c r="B24" s="2" t="s">
        <v>206</v>
      </c>
      <c r="C24" s="21">
        <f>_xlfn.IFNA(VLOOKUP(B24,Master!$A$3:$B$21,2,FALSE),0)</f>
        <v>4600</v>
      </c>
      <c r="D24" s="70">
        <v>1</v>
      </c>
      <c r="E24" s="70">
        <f>VLOOKUP($A24,Master!$A$24:$B$37,2,FALSE)</f>
        <v>2</v>
      </c>
      <c r="F24" s="70">
        <f t="shared" si="2"/>
        <v>2</v>
      </c>
      <c r="G24" s="121">
        <f t="shared" si="1"/>
        <v>9200</v>
      </c>
    </row>
    <row r="25" spans="1:7" ht="15.5" x14ac:dyDescent="0.35">
      <c r="A25" s="120" t="s">
        <v>152</v>
      </c>
      <c r="B25" s="2" t="s">
        <v>207</v>
      </c>
      <c r="C25" s="21">
        <f>_xlfn.IFNA(VLOOKUP(B25,Master!$A$3:$B$21,2,FALSE),0)</f>
        <v>4900</v>
      </c>
      <c r="D25" s="70">
        <v>1</v>
      </c>
      <c r="E25" s="70">
        <f>VLOOKUP($A25,Master!$A$24:$B$37,2,FALSE)</f>
        <v>2</v>
      </c>
      <c r="F25" s="70">
        <f t="shared" si="2"/>
        <v>2</v>
      </c>
      <c r="G25" s="121">
        <f t="shared" si="1"/>
        <v>9800</v>
      </c>
    </row>
    <row r="26" spans="1:7" ht="16" thickBot="1" x14ac:dyDescent="0.4">
      <c r="A26" s="120" t="s">
        <v>152</v>
      </c>
      <c r="B26" s="2" t="s">
        <v>197</v>
      </c>
      <c r="C26" s="21">
        <f>_xlfn.IFNA(VLOOKUP(B26,Master!$A$3:$B$21,2,FALSE),0)</f>
        <v>6000</v>
      </c>
      <c r="D26" s="70">
        <v>1</v>
      </c>
      <c r="E26" s="70">
        <f>VLOOKUP($A26,Master!$A$24:$B$37,2,FALSE)</f>
        <v>2</v>
      </c>
      <c r="F26" s="70">
        <f t="shared" si="2"/>
        <v>2</v>
      </c>
      <c r="G26" s="121">
        <f t="shared" si="1"/>
        <v>12000</v>
      </c>
    </row>
    <row r="27" spans="1:7" ht="15.5" x14ac:dyDescent="0.35">
      <c r="A27" s="115" t="s">
        <v>153</v>
      </c>
      <c r="B27" s="116" t="s">
        <v>205</v>
      </c>
      <c r="C27" s="117">
        <f>_xlfn.IFNA(VLOOKUP(B27,Master!$A$3:$B$21,2,FALSE),0)</f>
        <v>4600</v>
      </c>
      <c r="D27" s="118">
        <v>2</v>
      </c>
      <c r="E27" s="118">
        <f>VLOOKUP($A27,Master!$A$24:$B$37,2,FALSE)</f>
        <v>2</v>
      </c>
      <c r="F27" s="118">
        <f t="shared" si="2"/>
        <v>4</v>
      </c>
      <c r="G27" s="119">
        <f t="shared" si="1"/>
        <v>18400</v>
      </c>
    </row>
    <row r="28" spans="1:7" ht="16" thickBot="1" x14ac:dyDescent="0.4">
      <c r="A28" s="120" t="s">
        <v>153</v>
      </c>
      <c r="B28" s="2" t="s">
        <v>197</v>
      </c>
      <c r="C28" s="21">
        <f>_xlfn.IFNA(VLOOKUP(B28,Master!$A$3:$B$21,2,FALSE),0)</f>
        <v>6000</v>
      </c>
      <c r="D28" s="70">
        <v>1</v>
      </c>
      <c r="E28" s="70">
        <f>VLOOKUP($A28,Master!$A$24:$B$37,2,FALSE)</f>
        <v>2</v>
      </c>
      <c r="F28" s="70">
        <f t="shared" si="2"/>
        <v>2</v>
      </c>
      <c r="G28" s="121">
        <f t="shared" si="1"/>
        <v>12000</v>
      </c>
    </row>
    <row r="29" spans="1:7" ht="15.5" x14ac:dyDescent="0.35">
      <c r="A29" s="115" t="s">
        <v>154</v>
      </c>
      <c r="B29" s="116" t="s">
        <v>205</v>
      </c>
      <c r="C29" s="117">
        <f>_xlfn.IFNA(VLOOKUP(B29,Master!$A$3:$B$21,2,FALSE),0)</f>
        <v>4600</v>
      </c>
      <c r="D29" s="118">
        <v>2</v>
      </c>
      <c r="E29" s="118">
        <f>VLOOKUP($A29,Master!$A$24:$B$37,2,FALSE)</f>
        <v>2</v>
      </c>
      <c r="F29" s="118">
        <f t="shared" si="2"/>
        <v>4</v>
      </c>
      <c r="G29" s="119">
        <f t="shared" si="1"/>
        <v>18400</v>
      </c>
    </row>
    <row r="30" spans="1:7" ht="16" thickBot="1" x14ac:dyDescent="0.4">
      <c r="A30" s="120" t="s">
        <v>154</v>
      </c>
      <c r="B30" s="2" t="s">
        <v>197</v>
      </c>
      <c r="C30" s="21">
        <f>_xlfn.IFNA(VLOOKUP(B30,Master!$A$3:$B$21,2,FALSE),0)</f>
        <v>6000</v>
      </c>
      <c r="D30" s="70">
        <v>1</v>
      </c>
      <c r="E30" s="70">
        <f>VLOOKUP($A30,Master!$A$24:$B$37,2,FALSE)</f>
        <v>2</v>
      </c>
      <c r="F30" s="70">
        <f t="shared" si="2"/>
        <v>2</v>
      </c>
      <c r="G30" s="121">
        <f t="shared" si="1"/>
        <v>12000</v>
      </c>
    </row>
    <row r="31" spans="1:7" ht="15.5" x14ac:dyDescent="0.35">
      <c r="A31" s="115" t="s">
        <v>192</v>
      </c>
      <c r="B31" s="116" t="s">
        <v>205</v>
      </c>
      <c r="C31" s="117">
        <f>_xlfn.IFNA(VLOOKUP(B31,Master!$A$3:$B$21,2,FALSE),0)</f>
        <v>4600</v>
      </c>
      <c r="D31" s="118">
        <v>2</v>
      </c>
      <c r="E31" s="118">
        <f>VLOOKUP($A31,Master!$A$24:$B$37,2,FALSE)</f>
        <v>3</v>
      </c>
      <c r="F31" s="118">
        <f t="shared" si="2"/>
        <v>6</v>
      </c>
      <c r="G31" s="119">
        <f t="shared" si="1"/>
        <v>27600</v>
      </c>
    </row>
    <row r="32" spans="1:7" ht="15.5" x14ac:dyDescent="0.35">
      <c r="A32" s="120" t="s">
        <v>192</v>
      </c>
      <c r="B32" s="2" t="s">
        <v>197</v>
      </c>
      <c r="C32" s="21">
        <f>_xlfn.IFNA(VLOOKUP(B32,Master!$A$3:$B$21,2,FALSE),0)</f>
        <v>6000</v>
      </c>
      <c r="D32" s="70">
        <v>1</v>
      </c>
      <c r="E32" s="70">
        <f>VLOOKUP($A32,Master!$A$24:$B$37,2,FALSE)</f>
        <v>3</v>
      </c>
      <c r="F32" s="70">
        <f t="shared" si="2"/>
        <v>3</v>
      </c>
      <c r="G32" s="121">
        <f t="shared" si="1"/>
        <v>18000</v>
      </c>
    </row>
    <row r="33" spans="1:7" ht="15.5" x14ac:dyDescent="0.35">
      <c r="A33" s="127"/>
      <c r="B33" s="127"/>
      <c r="C33" s="127"/>
      <c r="D33" s="127"/>
      <c r="E33" s="127"/>
      <c r="F33" s="127"/>
      <c r="G33" s="128">
        <f>SUM(G4:G32)</f>
        <v>493000</v>
      </c>
    </row>
  </sheetData>
  <autoFilter ref="A3:C33" xr:uid="{BA814D6A-4F79-4B32-A47C-435C29F4DF4D}"/>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67EDDC9-F1DD-4916-8EBE-4BF3810E2754}">
          <x14:formula1>
            <xm:f>Master!$A$24:$A$37</xm:f>
          </x14:formula1>
          <xm:sqref>A4:A32</xm:sqref>
        </x14:dataValidation>
        <x14:dataValidation type="list" allowBlank="1" showInputMessage="1" showErrorMessage="1" xr:uid="{358C8E8E-D5F9-476A-A210-DFB9ED4F23F1}">
          <x14:formula1>
            <xm:f>Master!$A$3:$A$21</xm:f>
          </x14:formula1>
          <xm:sqref>B4:B32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14D6A-4F79-4B32-A47C-435C29F4DF4D}">
  <sheetPr>
    <tabColor theme="7" tint="0.79998168889431442"/>
  </sheetPr>
  <dimension ref="A1:H55"/>
  <sheetViews>
    <sheetView zoomScaleNormal="100" workbookViewId="0">
      <pane xSplit="2" ySplit="3" topLeftCell="E44" activePane="bottomRight" state="frozen"/>
      <selection pane="topRight" activeCell="D1" sqref="D1"/>
      <selection pane="bottomLeft" activeCell="A4" sqref="A4"/>
      <selection pane="bottomRight" activeCell="A3" sqref="A3:G55"/>
    </sheetView>
  </sheetViews>
  <sheetFormatPr defaultColWidth="37.453125" defaultRowHeight="14.5" x14ac:dyDescent="0.35"/>
  <cols>
    <col min="1" max="1" width="50.36328125" customWidth="1"/>
    <col min="2" max="2" width="63.08984375" style="1" customWidth="1"/>
    <col min="3" max="6" width="15.6328125" customWidth="1"/>
    <col min="7" max="7" width="19.6328125" customWidth="1"/>
  </cols>
  <sheetData>
    <row r="1" spans="1:7" ht="34.75" customHeight="1" x14ac:dyDescent="0.35"/>
    <row r="2" spans="1:7" ht="31.25" customHeight="1" x14ac:dyDescent="0.35">
      <c r="A2" s="99"/>
      <c r="B2" s="100"/>
      <c r="C2" s="99"/>
      <c r="D2" s="104"/>
      <c r="E2" s="104"/>
      <c r="F2" s="104"/>
      <c r="G2" s="104"/>
    </row>
    <row r="3" spans="1:7" ht="31.5" thickBot="1" x14ac:dyDescent="0.4">
      <c r="A3" s="114" t="s">
        <v>3</v>
      </c>
      <c r="B3" s="114" t="s">
        <v>0</v>
      </c>
      <c r="C3" s="114" t="s">
        <v>12</v>
      </c>
      <c r="D3" s="114" t="s">
        <v>30</v>
      </c>
      <c r="E3" s="114" t="s">
        <v>83</v>
      </c>
      <c r="F3" s="114" t="s">
        <v>82</v>
      </c>
      <c r="G3" s="114" t="s">
        <v>157</v>
      </c>
    </row>
    <row r="4" spans="1:7" ht="15.5" x14ac:dyDescent="0.35">
      <c r="A4" s="115" t="s">
        <v>148</v>
      </c>
      <c r="B4" s="116" t="s">
        <v>2</v>
      </c>
      <c r="C4" s="117">
        <f>_xlfn.IFNA(VLOOKUP(B4,Master!$A$3:$B$21,2,FALSE),0)</f>
        <v>27000</v>
      </c>
      <c r="D4" s="118">
        <v>1</v>
      </c>
      <c r="E4" s="118">
        <f>VLOOKUP($A4,Master!$A$24:$B$37,2,FALSE)</f>
        <v>2</v>
      </c>
      <c r="F4" s="118">
        <f t="shared" ref="F4:F24" si="0">D4*E4</f>
        <v>2</v>
      </c>
      <c r="G4" s="119">
        <f>F4*$C4</f>
        <v>54000</v>
      </c>
    </row>
    <row r="5" spans="1:7" ht="15.5" x14ac:dyDescent="0.35">
      <c r="A5" s="120" t="s">
        <v>148</v>
      </c>
      <c r="B5" s="2" t="s">
        <v>134</v>
      </c>
      <c r="C5" s="21">
        <f>_xlfn.IFNA(VLOOKUP(B5,Master!$A$3:$B$21,2,FALSE),0)</f>
        <v>114500</v>
      </c>
      <c r="D5" s="70">
        <v>1</v>
      </c>
      <c r="E5" s="70">
        <f>VLOOKUP($A5,Master!$A$24:$B$37,2,FALSE)</f>
        <v>2</v>
      </c>
      <c r="F5" s="70">
        <f t="shared" ref="F5:F16" si="1">D5*E5</f>
        <v>2</v>
      </c>
      <c r="G5" s="121">
        <f t="shared" ref="G5:G16" si="2">F5*$C5</f>
        <v>229000</v>
      </c>
    </row>
    <row r="6" spans="1:7" ht="15.5" x14ac:dyDescent="0.35">
      <c r="A6" s="120" t="s">
        <v>148</v>
      </c>
      <c r="B6" s="2" t="s">
        <v>133</v>
      </c>
      <c r="C6" s="21">
        <f>_xlfn.IFNA(VLOOKUP(B6,Master!$A$3:$B$21,2,FALSE),0)</f>
        <v>7000</v>
      </c>
      <c r="D6" s="70">
        <v>2</v>
      </c>
      <c r="E6" s="70">
        <f>VLOOKUP($A6,Master!$A$24:$B$37,2,FALSE)</f>
        <v>2</v>
      </c>
      <c r="F6" s="70">
        <f t="shared" si="1"/>
        <v>4</v>
      </c>
      <c r="G6" s="121">
        <f t="shared" si="2"/>
        <v>28000</v>
      </c>
    </row>
    <row r="7" spans="1:7" ht="15.5" x14ac:dyDescent="0.35">
      <c r="A7" s="120" t="s">
        <v>148</v>
      </c>
      <c r="B7" s="2" t="s">
        <v>136</v>
      </c>
      <c r="C7" s="21">
        <f>_xlfn.IFNA(VLOOKUP(B7,Master!$A$3:$B$21,2,FALSE),0)</f>
        <v>9200</v>
      </c>
      <c r="D7" s="70">
        <v>1</v>
      </c>
      <c r="E7" s="70">
        <f>VLOOKUP($A7,Master!$A$24:$B$37,2,FALSE)</f>
        <v>2</v>
      </c>
      <c r="F7" s="70">
        <f t="shared" si="1"/>
        <v>2</v>
      </c>
      <c r="G7" s="121">
        <f t="shared" si="2"/>
        <v>18400</v>
      </c>
    </row>
    <row r="8" spans="1:7" ht="15.5" x14ac:dyDescent="0.35">
      <c r="A8" s="120" t="s">
        <v>148</v>
      </c>
      <c r="B8" s="2" t="s">
        <v>135</v>
      </c>
      <c r="C8" s="21">
        <f>_xlfn.IFNA(VLOOKUP(B8,Master!$A$3:$B$21,2,FALSE),0)</f>
        <v>8000</v>
      </c>
      <c r="D8" s="70">
        <v>1</v>
      </c>
      <c r="E8" s="70">
        <f>VLOOKUP($A8,Master!$A$24:$B$37,2,FALSE)</f>
        <v>2</v>
      </c>
      <c r="F8" s="70">
        <f t="shared" si="1"/>
        <v>2</v>
      </c>
      <c r="G8" s="121">
        <f t="shared" si="2"/>
        <v>16000</v>
      </c>
    </row>
    <row r="9" spans="1:7" ht="15.5" x14ac:dyDescent="0.35">
      <c r="A9" s="120" t="s">
        <v>148</v>
      </c>
      <c r="B9" s="2" t="s">
        <v>71</v>
      </c>
      <c r="C9" s="21">
        <f>_xlfn.IFNA(VLOOKUP(B9,Master!$A$3:$B$21,2,FALSE),0)</f>
        <v>16000</v>
      </c>
      <c r="D9" s="70">
        <v>1</v>
      </c>
      <c r="E9" s="70">
        <f>VLOOKUP($A9,Master!$A$24:$B$37,2,FALSE)</f>
        <v>2</v>
      </c>
      <c r="F9" s="70">
        <f t="shared" ref="F9:F10" si="3">D9*E9</f>
        <v>2</v>
      </c>
      <c r="G9" s="121">
        <f t="shared" ref="G9:G10" si="4">F9*$C9</f>
        <v>32000</v>
      </c>
    </row>
    <row r="10" spans="1:7" ht="15.5" x14ac:dyDescent="0.35">
      <c r="A10" s="120" t="s">
        <v>148</v>
      </c>
      <c r="B10" s="141" t="s">
        <v>75</v>
      </c>
      <c r="C10" s="21">
        <f>_xlfn.IFNA(VLOOKUP(B10,Master!$A$3:$B$21,2,FALSE),0)</f>
        <v>41000</v>
      </c>
      <c r="D10" s="70">
        <v>1</v>
      </c>
      <c r="E10" s="70">
        <f>VLOOKUP($A10,Master!$A$24:$B$37,2,FALSE)</f>
        <v>2</v>
      </c>
      <c r="F10" s="70">
        <f t="shared" si="3"/>
        <v>2</v>
      </c>
      <c r="G10" s="121">
        <f t="shared" si="4"/>
        <v>82000</v>
      </c>
    </row>
    <row r="11" spans="1:7" ht="16" thickBot="1" x14ac:dyDescent="0.4">
      <c r="A11" s="122" t="s">
        <v>148</v>
      </c>
      <c r="B11" s="123" t="s">
        <v>72</v>
      </c>
      <c r="C11" s="124">
        <f>_xlfn.IFNA(VLOOKUP(B11,Master!$A$3:$B$21,2,FALSE),0)</f>
        <v>65000</v>
      </c>
      <c r="D11" s="125">
        <v>1</v>
      </c>
      <c r="E11" s="125">
        <f>VLOOKUP($A11,Master!$A$24:$B$37,2,FALSE)</f>
        <v>2</v>
      </c>
      <c r="F11" s="125">
        <f t="shared" ref="F11" si="5">D11*E11</f>
        <v>2</v>
      </c>
      <c r="G11" s="126">
        <f t="shared" ref="G11" si="6">F11*$C11</f>
        <v>130000</v>
      </c>
    </row>
    <row r="12" spans="1:7" ht="15.5" x14ac:dyDescent="0.35">
      <c r="A12" s="115" t="s">
        <v>149</v>
      </c>
      <c r="B12" s="116" t="s">
        <v>2</v>
      </c>
      <c r="C12" s="117">
        <f>_xlfn.IFNA(VLOOKUP(B12,Master!$A$3:$B$21,2,FALSE),0)</f>
        <v>27000</v>
      </c>
      <c r="D12" s="118">
        <v>1</v>
      </c>
      <c r="E12" s="118">
        <f>VLOOKUP($A12,Master!$A$24:$B$37,2,FALSE)</f>
        <v>2</v>
      </c>
      <c r="F12" s="118">
        <f t="shared" si="1"/>
        <v>2</v>
      </c>
      <c r="G12" s="119">
        <f t="shared" si="2"/>
        <v>54000</v>
      </c>
    </row>
    <row r="13" spans="1:7" ht="15.5" x14ac:dyDescent="0.35">
      <c r="A13" s="120" t="s">
        <v>149</v>
      </c>
      <c r="B13" s="2" t="s">
        <v>136</v>
      </c>
      <c r="C13" s="21">
        <f>_xlfn.IFNA(VLOOKUP(B13,Master!$A$3:$B$21,2,FALSE),0)</f>
        <v>9200</v>
      </c>
      <c r="D13" s="70">
        <v>1</v>
      </c>
      <c r="E13" s="70">
        <f>VLOOKUP($A13,Master!$A$24:$B$37,2,FALSE)</f>
        <v>2</v>
      </c>
      <c r="F13" s="70">
        <f t="shared" si="1"/>
        <v>2</v>
      </c>
      <c r="G13" s="121">
        <f t="shared" si="2"/>
        <v>18400</v>
      </c>
    </row>
    <row r="14" spans="1:7" ht="15.5" x14ac:dyDescent="0.35">
      <c r="A14" s="120" t="s">
        <v>149</v>
      </c>
      <c r="B14" s="2" t="s">
        <v>135</v>
      </c>
      <c r="C14" s="21">
        <f>_xlfn.IFNA(VLOOKUP(B14,Master!$A$3:$B$21,2,FALSE),0)</f>
        <v>8000</v>
      </c>
      <c r="D14" s="70">
        <v>1</v>
      </c>
      <c r="E14" s="70">
        <f>VLOOKUP($A14,Master!$A$24:$B$37,2,FALSE)</f>
        <v>2</v>
      </c>
      <c r="F14" s="70">
        <f t="shared" si="1"/>
        <v>2</v>
      </c>
      <c r="G14" s="121">
        <f t="shared" si="2"/>
        <v>16000</v>
      </c>
    </row>
    <row r="15" spans="1:7" ht="16" thickBot="1" x14ac:dyDescent="0.4">
      <c r="A15" s="120" t="s">
        <v>149</v>
      </c>
      <c r="B15" s="2" t="s">
        <v>71</v>
      </c>
      <c r="C15" s="21">
        <f>_xlfn.IFNA(VLOOKUP(B15,Master!$A$3:$B$21,2,FALSE),0)</f>
        <v>16000</v>
      </c>
      <c r="D15" s="70">
        <v>1</v>
      </c>
      <c r="E15" s="70">
        <f>VLOOKUP($A15,Master!$A$24:$B$37,2,FALSE)</f>
        <v>2</v>
      </c>
      <c r="F15" s="70">
        <f t="shared" si="1"/>
        <v>2</v>
      </c>
      <c r="G15" s="121">
        <f t="shared" si="2"/>
        <v>32000</v>
      </c>
    </row>
    <row r="16" spans="1:7" ht="15.5" x14ac:dyDescent="0.35">
      <c r="A16" s="115" t="s">
        <v>146</v>
      </c>
      <c r="B16" s="116" t="s">
        <v>2</v>
      </c>
      <c r="C16" s="117">
        <f>_xlfn.IFNA(VLOOKUP(B16,Master!$A$3:$B$21,2,FALSE),0)</f>
        <v>27000</v>
      </c>
      <c r="D16" s="118">
        <v>1</v>
      </c>
      <c r="E16" s="118">
        <f>VLOOKUP($A16,Master!$A$24:$B$37,2,FALSE)</f>
        <v>3</v>
      </c>
      <c r="F16" s="118">
        <f t="shared" si="1"/>
        <v>3</v>
      </c>
      <c r="G16" s="119">
        <f t="shared" si="2"/>
        <v>81000</v>
      </c>
    </row>
    <row r="17" spans="1:8" ht="15.5" x14ac:dyDescent="0.35">
      <c r="A17" s="120" t="s">
        <v>146</v>
      </c>
      <c r="B17" s="2" t="s">
        <v>134</v>
      </c>
      <c r="C17" s="21">
        <f>_xlfn.IFNA(VLOOKUP(B17,Master!$A$3:$B$21,2,FALSE),0)</f>
        <v>114500</v>
      </c>
      <c r="D17" s="70">
        <v>1</v>
      </c>
      <c r="E17" s="70">
        <f>VLOOKUP($A17,Master!$A$24:$B$37,2,FALSE)</f>
        <v>3</v>
      </c>
      <c r="F17" s="70">
        <f t="shared" si="0"/>
        <v>3</v>
      </c>
      <c r="G17" s="121">
        <f t="shared" ref="G17:G25" si="7">F17*$C17</f>
        <v>343500</v>
      </c>
    </row>
    <row r="18" spans="1:8" ht="15.5" x14ac:dyDescent="0.35">
      <c r="A18" s="120" t="s">
        <v>146</v>
      </c>
      <c r="B18" s="2" t="s">
        <v>133</v>
      </c>
      <c r="C18" s="21">
        <f>_xlfn.IFNA(VLOOKUP(B18,Master!$A$3:$B$21,2,FALSE),0)</f>
        <v>7000</v>
      </c>
      <c r="D18" s="70">
        <v>5</v>
      </c>
      <c r="E18" s="70">
        <f>VLOOKUP($A18,Master!$A$24:$B$37,2,FALSE)</f>
        <v>3</v>
      </c>
      <c r="F18" s="70">
        <f t="shared" si="0"/>
        <v>15</v>
      </c>
      <c r="G18" s="121">
        <f t="shared" si="7"/>
        <v>105000</v>
      </c>
    </row>
    <row r="19" spans="1:8" ht="15.5" x14ac:dyDescent="0.35">
      <c r="A19" s="120" t="s">
        <v>146</v>
      </c>
      <c r="B19" s="2" t="s">
        <v>135</v>
      </c>
      <c r="C19" s="21">
        <f>_xlfn.IFNA(VLOOKUP(B19,Master!$A$3:$B$21,2,FALSE),0)</f>
        <v>8000</v>
      </c>
      <c r="D19" s="70">
        <v>1</v>
      </c>
      <c r="E19" s="70">
        <f>VLOOKUP($A19,Master!$A$24:$B$37,2,FALSE)</f>
        <v>3</v>
      </c>
      <c r="F19" s="70">
        <f t="shared" si="0"/>
        <v>3</v>
      </c>
      <c r="G19" s="121">
        <f t="shared" si="7"/>
        <v>24000</v>
      </c>
    </row>
    <row r="20" spans="1:8" ht="16" thickBot="1" x14ac:dyDescent="0.4">
      <c r="A20" s="122" t="s">
        <v>146</v>
      </c>
      <c r="B20" s="123" t="s">
        <v>71</v>
      </c>
      <c r="C20" s="124">
        <f>_xlfn.IFNA(VLOOKUP(B20,Master!$A$3:$B$21,2,FALSE),0)</f>
        <v>16000</v>
      </c>
      <c r="D20" s="125">
        <v>1</v>
      </c>
      <c r="E20" s="125">
        <f>VLOOKUP($A20,Master!$A$24:$B$37,2,FALSE)</f>
        <v>3</v>
      </c>
      <c r="F20" s="125">
        <f t="shared" si="0"/>
        <v>3</v>
      </c>
      <c r="G20" s="126">
        <f t="shared" si="7"/>
        <v>48000</v>
      </c>
    </row>
    <row r="21" spans="1:8" ht="15.5" x14ac:dyDescent="0.35">
      <c r="A21" s="115" t="s">
        <v>147</v>
      </c>
      <c r="B21" s="116" t="s">
        <v>2</v>
      </c>
      <c r="C21" s="117">
        <f>_xlfn.IFNA(VLOOKUP(B21,Master!$A$3:$B$21,2,FALSE),0)</f>
        <v>27000</v>
      </c>
      <c r="D21" s="118">
        <v>1</v>
      </c>
      <c r="E21" s="118">
        <f>VLOOKUP($A21,Master!$A$24:$B$37,2,FALSE)</f>
        <v>3</v>
      </c>
      <c r="F21" s="118">
        <f t="shared" si="0"/>
        <v>3</v>
      </c>
      <c r="G21" s="119">
        <f t="shared" si="7"/>
        <v>81000</v>
      </c>
    </row>
    <row r="22" spans="1:8" ht="15.5" x14ac:dyDescent="0.35">
      <c r="A22" s="120" t="s">
        <v>147</v>
      </c>
      <c r="B22" s="2" t="s">
        <v>134</v>
      </c>
      <c r="C22" s="21">
        <f>_xlfn.IFNA(VLOOKUP(B22,Master!$A$3:$B$21,2,FALSE),0)</f>
        <v>114500</v>
      </c>
      <c r="D22" s="70">
        <v>1</v>
      </c>
      <c r="E22" s="70">
        <f>VLOOKUP($A22,Master!$A$24:$B$37,2,FALSE)</f>
        <v>3</v>
      </c>
      <c r="F22" s="70">
        <f t="shared" ref="F22:F23" si="8">D22*E22</f>
        <v>3</v>
      </c>
      <c r="G22" s="121">
        <f t="shared" si="7"/>
        <v>343500</v>
      </c>
    </row>
    <row r="23" spans="1:8" ht="15.5" x14ac:dyDescent="0.35">
      <c r="A23" s="120" t="s">
        <v>147</v>
      </c>
      <c r="B23" s="2" t="s">
        <v>133</v>
      </c>
      <c r="C23" s="21">
        <f>_xlfn.IFNA(VLOOKUP(B23,Master!$A$3:$B$21,2,FALSE),0)</f>
        <v>7000</v>
      </c>
      <c r="D23" s="70">
        <v>2</v>
      </c>
      <c r="E23" s="70">
        <f>VLOOKUP($A23,Master!$A$24:$B$37,2,FALSE)</f>
        <v>3</v>
      </c>
      <c r="F23" s="70">
        <f t="shared" si="8"/>
        <v>6</v>
      </c>
      <c r="G23" s="121">
        <f t="shared" si="7"/>
        <v>42000</v>
      </c>
      <c r="H23" t="s">
        <v>175</v>
      </c>
    </row>
    <row r="24" spans="1:8" ht="15.5" x14ac:dyDescent="0.35">
      <c r="A24" s="120" t="s">
        <v>147</v>
      </c>
      <c r="B24" s="2" t="s">
        <v>193</v>
      </c>
      <c r="C24" s="21">
        <f>_xlfn.IFNA(VLOOKUP(B24,Master!$A$3:$B$21,2,FALSE),0)</f>
        <v>100000</v>
      </c>
      <c r="D24" s="70">
        <v>1</v>
      </c>
      <c r="E24" s="70">
        <f>VLOOKUP($A24,Master!$A$24:$B$37,2,FALSE)</f>
        <v>3</v>
      </c>
      <c r="F24" s="70">
        <f t="shared" si="0"/>
        <v>3</v>
      </c>
      <c r="G24" s="121">
        <f t="shared" si="7"/>
        <v>300000</v>
      </c>
    </row>
    <row r="25" spans="1:8" ht="15.5" x14ac:dyDescent="0.35">
      <c r="A25" s="120" t="s">
        <v>147</v>
      </c>
      <c r="B25" s="2" t="s">
        <v>135</v>
      </c>
      <c r="C25" s="21">
        <f>_xlfn.IFNA(VLOOKUP(B25,Master!$A$3:$B$21,2,FALSE),0)</f>
        <v>8000</v>
      </c>
      <c r="D25" s="70">
        <v>1</v>
      </c>
      <c r="E25" s="70">
        <f>VLOOKUP($A25,Master!$A$24:$B$37,2,FALSE)</f>
        <v>3</v>
      </c>
      <c r="F25" s="70">
        <f>D25*E25</f>
        <v>3</v>
      </c>
      <c r="G25" s="121">
        <f t="shared" si="7"/>
        <v>24000</v>
      </c>
    </row>
    <row r="26" spans="1:8" ht="16" thickBot="1" x14ac:dyDescent="0.4">
      <c r="A26" s="122" t="s">
        <v>147</v>
      </c>
      <c r="B26" s="123" t="s">
        <v>71</v>
      </c>
      <c r="C26" s="124">
        <f>_xlfn.IFNA(VLOOKUP(B26,Master!$A$3:$B$21,2,FALSE),0)</f>
        <v>16000</v>
      </c>
      <c r="D26" s="125">
        <v>1</v>
      </c>
      <c r="E26" s="125">
        <f>VLOOKUP($A26,Master!$A$24:$B$37,2,FALSE)</f>
        <v>3</v>
      </c>
      <c r="F26" s="125">
        <f t="shared" ref="F26" si="9">D26*E26</f>
        <v>3</v>
      </c>
      <c r="G26" s="126">
        <f t="shared" ref="G26" si="10">F26*$C26</f>
        <v>48000</v>
      </c>
    </row>
    <row r="27" spans="1:8" ht="15.5" x14ac:dyDescent="0.35">
      <c r="A27" s="115" t="s">
        <v>150</v>
      </c>
      <c r="B27" s="116" t="s">
        <v>2</v>
      </c>
      <c r="C27" s="117">
        <f>_xlfn.IFNA(VLOOKUP(B27,Master!$A$3:$B$21,2,FALSE),0)</f>
        <v>27000</v>
      </c>
      <c r="D27" s="118">
        <v>1</v>
      </c>
      <c r="E27" s="118">
        <f>VLOOKUP($A27,Master!$A$24:$B$37,2,FALSE)</f>
        <v>3</v>
      </c>
      <c r="F27" s="118">
        <f t="shared" ref="F27:F42" si="11">D27*E27</f>
        <v>3</v>
      </c>
      <c r="G27" s="119">
        <f t="shared" ref="G27:G35" si="12">F27*$C27</f>
        <v>81000</v>
      </c>
    </row>
    <row r="28" spans="1:8" ht="15.5" x14ac:dyDescent="0.35">
      <c r="A28" s="120" t="s">
        <v>150</v>
      </c>
      <c r="B28" s="2" t="s">
        <v>134</v>
      </c>
      <c r="C28" s="21">
        <f>_xlfn.IFNA(VLOOKUP(B28,Master!$A$3:$B$21,2,FALSE),0)</f>
        <v>114500</v>
      </c>
      <c r="D28" s="70">
        <v>1</v>
      </c>
      <c r="E28" s="70">
        <f>VLOOKUP($A28,Master!$A$24:$B$37,2,FALSE)</f>
        <v>3</v>
      </c>
      <c r="F28" s="70">
        <f t="shared" si="11"/>
        <v>3</v>
      </c>
      <c r="G28" s="121">
        <f t="shared" si="12"/>
        <v>343500</v>
      </c>
    </row>
    <row r="29" spans="1:8" ht="15.5" x14ac:dyDescent="0.35">
      <c r="A29" s="120" t="s">
        <v>150</v>
      </c>
      <c r="B29" s="2" t="s">
        <v>133</v>
      </c>
      <c r="C29" s="21">
        <f>_xlfn.IFNA(VLOOKUP(B29,Master!$A$3:$B$21,2,FALSE),0)</f>
        <v>7000</v>
      </c>
      <c r="D29" s="70">
        <v>2</v>
      </c>
      <c r="E29" s="70">
        <f>VLOOKUP($A29,Master!$A$24:$B$37,2,FALSE)</f>
        <v>3</v>
      </c>
      <c r="F29" s="70">
        <f t="shared" si="11"/>
        <v>6</v>
      </c>
      <c r="G29" s="121">
        <f t="shared" si="12"/>
        <v>42000</v>
      </c>
    </row>
    <row r="30" spans="1:8" ht="15.5" x14ac:dyDescent="0.35">
      <c r="A30" s="120" t="s">
        <v>150</v>
      </c>
      <c r="B30" s="2" t="s">
        <v>193</v>
      </c>
      <c r="C30" s="21">
        <f>_xlfn.IFNA(VLOOKUP(B30,Master!$A$3:$B$21,2,FALSE),0)</f>
        <v>100000</v>
      </c>
      <c r="D30" s="70">
        <v>1</v>
      </c>
      <c r="E30" s="70">
        <f>VLOOKUP($A30,Master!$A$24:$B$37,2,FALSE)</f>
        <v>3</v>
      </c>
      <c r="F30" s="70">
        <f t="shared" si="11"/>
        <v>3</v>
      </c>
      <c r="G30" s="121">
        <f t="shared" si="12"/>
        <v>300000</v>
      </c>
    </row>
    <row r="31" spans="1:8" ht="16" thickBot="1" x14ac:dyDescent="0.4">
      <c r="A31" s="122" t="s">
        <v>150</v>
      </c>
      <c r="B31" s="123" t="s">
        <v>71</v>
      </c>
      <c r="C31" s="124">
        <f>_xlfn.IFNA(VLOOKUP(B31,Master!$A$3:$B$21,2,FALSE),0)</f>
        <v>16000</v>
      </c>
      <c r="D31" s="125">
        <v>1</v>
      </c>
      <c r="E31" s="125">
        <f>VLOOKUP($A31,Master!$A$24:$B$37,2,FALSE)</f>
        <v>3</v>
      </c>
      <c r="F31" s="125">
        <f t="shared" si="11"/>
        <v>3</v>
      </c>
      <c r="G31" s="126">
        <f t="shared" si="12"/>
        <v>48000</v>
      </c>
    </row>
    <row r="32" spans="1:8" ht="15.5" x14ac:dyDescent="0.35">
      <c r="A32" s="115" t="s">
        <v>151</v>
      </c>
      <c r="B32" s="116" t="s">
        <v>2</v>
      </c>
      <c r="C32" s="117">
        <f>_xlfn.IFNA(VLOOKUP(B32,Master!$A$3:$B$21,2,FALSE),0)</f>
        <v>27000</v>
      </c>
      <c r="D32" s="118">
        <v>1</v>
      </c>
      <c r="E32" s="118">
        <f>VLOOKUP($A32,Master!$A$24:$B$37,2,FALSE)</f>
        <v>3</v>
      </c>
      <c r="F32" s="118">
        <f t="shared" si="11"/>
        <v>3</v>
      </c>
      <c r="G32" s="119">
        <f t="shared" si="12"/>
        <v>81000</v>
      </c>
    </row>
    <row r="33" spans="1:7" ht="15.5" x14ac:dyDescent="0.35">
      <c r="A33" s="120" t="s">
        <v>151</v>
      </c>
      <c r="B33" s="2" t="s">
        <v>134</v>
      </c>
      <c r="C33" s="21">
        <f>_xlfn.IFNA(VLOOKUP(B33,Master!$A$3:$B$21,2,FALSE),0)</f>
        <v>114500</v>
      </c>
      <c r="D33" s="70">
        <v>1</v>
      </c>
      <c r="E33" s="70">
        <f>VLOOKUP($A33,Master!$A$24:$B$37,2,FALSE)</f>
        <v>3</v>
      </c>
      <c r="F33" s="70">
        <f t="shared" si="11"/>
        <v>3</v>
      </c>
      <c r="G33" s="121">
        <f t="shared" si="12"/>
        <v>343500</v>
      </c>
    </row>
    <row r="34" spans="1:7" ht="15.5" x14ac:dyDescent="0.35">
      <c r="A34" s="120" t="s">
        <v>151</v>
      </c>
      <c r="B34" s="2" t="s">
        <v>133</v>
      </c>
      <c r="C34" s="21">
        <f>_xlfn.IFNA(VLOOKUP(B34,Master!$A$3:$B$21,2,FALSE),0)</f>
        <v>7000</v>
      </c>
      <c r="D34" s="70">
        <v>5</v>
      </c>
      <c r="E34" s="70">
        <f>VLOOKUP($A34,Master!$A$24:$B$37,2,FALSE)</f>
        <v>3</v>
      </c>
      <c r="F34" s="70">
        <f t="shared" si="11"/>
        <v>15</v>
      </c>
      <c r="G34" s="121">
        <f t="shared" si="12"/>
        <v>105000</v>
      </c>
    </row>
    <row r="35" spans="1:7" ht="15.5" x14ac:dyDescent="0.35">
      <c r="A35" s="120" t="s">
        <v>151</v>
      </c>
      <c r="B35" s="2" t="s">
        <v>135</v>
      </c>
      <c r="C35" s="21">
        <f>_xlfn.IFNA(VLOOKUP(B35,Master!$A$3:$B$21,2,FALSE),0)</f>
        <v>8000</v>
      </c>
      <c r="D35" s="70">
        <v>1</v>
      </c>
      <c r="E35" s="70">
        <f>VLOOKUP($A35,Master!$A$24:$B$37,2,FALSE)</f>
        <v>3</v>
      </c>
      <c r="F35" s="70">
        <f t="shared" si="11"/>
        <v>3</v>
      </c>
      <c r="G35" s="121">
        <f t="shared" si="12"/>
        <v>24000</v>
      </c>
    </row>
    <row r="36" spans="1:7" ht="16" thickBot="1" x14ac:dyDescent="0.4">
      <c r="A36" s="122" t="s">
        <v>151</v>
      </c>
      <c r="B36" s="123" t="s">
        <v>71</v>
      </c>
      <c r="C36" s="124">
        <f>_xlfn.IFNA(VLOOKUP(B36,Master!$A$3:$B$21,2,FALSE),0)</f>
        <v>16000</v>
      </c>
      <c r="D36" s="125">
        <v>1</v>
      </c>
      <c r="E36" s="125">
        <f>VLOOKUP($A36,Master!$A$24:$B$37,2,FALSE)</f>
        <v>3</v>
      </c>
      <c r="F36" s="125">
        <f t="shared" ref="F36" si="13">D36*E36</f>
        <v>3</v>
      </c>
      <c r="G36" s="126">
        <f t="shared" ref="G36" si="14">F36*$C36</f>
        <v>48000</v>
      </c>
    </row>
    <row r="37" spans="1:7" ht="15.5" x14ac:dyDescent="0.35">
      <c r="A37" s="115" t="s">
        <v>152</v>
      </c>
      <c r="B37" s="116" t="s">
        <v>2</v>
      </c>
      <c r="C37" s="117">
        <f>_xlfn.IFNA(VLOOKUP(B37,Master!$A$3:$B$21,2,FALSE),0)</f>
        <v>27000</v>
      </c>
      <c r="D37" s="118">
        <v>1</v>
      </c>
      <c r="E37" s="118">
        <f>VLOOKUP($A37,Master!$A$24:$B$37,2,FALSE)</f>
        <v>2</v>
      </c>
      <c r="F37" s="118">
        <f t="shared" ref="F37" si="15">D37*E37</f>
        <v>2</v>
      </c>
      <c r="G37" s="119">
        <f t="shared" ref="G37" si="16">F37*$C37</f>
        <v>54000</v>
      </c>
    </row>
    <row r="38" spans="1:7" ht="15.5" x14ac:dyDescent="0.35">
      <c r="A38" s="120" t="s">
        <v>152</v>
      </c>
      <c r="B38" s="2" t="s">
        <v>134</v>
      </c>
      <c r="C38" s="21">
        <f>_xlfn.IFNA(VLOOKUP(B38,Master!$A$3:$B$21,2,FALSE),0)</f>
        <v>114500</v>
      </c>
      <c r="D38" s="70">
        <v>1</v>
      </c>
      <c r="E38" s="70">
        <f>VLOOKUP($A38,Master!$A$24:$B$37,2,FALSE)</f>
        <v>2</v>
      </c>
      <c r="F38" s="70">
        <f t="shared" si="11"/>
        <v>2</v>
      </c>
      <c r="G38" s="121">
        <f t="shared" ref="G38:G46" si="17">F38*$C38</f>
        <v>229000</v>
      </c>
    </row>
    <row r="39" spans="1:7" ht="15.5" x14ac:dyDescent="0.35">
      <c r="A39" s="120" t="s">
        <v>152</v>
      </c>
      <c r="B39" s="2" t="s">
        <v>133</v>
      </c>
      <c r="C39" s="21">
        <f>_xlfn.IFNA(VLOOKUP(B39,Master!$A$3:$B$21,2,FALSE),0)</f>
        <v>7000</v>
      </c>
      <c r="D39" s="70">
        <v>2</v>
      </c>
      <c r="E39" s="70">
        <f>VLOOKUP($A39,Master!$A$24:$B$37,2,FALSE)</f>
        <v>2</v>
      </c>
      <c r="F39" s="70">
        <f t="shared" si="11"/>
        <v>4</v>
      </c>
      <c r="G39" s="121">
        <f t="shared" si="17"/>
        <v>28000</v>
      </c>
    </row>
    <row r="40" spans="1:7" ht="15.5" x14ac:dyDescent="0.35">
      <c r="A40" s="120" t="s">
        <v>152</v>
      </c>
      <c r="B40" s="2" t="s">
        <v>135</v>
      </c>
      <c r="C40" s="21">
        <f>_xlfn.IFNA(VLOOKUP(B40,Master!$A$3:$B$21,2,FALSE),0)</f>
        <v>8000</v>
      </c>
      <c r="D40" s="70">
        <v>1</v>
      </c>
      <c r="E40" s="70">
        <f>VLOOKUP($A40,Master!$A$24:$B$37,2,FALSE)</f>
        <v>2</v>
      </c>
      <c r="F40" s="70">
        <f t="shared" si="11"/>
        <v>2</v>
      </c>
      <c r="G40" s="121">
        <f t="shared" si="17"/>
        <v>16000</v>
      </c>
    </row>
    <row r="41" spans="1:7" ht="16" thickBot="1" x14ac:dyDescent="0.4">
      <c r="A41" s="122" t="s">
        <v>152</v>
      </c>
      <c r="B41" s="123" t="s">
        <v>71</v>
      </c>
      <c r="C41" s="124">
        <f>_xlfn.IFNA(VLOOKUP(B41,Master!$A$3:$B$21,2,FALSE),0)</f>
        <v>16000</v>
      </c>
      <c r="D41" s="125">
        <v>1</v>
      </c>
      <c r="E41" s="125">
        <f>VLOOKUP($A41,Master!$A$24:$B$37,2,FALSE)</f>
        <v>2</v>
      </c>
      <c r="F41" s="125">
        <f t="shared" si="11"/>
        <v>2</v>
      </c>
      <c r="G41" s="126">
        <f t="shared" si="17"/>
        <v>32000</v>
      </c>
    </row>
    <row r="42" spans="1:7" ht="15.5" x14ac:dyDescent="0.35">
      <c r="A42" s="115" t="s">
        <v>153</v>
      </c>
      <c r="B42" s="116" t="s">
        <v>2</v>
      </c>
      <c r="C42" s="117">
        <f>_xlfn.IFNA(VLOOKUP(B42,Master!$A$3:$B$21,2,FALSE),0)</f>
        <v>27000</v>
      </c>
      <c r="D42" s="118">
        <v>1</v>
      </c>
      <c r="E42" s="118">
        <f>VLOOKUP($A42,Master!$A$24:$B$37,2,FALSE)</f>
        <v>2</v>
      </c>
      <c r="F42" s="118">
        <f t="shared" si="11"/>
        <v>2</v>
      </c>
      <c r="G42" s="119">
        <f t="shared" si="17"/>
        <v>54000</v>
      </c>
    </row>
    <row r="43" spans="1:7" ht="15.5" x14ac:dyDescent="0.35">
      <c r="A43" s="120" t="s">
        <v>153</v>
      </c>
      <c r="B43" s="2" t="s">
        <v>134</v>
      </c>
      <c r="C43" s="21">
        <f>_xlfn.IFNA(VLOOKUP(B43,Master!$A$3:$B$21,2,FALSE),0)</f>
        <v>114500</v>
      </c>
      <c r="D43" s="70">
        <v>1</v>
      </c>
      <c r="E43" s="70">
        <f>VLOOKUP($A43,Master!$A$24:$B$37,2,FALSE)</f>
        <v>2</v>
      </c>
      <c r="F43" s="70">
        <f t="shared" ref="F43:F46" si="18">D43*E43</f>
        <v>2</v>
      </c>
      <c r="G43" s="121">
        <f t="shared" si="17"/>
        <v>229000</v>
      </c>
    </row>
    <row r="44" spans="1:7" ht="15.5" x14ac:dyDescent="0.35">
      <c r="A44" s="120" t="s">
        <v>153</v>
      </c>
      <c r="B44" s="2" t="s">
        <v>133</v>
      </c>
      <c r="C44" s="21">
        <f>_xlfn.IFNA(VLOOKUP(B44,Master!$A$3:$B$21,2,FALSE),0)</f>
        <v>7000</v>
      </c>
      <c r="D44" s="70">
        <v>2</v>
      </c>
      <c r="E44" s="70">
        <f>VLOOKUP($A44,Master!$A$24:$B$37,2,FALSE)</f>
        <v>2</v>
      </c>
      <c r="F44" s="70">
        <f t="shared" si="18"/>
        <v>4</v>
      </c>
      <c r="G44" s="121">
        <f t="shared" si="17"/>
        <v>28000</v>
      </c>
    </row>
    <row r="45" spans="1:7" ht="16" thickBot="1" x14ac:dyDescent="0.4">
      <c r="A45" s="122" t="s">
        <v>153</v>
      </c>
      <c r="B45" s="123" t="s">
        <v>71</v>
      </c>
      <c r="C45" s="124">
        <f>_xlfn.IFNA(VLOOKUP(B45,Master!$A$3:$B$21,2,FALSE),0)</f>
        <v>16000</v>
      </c>
      <c r="D45" s="125">
        <v>1</v>
      </c>
      <c r="E45" s="125">
        <f>VLOOKUP($A45,Master!$A$24:$B$37,2,FALSE)</f>
        <v>2</v>
      </c>
      <c r="F45" s="125">
        <f t="shared" si="18"/>
        <v>2</v>
      </c>
      <c r="G45" s="126">
        <f t="shared" si="17"/>
        <v>32000</v>
      </c>
    </row>
    <row r="46" spans="1:7" ht="15.5" x14ac:dyDescent="0.35">
      <c r="A46" s="115" t="s">
        <v>154</v>
      </c>
      <c r="B46" s="116" t="s">
        <v>2</v>
      </c>
      <c r="C46" s="117">
        <f>_xlfn.IFNA(VLOOKUP(B46,Master!$A$3:$B$21,2,FALSE),0)</f>
        <v>27000</v>
      </c>
      <c r="D46" s="118">
        <v>1</v>
      </c>
      <c r="E46" s="118">
        <f>VLOOKUP($A46,Master!$A$24:$B$37,2,FALSE)</f>
        <v>2</v>
      </c>
      <c r="F46" s="118">
        <f t="shared" si="18"/>
        <v>2</v>
      </c>
      <c r="G46" s="119">
        <f t="shared" si="17"/>
        <v>54000</v>
      </c>
    </row>
    <row r="47" spans="1:7" ht="15.5" x14ac:dyDescent="0.35">
      <c r="A47" s="120" t="s">
        <v>154</v>
      </c>
      <c r="B47" s="2" t="s">
        <v>134</v>
      </c>
      <c r="C47" s="21">
        <f>_xlfn.IFNA(VLOOKUP(B47,Master!$A$3:$B$21,2,FALSE),0)</f>
        <v>114500</v>
      </c>
      <c r="D47" s="70">
        <v>1</v>
      </c>
      <c r="E47" s="70">
        <f>VLOOKUP($A47,Master!$A$24:$B$37,2,FALSE)</f>
        <v>2</v>
      </c>
      <c r="F47" s="70">
        <f t="shared" ref="F47:F52" si="19">D47*E47</f>
        <v>2</v>
      </c>
      <c r="G47" s="121">
        <f t="shared" ref="G47:G52" si="20">F47*$C47</f>
        <v>229000</v>
      </c>
    </row>
    <row r="48" spans="1:7" ht="15.5" x14ac:dyDescent="0.35">
      <c r="A48" s="120" t="s">
        <v>154</v>
      </c>
      <c r="B48" s="2" t="s">
        <v>133</v>
      </c>
      <c r="C48" s="21">
        <f>_xlfn.IFNA(VLOOKUP(B48,Master!$A$3:$B$21,2,FALSE),0)</f>
        <v>7000</v>
      </c>
      <c r="D48" s="70">
        <v>2</v>
      </c>
      <c r="E48" s="70">
        <f>VLOOKUP($A48,Master!$A$24:$B$37,2,FALSE)</f>
        <v>2</v>
      </c>
      <c r="F48" s="70">
        <f t="shared" si="19"/>
        <v>4</v>
      </c>
      <c r="G48" s="121">
        <f t="shared" si="20"/>
        <v>28000</v>
      </c>
    </row>
    <row r="49" spans="1:7" ht="16" thickBot="1" x14ac:dyDescent="0.4">
      <c r="A49" s="122" t="s">
        <v>154</v>
      </c>
      <c r="B49" s="123" t="s">
        <v>71</v>
      </c>
      <c r="C49" s="124">
        <f>_xlfn.IFNA(VLOOKUP(B49,Master!$A$3:$B$21,2,FALSE),0)</f>
        <v>16000</v>
      </c>
      <c r="D49" s="125">
        <v>1</v>
      </c>
      <c r="E49" s="125">
        <f>VLOOKUP($A49,Master!$A$24:$B$37,2,FALSE)</f>
        <v>2</v>
      </c>
      <c r="F49" s="125">
        <f t="shared" si="19"/>
        <v>2</v>
      </c>
      <c r="G49" s="126">
        <f t="shared" si="20"/>
        <v>32000</v>
      </c>
    </row>
    <row r="50" spans="1:7" ht="15.5" x14ac:dyDescent="0.35">
      <c r="A50" s="115" t="s">
        <v>192</v>
      </c>
      <c r="B50" s="116" t="s">
        <v>2</v>
      </c>
      <c r="C50" s="117">
        <f>_xlfn.IFNA(VLOOKUP(B50,Master!$A$3:$B$21,2,FALSE),0)</f>
        <v>27000</v>
      </c>
      <c r="D50" s="118">
        <v>2</v>
      </c>
      <c r="E50" s="118">
        <f>VLOOKUP($A50,Master!$A$24:$B$37,2,FALSE)</f>
        <v>3</v>
      </c>
      <c r="F50" s="118">
        <f t="shared" si="19"/>
        <v>6</v>
      </c>
      <c r="G50" s="119">
        <f t="shared" si="20"/>
        <v>162000</v>
      </c>
    </row>
    <row r="51" spans="1:7" ht="15.5" x14ac:dyDescent="0.35">
      <c r="A51" s="120" t="s">
        <v>192</v>
      </c>
      <c r="B51" s="2" t="s">
        <v>134</v>
      </c>
      <c r="C51" s="21">
        <f>_xlfn.IFNA(VLOOKUP(B51,Master!$A$3:$B$21,2,FALSE),0)</f>
        <v>114500</v>
      </c>
      <c r="D51" s="70">
        <v>1</v>
      </c>
      <c r="E51" s="70">
        <f>VLOOKUP($A51,Master!$A$24:$B$37,2,FALSE)</f>
        <v>3</v>
      </c>
      <c r="F51" s="70">
        <f t="shared" si="19"/>
        <v>3</v>
      </c>
      <c r="G51" s="121">
        <f t="shared" si="20"/>
        <v>343500</v>
      </c>
    </row>
    <row r="52" spans="1:7" ht="15.5" x14ac:dyDescent="0.35">
      <c r="A52" s="120" t="s">
        <v>192</v>
      </c>
      <c r="B52" s="2" t="s">
        <v>133</v>
      </c>
      <c r="C52" s="21">
        <f>_xlfn.IFNA(VLOOKUP(B52,Master!$A$3:$B$21,2,FALSE),0)</f>
        <v>7000</v>
      </c>
      <c r="D52" s="70">
        <v>2</v>
      </c>
      <c r="E52" s="70">
        <f>VLOOKUP($A52,Master!$A$24:$B$37,2,FALSE)</f>
        <v>3</v>
      </c>
      <c r="F52" s="70">
        <f t="shared" si="19"/>
        <v>6</v>
      </c>
      <c r="G52" s="121">
        <f t="shared" si="20"/>
        <v>42000</v>
      </c>
    </row>
    <row r="53" spans="1:7" ht="16" thickBot="1" x14ac:dyDescent="0.4">
      <c r="A53" s="122" t="s">
        <v>192</v>
      </c>
      <c r="B53" s="123" t="s">
        <v>71</v>
      </c>
      <c r="C53" s="124">
        <f>_xlfn.IFNA(VLOOKUP(B53,Master!$A$3:$B$21,2,FALSE),0)</f>
        <v>16000</v>
      </c>
      <c r="D53" s="125">
        <v>1</v>
      </c>
      <c r="E53" s="125">
        <f>VLOOKUP($A53,Master!$A$24:$B$37,2,FALSE)</f>
        <v>3</v>
      </c>
      <c r="F53" s="125">
        <f t="shared" ref="F53:F54" si="21">D53*E53</f>
        <v>3</v>
      </c>
      <c r="G53" s="126">
        <f t="shared" ref="G53:G54" si="22">F53*$C53</f>
        <v>48000</v>
      </c>
    </row>
    <row r="54" spans="1:7" ht="16" thickBot="1" x14ac:dyDescent="0.4">
      <c r="A54" s="142" t="s">
        <v>191</v>
      </c>
      <c r="B54" s="143" t="s">
        <v>189</v>
      </c>
      <c r="C54" s="144">
        <f>_xlfn.IFNA(VLOOKUP(B54,Master!$A$3:$B$21,2,FALSE),0)</f>
        <v>66000</v>
      </c>
      <c r="D54" s="145">
        <v>1</v>
      </c>
      <c r="E54" s="145">
        <f>VLOOKUP($A54,Master!$A$24:$B$37,2,FALSE)</f>
        <v>1</v>
      </c>
      <c r="F54" s="145">
        <f t="shared" si="21"/>
        <v>1</v>
      </c>
      <c r="G54" s="146">
        <f t="shared" si="22"/>
        <v>66000</v>
      </c>
    </row>
    <row r="55" spans="1:7" ht="15.5" x14ac:dyDescent="0.35">
      <c r="A55" s="127"/>
      <c r="B55" s="127"/>
      <c r="C55" s="127"/>
      <c r="D55" s="127"/>
      <c r="E55" s="127"/>
      <c r="F55" s="127"/>
      <c r="G55" s="128">
        <f>SUM(G4:G54)</f>
        <v>5272300</v>
      </c>
    </row>
  </sheetData>
  <autoFilter ref="A3:C55" xr:uid="{BA814D6A-4F79-4B32-A47C-435C29F4DF4D}"/>
  <phoneticPr fontId="15"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0C6EA74-B753-4BCF-93A1-C730985A6328}">
          <x14:formula1>
            <xm:f>Master!$A$24:$A$37</xm:f>
          </x14:formula1>
          <xm:sqref>A4:A54</xm:sqref>
        </x14:dataValidation>
        <x14:dataValidation type="list" allowBlank="1" showInputMessage="1" showErrorMessage="1" xr:uid="{46A5CEF3-63E2-48DC-AA6C-02894D95B7BF}">
          <x14:formula1>
            <xm:f>Master!$A$3:$A$21</xm:f>
          </x14:formula1>
          <xm:sqref>B4:B54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3983C-9A10-4CF1-9660-69B075583600}">
  <sheetPr>
    <tabColor theme="5" tint="0.39997558519241921"/>
  </sheetPr>
  <dimension ref="A2:C37"/>
  <sheetViews>
    <sheetView topLeftCell="A6" zoomScaleNormal="100" workbookViewId="0">
      <selection activeCell="B15" sqref="B15"/>
    </sheetView>
  </sheetViews>
  <sheetFormatPr defaultRowHeight="14.5" x14ac:dyDescent="0.35"/>
  <cols>
    <col min="1" max="1" width="54.36328125" customWidth="1"/>
    <col min="2" max="2" width="43.08984375" customWidth="1"/>
    <col min="3" max="3" width="59.36328125" customWidth="1"/>
    <col min="5" max="5" width="20.54296875" customWidth="1"/>
    <col min="11" max="11" width="30.453125" bestFit="1" customWidth="1"/>
  </cols>
  <sheetData>
    <row r="2" spans="1:3" x14ac:dyDescent="0.35">
      <c r="A2" s="8" t="s">
        <v>22</v>
      </c>
      <c r="B2" s="8" t="s">
        <v>23</v>
      </c>
    </row>
    <row r="3" spans="1:3" ht="15.5" x14ac:dyDescent="0.35">
      <c r="A3" s="2" t="s">
        <v>2</v>
      </c>
      <c r="B3" s="21">
        <v>27000</v>
      </c>
      <c r="C3" s="102" t="s">
        <v>140</v>
      </c>
    </row>
    <row r="4" spans="1:3" ht="15.5" x14ac:dyDescent="0.35">
      <c r="A4" s="2" t="s">
        <v>189</v>
      </c>
      <c r="B4" s="21">
        <v>66000</v>
      </c>
      <c r="C4" s="102" t="s">
        <v>190</v>
      </c>
    </row>
    <row r="5" spans="1:3" ht="15.5" x14ac:dyDescent="0.35">
      <c r="A5" s="2" t="s">
        <v>71</v>
      </c>
      <c r="B5" s="21">
        <v>16000</v>
      </c>
      <c r="C5" t="s">
        <v>141</v>
      </c>
    </row>
    <row r="6" spans="1:3" ht="15.5" x14ac:dyDescent="0.35">
      <c r="A6" s="2" t="s">
        <v>72</v>
      </c>
      <c r="B6" s="21">
        <v>65000</v>
      </c>
      <c r="C6" t="s">
        <v>142</v>
      </c>
    </row>
    <row r="7" spans="1:3" ht="15.5" x14ac:dyDescent="0.35">
      <c r="A7" s="2" t="s">
        <v>133</v>
      </c>
      <c r="B7" s="21">
        <v>7000</v>
      </c>
      <c r="C7" t="s">
        <v>159</v>
      </c>
    </row>
    <row r="8" spans="1:3" ht="15.5" x14ac:dyDescent="0.35">
      <c r="A8" s="2" t="s">
        <v>75</v>
      </c>
      <c r="B8" s="21">
        <v>41000</v>
      </c>
      <c r="C8" s="102" t="s">
        <v>143</v>
      </c>
    </row>
    <row r="9" spans="1:3" ht="15.5" x14ac:dyDescent="0.35">
      <c r="A9" s="2" t="s">
        <v>139</v>
      </c>
      <c r="B9" s="21">
        <v>28000</v>
      </c>
      <c r="C9" t="s">
        <v>144</v>
      </c>
    </row>
    <row r="10" spans="1:3" ht="15.5" x14ac:dyDescent="0.35">
      <c r="A10" s="2" t="s">
        <v>136</v>
      </c>
      <c r="B10" s="21">
        <v>9200</v>
      </c>
      <c r="C10" t="s">
        <v>141</v>
      </c>
    </row>
    <row r="11" spans="1:3" ht="15.5" x14ac:dyDescent="0.35">
      <c r="A11" s="2" t="s">
        <v>135</v>
      </c>
      <c r="B11" s="21">
        <v>8000</v>
      </c>
      <c r="C11" t="s">
        <v>141</v>
      </c>
    </row>
    <row r="12" spans="1:3" ht="15.5" x14ac:dyDescent="0.35">
      <c r="A12" s="2" t="s">
        <v>193</v>
      </c>
      <c r="B12" s="101">
        <v>100000</v>
      </c>
      <c r="C12" s="103" t="s">
        <v>145</v>
      </c>
    </row>
    <row r="13" spans="1:3" ht="15.5" x14ac:dyDescent="0.35">
      <c r="A13" s="2" t="s">
        <v>134</v>
      </c>
      <c r="B13" s="21">
        <v>114500</v>
      </c>
      <c r="C13" t="s">
        <v>176</v>
      </c>
    </row>
    <row r="14" spans="1:3" ht="15.5" x14ac:dyDescent="0.35">
      <c r="A14" s="2" t="s">
        <v>158</v>
      </c>
      <c r="B14" s="21">
        <v>56200</v>
      </c>
      <c r="C14" t="s">
        <v>160</v>
      </c>
    </row>
    <row r="15" spans="1:3" ht="15.5" x14ac:dyDescent="0.35">
      <c r="A15" s="2" t="s">
        <v>205</v>
      </c>
      <c r="B15" s="21">
        <f>2200+1200+1200</f>
        <v>4600</v>
      </c>
    </row>
    <row r="16" spans="1:3" ht="15.5" x14ac:dyDescent="0.35">
      <c r="A16" s="2" t="s">
        <v>206</v>
      </c>
      <c r="B16" s="21">
        <f>2200+1200+1200</f>
        <v>4600</v>
      </c>
    </row>
    <row r="17" spans="1:3" ht="15.5" x14ac:dyDescent="0.35">
      <c r="A17" s="2" t="s">
        <v>207</v>
      </c>
      <c r="B17" s="21">
        <f>2500+1200+1200</f>
        <v>4900</v>
      </c>
    </row>
    <row r="18" spans="1:3" ht="15.5" x14ac:dyDescent="0.35">
      <c r="A18" s="2" t="s">
        <v>208</v>
      </c>
      <c r="B18" s="21">
        <f>5000+4000+1200</f>
        <v>10200</v>
      </c>
    </row>
    <row r="19" spans="1:3" ht="15.5" x14ac:dyDescent="0.35">
      <c r="A19" s="2" t="s">
        <v>198</v>
      </c>
      <c r="B19" s="21">
        <v>4000</v>
      </c>
    </row>
    <row r="20" spans="1:3" ht="15.5" x14ac:dyDescent="0.35">
      <c r="A20" s="2" t="s">
        <v>197</v>
      </c>
      <c r="B20" s="21">
        <v>6000</v>
      </c>
    </row>
    <row r="21" spans="1:3" ht="15.5" x14ac:dyDescent="0.35">
      <c r="A21" s="2" t="s">
        <v>158</v>
      </c>
      <c r="B21" s="21">
        <v>56200</v>
      </c>
      <c r="C21" t="s">
        <v>160</v>
      </c>
    </row>
    <row r="23" spans="1:3" x14ac:dyDescent="0.35">
      <c r="A23" s="7" t="s">
        <v>29</v>
      </c>
      <c r="B23" s="7" t="s">
        <v>138</v>
      </c>
    </row>
    <row r="24" spans="1:3" x14ac:dyDescent="0.35">
      <c r="A24" s="9" t="s">
        <v>148</v>
      </c>
      <c r="B24" s="9">
        <v>2</v>
      </c>
    </row>
    <row r="25" spans="1:3" x14ac:dyDescent="0.35">
      <c r="A25" s="9" t="s">
        <v>149</v>
      </c>
      <c r="B25" s="9">
        <v>2</v>
      </c>
    </row>
    <row r="26" spans="1:3" x14ac:dyDescent="0.35">
      <c r="A26" s="9" t="s">
        <v>146</v>
      </c>
      <c r="B26" s="9">
        <v>3</v>
      </c>
    </row>
    <row r="27" spans="1:3" x14ac:dyDescent="0.35">
      <c r="A27" s="9" t="s">
        <v>147</v>
      </c>
      <c r="B27" s="9">
        <v>3</v>
      </c>
    </row>
    <row r="28" spans="1:3" x14ac:dyDescent="0.35">
      <c r="A28" s="9" t="s">
        <v>150</v>
      </c>
      <c r="B28" s="9">
        <v>3</v>
      </c>
    </row>
    <row r="29" spans="1:3" x14ac:dyDescent="0.35">
      <c r="A29" s="9" t="s">
        <v>151</v>
      </c>
      <c r="B29" s="9">
        <v>3</v>
      </c>
    </row>
    <row r="30" spans="1:3" x14ac:dyDescent="0.35">
      <c r="A30" s="9" t="s">
        <v>152</v>
      </c>
      <c r="B30" s="9">
        <v>2</v>
      </c>
    </row>
    <row r="31" spans="1:3" x14ac:dyDescent="0.35">
      <c r="A31" s="9" t="s">
        <v>153</v>
      </c>
      <c r="B31" s="9">
        <v>2</v>
      </c>
    </row>
    <row r="32" spans="1:3" x14ac:dyDescent="0.35">
      <c r="A32" s="9" t="s">
        <v>154</v>
      </c>
      <c r="B32" s="9">
        <v>2</v>
      </c>
    </row>
    <row r="33" spans="1:2" x14ac:dyDescent="0.35">
      <c r="A33" s="9" t="s">
        <v>155</v>
      </c>
      <c r="B33" s="9">
        <v>2</v>
      </c>
    </row>
    <row r="34" spans="1:2" x14ac:dyDescent="0.35">
      <c r="A34" s="9" t="s">
        <v>191</v>
      </c>
      <c r="B34" s="9">
        <v>1</v>
      </c>
    </row>
    <row r="35" spans="1:2" x14ac:dyDescent="0.35">
      <c r="A35" s="9" t="s">
        <v>156</v>
      </c>
      <c r="B35" s="9">
        <v>1</v>
      </c>
    </row>
    <row r="36" spans="1:2" x14ac:dyDescent="0.35">
      <c r="A36" s="9" t="s">
        <v>192</v>
      </c>
      <c r="B36" s="9">
        <v>3</v>
      </c>
    </row>
    <row r="37" spans="1:2" x14ac:dyDescent="0.35">
      <c r="A37" s="9" t="s">
        <v>28</v>
      </c>
      <c r="B37" s="9">
        <v>1</v>
      </c>
    </row>
  </sheetData>
  <conditionalFormatting sqref="A3:A4">
    <cfRule type="duplicateValues" dxfId="5" priority="55"/>
  </conditionalFormatting>
  <conditionalFormatting sqref="A5">
    <cfRule type="duplicateValues" dxfId="4" priority="39"/>
  </conditionalFormatting>
  <conditionalFormatting sqref="A21 A6:A12">
    <cfRule type="duplicateValues" dxfId="3" priority="62"/>
  </conditionalFormatting>
  <conditionalFormatting sqref="A15:A18 A13 A20">
    <cfRule type="duplicateValues" dxfId="2" priority="71"/>
  </conditionalFormatting>
  <conditionalFormatting sqref="A19">
    <cfRule type="duplicateValues" dxfId="1" priority="1"/>
  </conditionalFormatting>
  <conditionalFormatting sqref="A14">
    <cfRule type="duplicateValues" dxfId="0" priority="73"/>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Quotation </vt:lpstr>
      <vt:lpstr>Quote Nomeclature</vt:lpstr>
      <vt:lpstr>Quotation BOQ1</vt:lpstr>
      <vt:lpstr>Quotation BOQ</vt:lpstr>
      <vt:lpstr>Commercials (C) </vt:lpstr>
      <vt:lpstr>Manpower-PM Cost</vt:lpstr>
      <vt:lpstr>Total Hardware</vt:lpstr>
      <vt:lpstr>CIVIL</vt:lpstr>
      <vt:lpstr>BOQ</vt:lpstr>
      <vt:lpstr>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lenovo</cp:lastModifiedBy>
  <cp:lastPrinted>2025-10-08T06:05:26Z</cp:lastPrinted>
  <dcterms:created xsi:type="dcterms:W3CDTF">2024-09-10T04:33:48Z</dcterms:created>
  <dcterms:modified xsi:type="dcterms:W3CDTF">2025-10-28T07:03:35Z</dcterms:modified>
</cp:coreProperties>
</file>