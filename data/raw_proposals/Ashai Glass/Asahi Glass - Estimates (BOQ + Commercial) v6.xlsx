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posals\Asahi India Glass Ltd (AIS)\Estimates\"/>
    </mc:Choice>
  </mc:AlternateContent>
  <xr:revisionPtr revIDLastSave="0" documentId="13_ncr:1_{FE4B2C8A-7610-4CCE-B02B-CC462C3275D0}" xr6:coauthVersionLast="47" xr6:coauthVersionMax="47" xr10:uidLastSave="{00000000-0000-0000-0000-000000000000}"/>
  <bookViews>
    <workbookView xWindow="-108" yWindow="-108" windowWidth="23256" windowHeight="12456" tabRatio="757" activeTab="8" xr2:uid="{49B73D68-D680-4076-B8B3-1D5CB70C91AA}"/>
  </bookViews>
  <sheets>
    <sheet name="Quotation" sheetId="30" r:id="rId1"/>
    <sheet name="Quotation BOQ" sheetId="31" r:id="rId2"/>
    <sheet name="Quote Nomeclature" sheetId="25" r:id="rId3"/>
    <sheet name="Commercials (C)" sheetId="21" r:id="rId4"/>
    <sheet name="Sheet1" sheetId="32" state="hidden" r:id="rId5"/>
    <sheet name="Manpower-PM Cost" sheetId="27" r:id="rId6"/>
    <sheet name="AMC &amp; months" sheetId="29" r:id="rId7"/>
    <sheet name="Total Hardware" sheetId="18" r:id="rId8"/>
    <sheet name="BOQ" sheetId="1" r:id="rId9"/>
    <sheet name="Master" sheetId="2" r:id="rId10"/>
  </sheets>
  <definedNames>
    <definedName name="_xlnm._FilterDatabase" localSheetId="8" hidden="1">BOQ!$A$2:$F$17</definedName>
    <definedName name="_xlnm.Print_Titles" localSheetId="0">Quotation!$1:$13</definedName>
    <definedName name="_xlnm.Print_Titles" localSheetId="1">'Quotation BOQ'!$1:$13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1" l="1"/>
  <c r="G19" i="31" s="1"/>
  <c r="D5" i="18"/>
  <c r="G5" i="18" s="1"/>
  <c r="D14" i="1"/>
  <c r="F14" i="1" s="1"/>
  <c r="P7" i="21"/>
  <c r="D12" i="1"/>
  <c r="F12" i="1" s="1"/>
  <c r="D10" i="1"/>
  <c r="F10" i="1" s="1"/>
  <c r="C15" i="29"/>
  <c r="C14" i="29"/>
  <c r="H22" i="21"/>
  <c r="P27" i="27" l="1"/>
  <c r="Q27" i="27"/>
  <c r="R27" i="27"/>
  <c r="S27" i="27"/>
  <c r="T27" i="27"/>
  <c r="U27" i="27"/>
  <c r="V27" i="27"/>
  <c r="W27" i="27"/>
  <c r="X27" i="27"/>
  <c r="Y27" i="27"/>
  <c r="Z27" i="27"/>
  <c r="O27" i="27"/>
  <c r="P10" i="27"/>
  <c r="Q10" i="27"/>
  <c r="R10" i="27"/>
  <c r="S10" i="27"/>
  <c r="T10" i="27"/>
  <c r="U10" i="27"/>
  <c r="V10" i="27"/>
  <c r="W10" i="27"/>
  <c r="X10" i="27"/>
  <c r="Y10" i="27"/>
  <c r="Z10" i="27"/>
  <c r="O10" i="27"/>
  <c r="P9" i="21"/>
  <c r="P8" i="21"/>
  <c r="E15" i="1"/>
  <c r="C20" i="31"/>
  <c r="C18" i="31"/>
  <c r="C17" i="31"/>
  <c r="D13" i="31"/>
  <c r="H12" i="31"/>
  <c r="D12" i="31"/>
  <c r="D11" i="31"/>
  <c r="D10" i="31"/>
  <c r="D7" i="31"/>
  <c r="D6" i="31"/>
  <c r="D5" i="31"/>
  <c r="F4" i="31"/>
  <c r="H4" i="30"/>
  <c r="H4" i="31" s="1"/>
  <c r="K34" i="21" l="1"/>
  <c r="D34" i="21"/>
  <c r="D37" i="21" s="1"/>
  <c r="H28" i="21"/>
  <c r="H25" i="21"/>
  <c r="H23" i="21"/>
  <c r="D7" i="1"/>
  <c r="F7" i="1" s="1"/>
  <c r="D8" i="1"/>
  <c r="F8" i="1" s="1"/>
  <c r="D39" i="21" l="1"/>
  <c r="D40" i="21"/>
  <c r="D41" i="21"/>
  <c r="D38" i="21"/>
  <c r="C17" i="29"/>
  <c r="C18" i="29" s="1"/>
  <c r="C19" i="29" s="1"/>
  <c r="C6" i="29"/>
  <c r="C16" i="29" l="1"/>
  <c r="C21" i="29" s="1"/>
  <c r="D13" i="1" l="1"/>
  <c r="F13" i="1" s="1"/>
  <c r="C7" i="29"/>
  <c r="C8" i="29" s="1"/>
  <c r="C9" i="29" s="1"/>
  <c r="C10" i="29" s="1"/>
  <c r="T29" i="27"/>
  <c r="S29" i="27"/>
  <c r="R29" i="27"/>
  <c r="Q29" i="27"/>
  <c r="P29" i="27"/>
  <c r="O29" i="27"/>
  <c r="V29" i="27"/>
  <c r="W29" i="27"/>
  <c r="X29" i="27"/>
  <c r="Y29" i="27"/>
  <c r="Z29" i="27"/>
  <c r="U29" i="27"/>
  <c r="A4" i="18"/>
  <c r="G25" i="21" l="1"/>
  <c r="I19" i="21"/>
  <c r="K19" i="21" s="1"/>
  <c r="M19" i="27"/>
  <c r="M18" i="27"/>
  <c r="M17" i="27"/>
  <c r="M16" i="27"/>
  <c r="N16" i="27"/>
  <c r="F16" i="27"/>
  <c r="M15" i="27"/>
  <c r="N15" i="27"/>
  <c r="F15" i="27"/>
  <c r="M14" i="27"/>
  <c r="N14" i="27"/>
  <c r="F14" i="27"/>
  <c r="AE10" i="27"/>
  <c r="Z11" i="27"/>
  <c r="D27" i="27"/>
  <c r="D10" i="27"/>
  <c r="AI9" i="27"/>
  <c r="H26" i="27"/>
  <c r="H9" i="27"/>
  <c r="AI8" i="27"/>
  <c r="H25" i="27"/>
  <c r="H8" i="27"/>
  <c r="AI7" i="27"/>
  <c r="H24" i="27"/>
  <c r="H7" i="27"/>
  <c r="Z28" i="27" l="1"/>
  <c r="I25" i="21"/>
  <c r="K25" i="21" s="1"/>
  <c r="N17" i="27"/>
  <c r="N18" i="27" s="1"/>
  <c r="N19" i="27" s="1"/>
  <c r="AT7" i="27"/>
  <c r="AT9" i="27"/>
  <c r="AI10" i="27"/>
  <c r="G22" i="21" s="1"/>
  <c r="I22" i="21" s="1"/>
  <c r="K22" i="21" s="1"/>
  <c r="M22" i="21" s="1"/>
  <c r="O22" i="21" s="1"/>
  <c r="H10" i="27"/>
  <c r="F17" i="27"/>
  <c r="F18" i="27" s="1"/>
  <c r="F19" i="27" s="1"/>
  <c r="H27" i="27"/>
  <c r="AT8" i="27"/>
  <c r="I18" i="21" l="1"/>
  <c r="M25" i="21"/>
  <c r="M26" i="21" s="1"/>
  <c r="K26" i="21"/>
  <c r="N22" i="21"/>
  <c r="P22" i="21" s="1"/>
  <c r="N25" i="21"/>
  <c r="N26" i="21" s="1"/>
  <c r="AT10" i="27"/>
  <c r="G23" i="21" s="1"/>
  <c r="I23" i="21" s="1"/>
  <c r="K23" i="21" s="1"/>
  <c r="M23" i="21" s="1"/>
  <c r="N23" i="21" l="1"/>
  <c r="D3" i="1" l="1"/>
  <c r="D4" i="1"/>
  <c r="D5" i="1"/>
  <c r="D6" i="1"/>
  <c r="D9" i="1"/>
  <c r="D11" i="1"/>
  <c r="D15" i="1"/>
  <c r="D16" i="1"/>
  <c r="D3" i="21" l="1"/>
  <c r="F15" i="1"/>
  <c r="F11" i="1"/>
  <c r="F9" i="1"/>
  <c r="F6" i="1"/>
  <c r="F5" i="1"/>
  <c r="F4" i="1"/>
  <c r="F3" i="1"/>
  <c r="M19" i="21" l="1"/>
  <c r="N19" i="21"/>
  <c r="D4" i="18"/>
  <c r="D6" i="18"/>
  <c r="D3" i="18"/>
  <c r="F16" i="1"/>
  <c r="C5" i="18" s="1"/>
  <c r="E5" i="18" l="1"/>
  <c r="H5" i="18" s="1"/>
  <c r="F19" i="31"/>
  <c r="I19" i="31" s="1"/>
  <c r="I5" i="18"/>
  <c r="M24" i="21"/>
  <c r="M27" i="21" s="1"/>
  <c r="K24" i="21"/>
  <c r="K27" i="21" s="1"/>
  <c r="N24" i="21"/>
  <c r="N27" i="21" l="1"/>
  <c r="I35" i="21" s="1"/>
  <c r="C6" i="18"/>
  <c r="G20" i="31" s="1"/>
  <c r="C3" i="18"/>
  <c r="C4" i="18"/>
  <c r="F17" i="1"/>
  <c r="G18" i="31" l="1"/>
  <c r="G17" i="31"/>
  <c r="F20" i="31"/>
  <c r="I20" i="31" s="1"/>
  <c r="F18" i="31"/>
  <c r="F17" i="31"/>
  <c r="H37" i="21"/>
  <c r="I40" i="21" s="1"/>
  <c r="J40" i="21" s="1"/>
  <c r="E6" i="18"/>
  <c r="E4" i="18"/>
  <c r="E3" i="18"/>
  <c r="C7" i="18"/>
  <c r="K18" i="21"/>
  <c r="M18" i="21" s="1"/>
  <c r="G21" i="31" l="1"/>
  <c r="I18" i="31"/>
  <c r="F21" i="31"/>
  <c r="I17" i="31"/>
  <c r="I41" i="21"/>
  <c r="J41" i="21" s="1"/>
  <c r="I37" i="21"/>
  <c r="J37" i="21" s="1"/>
  <c r="I38" i="21"/>
  <c r="J38" i="21" s="1"/>
  <c r="I39" i="21"/>
  <c r="J39" i="21" s="1"/>
  <c r="M20" i="21"/>
  <c r="I4" i="18"/>
  <c r="I6" i="18"/>
  <c r="I3" i="18"/>
  <c r="N18" i="21"/>
  <c r="N20" i="21" s="1"/>
  <c r="G37" i="21" s="1"/>
  <c r="I20" i="30" s="1"/>
  <c r="K20" i="21"/>
  <c r="I21" i="31" l="1"/>
  <c r="J42" i="21"/>
  <c r="I22" i="30" s="1"/>
  <c r="G6" i="18"/>
  <c r="H6" i="18" s="1"/>
  <c r="G4" i="18"/>
  <c r="H4" i="18" s="1"/>
  <c r="E7" i="18"/>
  <c r="I11" i="21" s="1"/>
  <c r="F7" i="18"/>
  <c r="G3" i="18"/>
  <c r="J44" i="21" l="1"/>
  <c r="I12" i="21"/>
  <c r="G7" i="18"/>
  <c r="H3" i="18"/>
  <c r="H8" i="18" s="1"/>
  <c r="G28" i="21" s="1"/>
  <c r="I13" i="21" l="1"/>
  <c r="I14" i="21"/>
  <c r="K11" i="21"/>
  <c r="K12" i="21"/>
  <c r="H7" i="18"/>
  <c r="I7" i="18"/>
  <c r="M11" i="21" l="1"/>
  <c r="K13" i="21"/>
  <c r="K14" i="21"/>
  <c r="I15" i="21"/>
  <c r="M12" i="21"/>
  <c r="N11" i="21"/>
  <c r="N12" i="21"/>
  <c r="I28" i="21" l="1"/>
  <c r="K28" i="21" s="1"/>
  <c r="K15" i="21"/>
  <c r="M15" i="21" s="1"/>
  <c r="N13" i="21"/>
  <c r="E37" i="21" s="1"/>
  <c r="I18" i="30" s="1"/>
  <c r="M13" i="21"/>
  <c r="I16" i="21"/>
  <c r="I17" i="21" s="1"/>
  <c r="N14" i="21"/>
  <c r="M14" i="21"/>
  <c r="M28" i="21" l="1"/>
  <c r="M29" i="21" s="1"/>
  <c r="O29" i="21" s="1"/>
  <c r="N28" i="21"/>
  <c r="K29" i="21"/>
  <c r="N15" i="21"/>
  <c r="N16" i="21" s="1"/>
  <c r="K16" i="21"/>
  <c r="K17" i="21" s="1"/>
  <c r="K21" i="21" s="1"/>
  <c r="M16" i="21"/>
  <c r="N17" i="21" l="1"/>
  <c r="N21" i="21" s="1"/>
  <c r="F37" i="21"/>
  <c r="I19" i="30" s="1"/>
  <c r="I21" i="30" s="1"/>
  <c r="K30" i="21"/>
  <c r="M17" i="21"/>
  <c r="N29" i="21"/>
  <c r="K35" i="21" s="1"/>
  <c r="I20" i="21"/>
  <c r="I21" i="21" s="1"/>
  <c r="K40" i="21" l="1"/>
  <c r="L40" i="21" s="1"/>
  <c r="K41" i="21"/>
  <c r="L41" i="21" s="1"/>
  <c r="K38" i="21"/>
  <c r="K39" i="21"/>
  <c r="L39" i="21" s="1"/>
  <c r="P29" i="21"/>
  <c r="M21" i="21"/>
  <c r="L37" i="21"/>
  <c r="N30" i="21"/>
  <c r="N8" i="21" s="1"/>
  <c r="K42" i="21" l="1"/>
  <c r="I23" i="30" s="1"/>
  <c r="L38" i="21"/>
  <c r="L43" i="21" s="1"/>
  <c r="E43" i="21"/>
  <c r="L30" i="21"/>
  <c r="M40" i="21" l="1"/>
  <c r="M43" i="21"/>
  <c r="M41" i="21"/>
  <c r="K44" i="21"/>
  <c r="L44" i="21"/>
  <c r="M39" i="21"/>
  <c r="M38" i="21"/>
  <c r="M3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2" authorId="0" shapeId="0" xr:uid="{1FC83C30-B4BB-4C43-B7A0-CC825A48C9D9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normalized</t>
        </r>
      </text>
    </comment>
    <comment ref="M29" authorId="0" shapeId="0" xr:uid="{5CA16F8D-1029-4A79-B496-37387EFB919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normalize for (Contract period - 1) year</t>
        </r>
      </text>
    </comment>
  </commentList>
</comments>
</file>

<file path=xl/sharedStrings.xml><?xml version="1.0" encoding="utf-8"?>
<sst xmlns="http://schemas.openxmlformats.org/spreadsheetml/2006/main" count="395" uniqueCount="227">
  <si>
    <t xml:space="preserve">Stage </t>
  </si>
  <si>
    <t>Hardware</t>
  </si>
  <si>
    <t>Total</t>
  </si>
  <si>
    <t>Handheld RFID Reader</t>
  </si>
  <si>
    <t>RFID Reader</t>
  </si>
  <si>
    <t xml:space="preserve">Location/Machine </t>
  </si>
  <si>
    <t>RFID Tag</t>
  </si>
  <si>
    <t>Type of Manpower</t>
  </si>
  <si>
    <t>Travel Allowance</t>
  </si>
  <si>
    <t>Days per trip</t>
  </si>
  <si>
    <t>Project Manager</t>
  </si>
  <si>
    <t>Project Coordinator</t>
  </si>
  <si>
    <t>Misc Travel</t>
  </si>
  <si>
    <t>One Time</t>
  </si>
  <si>
    <t xml:space="preserve">Customer </t>
  </si>
  <si>
    <t xml:space="preserve">Date </t>
  </si>
  <si>
    <t>Stay Cost per Day</t>
  </si>
  <si>
    <t xml:space="preserve">Contract Year </t>
  </si>
  <si>
    <t>Total Hardware Cost</t>
  </si>
  <si>
    <t>Platform Subscription Fee</t>
  </si>
  <si>
    <t>AMC Cost</t>
  </si>
  <si>
    <t>Cost of Hardware</t>
  </si>
  <si>
    <t>Unit Price</t>
  </si>
  <si>
    <t>Count per shift</t>
  </si>
  <si>
    <t>Nos. of shifts</t>
  </si>
  <si>
    <t>Duration in Months</t>
  </si>
  <si>
    <t>One Time Cost</t>
  </si>
  <si>
    <t>Type</t>
  </si>
  <si>
    <t>Hardware Cost</t>
  </si>
  <si>
    <t>Per Year</t>
  </si>
  <si>
    <t>Items</t>
  </si>
  <si>
    <t>Details</t>
  </si>
  <si>
    <t>Unit Cost</t>
  </si>
  <si>
    <t>Nos. of years</t>
  </si>
  <si>
    <t>AMC from 2nd Year onwards</t>
  </si>
  <si>
    <t>Annual Subscription fee</t>
  </si>
  <si>
    <t>Equipment</t>
  </si>
  <si>
    <t>Cost</t>
  </si>
  <si>
    <t>Sr. No.</t>
  </si>
  <si>
    <t>Total Installation, Setup &amp; API Development Cost</t>
  </si>
  <si>
    <t>Model</t>
  </si>
  <si>
    <t>Margin</t>
  </si>
  <si>
    <t>Count</t>
  </si>
  <si>
    <t>Hardware - BOQ</t>
  </si>
  <si>
    <t>Other</t>
  </si>
  <si>
    <t>Location</t>
  </si>
  <si>
    <t>Quantity per Check Point</t>
  </si>
  <si>
    <t>Remarks</t>
  </si>
  <si>
    <t>ERP Integration</t>
  </si>
  <si>
    <t>Implementation Cost</t>
  </si>
  <si>
    <t>Hardware Transportation Cost</t>
  </si>
  <si>
    <t>Cost for Customer</t>
  </si>
  <si>
    <t>Please update the BOQ sheet for other fields</t>
  </si>
  <si>
    <t>Travel Cost</t>
  </si>
  <si>
    <t>Subscription Fee</t>
  </si>
  <si>
    <t>AMC</t>
  </si>
  <si>
    <t>Quotation</t>
  </si>
  <si>
    <t>QUOTE #</t>
  </si>
  <si>
    <t>DATE</t>
  </si>
  <si>
    <t>CUSTOMER INFO</t>
  </si>
  <si>
    <t>DESCRIPTION OF WORK</t>
  </si>
  <si>
    <t>S.No.</t>
  </si>
  <si>
    <t>Terms &amp; Conditions</t>
  </si>
  <si>
    <t>Unit price on Margin</t>
  </si>
  <si>
    <t>Amount</t>
  </si>
  <si>
    <t>Spares</t>
  </si>
  <si>
    <t>Cost of Spares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</si>
  <si>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</si>
  <si>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</si>
  <si>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</si>
  <si>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MSME No</t>
  </si>
  <si>
    <t>UDYAM-RJ-17-0051921</t>
  </si>
  <si>
    <t>Quote Validity : 15 days from submitted date</t>
  </si>
  <si>
    <t>Phone</t>
  </si>
  <si>
    <t>Email Id</t>
  </si>
  <si>
    <t>ABC/XY/YYMM##</t>
  </si>
  <si>
    <t>Quote no Format</t>
  </si>
  <si>
    <t xml:space="preserve">ABC </t>
  </si>
  <si>
    <t>Client name short Form like Hindalco Industries Limited will be HIL</t>
  </si>
  <si>
    <t>XY</t>
  </si>
  <si>
    <t xml:space="preserve">Axestrack Sales SPOC Intials </t>
  </si>
  <si>
    <t>YY</t>
  </si>
  <si>
    <t>Year</t>
  </si>
  <si>
    <t>MM</t>
  </si>
  <si>
    <t>Month</t>
  </si>
  <si>
    <t>##</t>
  </si>
  <si>
    <t>Quote send by Sales SPOC in that particular month, quote nos. should be start from 11</t>
  </si>
  <si>
    <t>Onsite Manpower</t>
  </si>
  <si>
    <t>Installation, Training &amp; Configuration</t>
  </si>
  <si>
    <t xml:space="preserve">AMC </t>
  </si>
  <si>
    <t>Landed Cost to Axestrack</t>
  </si>
  <si>
    <t>Cost to Axestrack (with Contingency)</t>
  </si>
  <si>
    <t>This is formula driven sheet. Only update the spares Count</t>
  </si>
  <si>
    <t>Contingency / Risk Margin</t>
  </si>
  <si>
    <t xml:space="preserve">Total Cost of the Project Implementation &amp; Support + AMC </t>
  </si>
  <si>
    <t>Software Subscription Cost/month</t>
  </si>
  <si>
    <t>Note : Estimates are for Project Implementation period + Contract years period</t>
  </si>
  <si>
    <t>Address</t>
  </si>
  <si>
    <t>Please refer to the next page for Terms and Conditions &amp; Notes</t>
  </si>
  <si>
    <t>Additional notes</t>
  </si>
  <si>
    <t>&lt;Sales SPOC to write Additional notes, if any&gt;</t>
  </si>
  <si>
    <t>Spares - BOQ</t>
  </si>
  <si>
    <t>Spares Transportation Cost</t>
  </si>
  <si>
    <t>Haedware BOQ Cost</t>
  </si>
  <si>
    <t>Spares BOQ Cost</t>
  </si>
  <si>
    <t>Hardware BOQ Cost</t>
  </si>
  <si>
    <t>Phase 1</t>
  </si>
  <si>
    <t>Phase 2</t>
  </si>
  <si>
    <t>M6</t>
  </si>
  <si>
    <t>Installation, Training &amp; Configuration Cost for phase 1 (a)</t>
  </si>
  <si>
    <t>Installation, Training &amp; Configuration Cost for phase 2 (a)</t>
  </si>
  <si>
    <t>Cost per Resource per month</t>
  </si>
  <si>
    <t>Shift</t>
  </si>
  <si>
    <t>M7</t>
  </si>
  <si>
    <t>M8</t>
  </si>
  <si>
    <t>M9</t>
  </si>
  <si>
    <t>M10</t>
  </si>
  <si>
    <t>M11</t>
  </si>
  <si>
    <t>M12</t>
  </si>
  <si>
    <t>PM</t>
  </si>
  <si>
    <t>Hardware Engineers</t>
  </si>
  <si>
    <t>Software Engineers</t>
  </si>
  <si>
    <t>Hypercare Cost</t>
  </si>
  <si>
    <t>Current Equipments</t>
  </si>
  <si>
    <t>Productivity per resource</t>
  </si>
  <si>
    <t>Resources Required</t>
  </si>
  <si>
    <t>Planned Equipments</t>
  </si>
  <si>
    <t>Machines</t>
  </si>
  <si>
    <t>Gate Lanes</t>
  </si>
  <si>
    <t>Vehicles</t>
  </si>
  <si>
    <t>Onsite</t>
  </si>
  <si>
    <t>MIS</t>
  </si>
  <si>
    <t>Frequency
(Annually)</t>
  </si>
  <si>
    <t>Hypercare</t>
  </si>
  <si>
    <t>Hypercare (b)</t>
  </si>
  <si>
    <t>Hyper Care + Transition Cost</t>
  </si>
  <si>
    <t>Transition Onsite Manpower</t>
  </si>
  <si>
    <t>Transition (b)</t>
  </si>
  <si>
    <t>PM/ Sr. CS</t>
  </si>
  <si>
    <t>Support Engineers</t>
  </si>
  <si>
    <t>MIS Support</t>
  </si>
  <si>
    <t>Transitione Cost</t>
  </si>
  <si>
    <t>Post Hyper care Onsite Manpower (c)</t>
  </si>
  <si>
    <t xml:space="preserve">Onsite Resource Cost Post Impl &amp; Hypercare </t>
  </si>
  <si>
    <t>Project Management Cost (d)</t>
  </si>
  <si>
    <t>Annual Project Management Cost (d)</t>
  </si>
  <si>
    <t>PMO Cost</t>
  </si>
  <si>
    <t>AMC from 2nd year onwards</t>
  </si>
  <si>
    <t>Project Exclusions</t>
  </si>
  <si>
    <t>HARDWARE BOQ</t>
  </si>
  <si>
    <t>M1</t>
  </si>
  <si>
    <t>M2</t>
  </si>
  <si>
    <t>M3</t>
  </si>
  <si>
    <t>M4</t>
  </si>
  <si>
    <t>M5</t>
  </si>
  <si>
    <t xml:space="preserve">Project Period </t>
  </si>
  <si>
    <t>Months</t>
  </si>
  <si>
    <t>AMC 2nd Year till</t>
  </si>
  <si>
    <t>AMC 3rd Year till</t>
  </si>
  <si>
    <t>Remaining month</t>
  </si>
  <si>
    <t>AMC 1</t>
  </si>
  <si>
    <t>AMC 2</t>
  </si>
  <si>
    <t>Gate Out</t>
  </si>
  <si>
    <t>ERP Integration Cost</t>
  </si>
  <si>
    <t>Per Month</t>
  </si>
  <si>
    <t>`</t>
  </si>
  <si>
    <t>Hypercare Period</t>
  </si>
  <si>
    <t>Implementation Period</t>
  </si>
  <si>
    <t>Hardware Delivery Month</t>
  </si>
  <si>
    <t>OEM Warranty Till</t>
  </si>
  <si>
    <t>Manpower Month post implementation</t>
  </si>
  <si>
    <t>Manpower 1</t>
  </si>
  <si>
    <t>Manpower 2</t>
  </si>
  <si>
    <t>Manpower 3</t>
  </si>
  <si>
    <t>1st year</t>
  </si>
  <si>
    <t>2nd year</t>
  </si>
  <si>
    <t>3rd year</t>
  </si>
  <si>
    <t>Manpower Period post hypercare</t>
  </si>
  <si>
    <t>Onsite Manpower, Project Management, Support &amp; Maintenance</t>
  </si>
  <si>
    <t>Unloading Area</t>
  </si>
  <si>
    <t>Pallet Area In</t>
  </si>
  <si>
    <t>Maintenance Area Out</t>
  </si>
  <si>
    <t>Pallat To Maintenance Area In/Out</t>
  </si>
  <si>
    <t>Gate In</t>
  </si>
  <si>
    <t>WH Gate In</t>
  </si>
  <si>
    <t>WH - 1 Gate In/Out</t>
  </si>
  <si>
    <t>WH - 2 Gate In/Out</t>
  </si>
  <si>
    <t>WH Gate Out</t>
  </si>
  <si>
    <t>Y1</t>
  </si>
  <si>
    <t>Y2</t>
  </si>
  <si>
    <t>Y3</t>
  </si>
  <si>
    <t>%age of subcription</t>
  </si>
  <si>
    <t>Subscription Fee per year</t>
  </si>
  <si>
    <t>Subscription Fee with Impl.</t>
  </si>
  <si>
    <t>Subscription Fee per month post impl.</t>
  </si>
  <si>
    <t>Spare Cost</t>
  </si>
  <si>
    <t>Quote Values</t>
  </si>
  <si>
    <t>Configuration, Setup, Integration, Deployment &amp; Training Cost</t>
  </si>
  <si>
    <t xml:space="preserve">Pallet </t>
  </si>
  <si>
    <t>Per Pallet Cost per month</t>
  </si>
  <si>
    <t>Y4</t>
  </si>
  <si>
    <t>Y5</t>
  </si>
  <si>
    <t>%</t>
  </si>
  <si>
    <t>Contact Person</t>
  </si>
  <si>
    <t>Company Name</t>
  </si>
  <si>
    <t>Platform Subscription + PMO Cost + Support &amp; Maintenance</t>
  </si>
  <si>
    <t>&lt;Sales SPOC to write description&gt;</t>
  </si>
  <si>
    <t>One tIme</t>
  </si>
  <si>
    <t>Thanks for doing business with Axestrack Software Solution Pvt. Ltd.</t>
  </si>
  <si>
    <t>Ashai India Glass Ltd.</t>
  </si>
  <si>
    <t>items</t>
  </si>
  <si>
    <t>Annual Subscription Fee</t>
  </si>
  <si>
    <t>**Project Implementation Cost Per Plant</t>
  </si>
  <si>
    <t>type of heads</t>
  </si>
  <si>
    <t>hardware</t>
  </si>
  <si>
    <t>Rfid reader</t>
  </si>
  <si>
    <t>Handheld</t>
  </si>
  <si>
    <t>tags</t>
  </si>
  <si>
    <t>Transportation cost</t>
  </si>
  <si>
    <t>Spares Trasnporation cost</t>
  </si>
  <si>
    <t>Impl. Cots</t>
  </si>
  <si>
    <t>AMC from 2nd year</t>
  </si>
  <si>
    <t>Headers</t>
  </si>
  <si>
    <t>Phase -1 + Hypercare cost+ Transition</t>
  </si>
  <si>
    <t xml:space="preserve">•	Data cleansing and data extraction from source system
•	Issues and bugs related to 3rd Party product or services or plugins
•	Customization related to 3rd party products
•	Civil work, Mounting poles, Power supply, LAN &amp; wi-fi connectivity for hardware setup for the submitted proposal. </t>
  </si>
  <si>
    <r>
      <t xml:space="preserve">•	All the prices mentioned in proposal are in rupees and exclusive of GST. Taxes as applicable
</t>
    </r>
    <r>
      <rPr>
        <sz val="10"/>
        <rFont val="Arial"/>
        <family val="2"/>
      </rPr>
      <t>•	Device ownership remains with Client</t>
    </r>
    <r>
      <rPr>
        <sz val="10"/>
        <color theme="1"/>
        <rFont val="Arial"/>
        <family val="2"/>
      </rPr>
      <t xml:space="preserve">
•	Trips are estimated based on received details; any formal change or upgrade in hardware specifications or features (beyond those installed during onboarding) will incur additional charges.
•	In the event of device loss, tampering, or theft, a charge of </t>
    </r>
    <r>
      <rPr>
        <sz val="10"/>
        <rFont val="Arial"/>
        <family val="2"/>
      </rPr>
      <t>INR</t>
    </r>
    <r>
      <rPr>
        <sz val="10"/>
        <color rgb="FFFF0000"/>
        <rFont val="Arial"/>
        <family val="2"/>
      </rPr>
      <t xml:space="preserve"> ####</t>
    </r>
    <r>
      <rPr>
        <sz val="10"/>
        <color theme="1"/>
        <rFont val="Arial"/>
        <family val="2"/>
      </rPr>
      <t xml:space="preserve"> plus GST (per device) will be applied 
•	The standard one-year hardware warranty period, as per OEM guidelines, will commence from the date of hardware delivery.
</t>
    </r>
    <r>
      <rPr>
        <sz val="10"/>
        <color rgb="FFFF0000"/>
        <rFont val="Arial"/>
        <family val="2"/>
      </rPr>
      <t xml:space="preserve">•	ERP integration costs are covered exclusively for the ##### plant. Additional ERP integration for any other plant will incur a separate charge of INR #### per plant
•	**Hardware and spare costs may differ from one plant to another depending on the plant layout and specific checkpoints.
•	The installation of RFID tags for 70,000 pallets will be an ongoing process that will continue even after the project go-live.
</t>
    </r>
    <r>
      <rPr>
        <b/>
        <sz val="10"/>
        <color theme="1"/>
        <rFont val="Arial"/>
        <family val="2"/>
      </rPr>
      <t xml:space="preserve">
Payment Terms:
</t>
    </r>
    <r>
      <rPr>
        <sz val="10"/>
        <color theme="1"/>
        <rFont val="Arial"/>
        <family val="2"/>
      </rPr>
      <t xml:space="preserve">'•	Payment will be on milestone basis
       •	Milestone 1: 100% of Hardware cost with PO.
       •	Milestone 2: 50% of implementation cost at the time of project kick-off.
       •	Milestone 3: 50% of implementation cost at the time of Go-Live
</t>
    </r>
    <r>
      <rPr>
        <sz val="10"/>
        <rFont val="Arial"/>
        <family val="2"/>
      </rPr>
      <t xml:space="preserve">•	The billing will be in advance for minimum </t>
    </r>
    <r>
      <rPr>
        <sz val="10"/>
        <color rgb="FFFF0000"/>
        <rFont val="Arial"/>
        <family val="2"/>
      </rPr>
      <t>###</t>
    </r>
    <r>
      <rPr>
        <sz val="10"/>
        <rFont val="Arial"/>
        <family val="2"/>
      </rPr>
      <t xml:space="preserve"> on pro-rata basis. 
•	100% payments to be made within </t>
    </r>
    <r>
      <rPr>
        <sz val="10"/>
        <color rgb="FFFF0000"/>
        <rFont val="Arial"/>
        <family val="2"/>
      </rPr>
      <t>15 days</t>
    </r>
    <r>
      <rPr>
        <sz val="10"/>
        <rFont val="Arial"/>
        <family val="2"/>
      </rPr>
      <t xml:space="preserve"> from the date of receipt of original or digitally signed invoice. In case of further delay, overdue charges of </t>
    </r>
    <r>
      <rPr>
        <sz val="10"/>
        <color rgb="FFFF0000"/>
        <rFont val="Arial"/>
        <family val="2"/>
      </rPr>
      <t>1.5%</t>
    </r>
    <r>
      <rPr>
        <sz val="10"/>
        <rFont val="Arial"/>
        <family val="2"/>
      </rPr>
      <t xml:space="preserve"> per month will be charged
•	Billing validation/certification to be made within </t>
    </r>
    <r>
      <rPr>
        <sz val="10"/>
        <color rgb="FFFF0000"/>
        <rFont val="Arial"/>
        <family val="2"/>
      </rPr>
      <t>7 days</t>
    </r>
    <r>
      <rPr>
        <sz val="10"/>
        <rFont val="Arial"/>
        <family val="2"/>
      </rPr>
      <t xml:space="preserve"> from the date of provisional bill submission. </t>
    </r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</si>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</sst>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[$-F800]dddd\,\ mmmm\ dd\,\ yyyy"/>
    <numFmt numFmtId="167" formatCode="0.0000%"/>
    <numFmt numFmtId="168" formatCode="[$-14009]dd\ mmmm\ yyyy;@"/>
    <numFmt numFmtId="169" formatCode="_(* #,##0.0_);_(* \(#,##0.0\);_(* &quot;-&quot;??_);_(@_)"/>
    <numFmt numFmtId="170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4"/>
      <color theme="4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0" fontId="0" fillId="4" borderId="1" xfId="0" applyFill="1" applyBorder="1"/>
    <xf numFmtId="0" fontId="3" fillId="8" borderId="1" xfId="0" applyFont="1" applyFill="1" applyBorder="1" applyAlignment="1">
      <alignment horizontal="left" wrapText="1" readingOrder="1"/>
    </xf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7" fillId="0" borderId="0" xfId="0" applyFont="1" applyAlignment="1">
      <alignment horizontal="left" readingOrder="1"/>
    </xf>
    <xf numFmtId="0" fontId="7" fillId="0" borderId="0" xfId="0" applyFont="1"/>
    <xf numFmtId="9" fontId="6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9" fontId="6" fillId="3" borderId="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167" fontId="0" fillId="0" borderId="0" xfId="2" applyNumberFormat="1" applyFont="1"/>
    <xf numFmtId="10" fontId="6" fillId="5" borderId="2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right" wrapText="1" readingOrder="1"/>
    </xf>
    <xf numFmtId="165" fontId="2" fillId="0" borderId="7" xfId="1" applyNumberFormat="1" applyFont="1" applyFill="1" applyBorder="1" applyAlignment="1">
      <alignment horizontal="right" vertical="center" wrapText="1" readingOrder="1"/>
    </xf>
    <xf numFmtId="165" fontId="2" fillId="0" borderId="1" xfId="1" applyNumberFormat="1" applyFont="1" applyFill="1" applyBorder="1" applyAlignment="1">
      <alignment horizontal="right" vertical="center" wrapText="1" readingOrder="1"/>
    </xf>
    <xf numFmtId="165" fontId="3" fillId="4" borderId="1" xfId="1" applyNumberFormat="1" applyFont="1" applyFill="1" applyBorder="1" applyAlignment="1">
      <alignment horizontal="right" vertical="center" wrapText="1" readingOrder="1"/>
    </xf>
    <xf numFmtId="165" fontId="3" fillId="7" borderId="1" xfId="1" applyNumberFormat="1" applyFont="1" applyFill="1" applyBorder="1" applyAlignment="1">
      <alignment horizontal="right" vertical="center" wrapText="1" readingOrder="1"/>
    </xf>
    <xf numFmtId="165" fontId="9" fillId="11" borderId="2" xfId="1" applyNumberFormat="1" applyFont="1" applyFill="1" applyBorder="1" applyAlignment="1">
      <alignment horizontal="right" vertical="center" wrapText="1" readingOrder="1"/>
    </xf>
    <xf numFmtId="165" fontId="2" fillId="0" borderId="8" xfId="1" applyNumberFormat="1" applyFont="1" applyFill="1" applyBorder="1" applyAlignment="1">
      <alignment horizontal="right" vertical="center" wrapText="1" readingOrder="1"/>
    </xf>
    <xf numFmtId="165" fontId="3" fillId="4" borderId="9" xfId="1" applyNumberFormat="1" applyFont="1" applyFill="1" applyBorder="1" applyAlignment="1">
      <alignment horizontal="right" vertical="center" wrapText="1" readingOrder="1"/>
    </xf>
    <xf numFmtId="165" fontId="3" fillId="7" borderId="9" xfId="1" applyNumberFormat="1" applyFont="1" applyFill="1" applyBorder="1" applyAlignment="1">
      <alignment horizontal="right" vertical="center" wrapText="1" readingOrder="1"/>
    </xf>
    <xf numFmtId="165" fontId="0" fillId="0" borderId="0" xfId="1" applyNumberFormat="1" applyFont="1"/>
    <xf numFmtId="164" fontId="0" fillId="0" borderId="0" xfId="0" applyNumberFormat="1"/>
    <xf numFmtId="165" fontId="6" fillId="5" borderId="24" xfId="1" applyNumberFormat="1" applyFont="1" applyFill="1" applyBorder="1" applyAlignment="1">
      <alignment horizontal="center" vertical="center"/>
    </xf>
    <xf numFmtId="165" fontId="9" fillId="5" borderId="2" xfId="1" applyNumberFormat="1" applyFont="1" applyFill="1" applyBorder="1" applyAlignment="1">
      <alignment horizontal="right" vertical="center" wrapText="1" readingOrder="1"/>
    </xf>
    <xf numFmtId="165" fontId="2" fillId="6" borderId="1" xfId="1" applyNumberFormat="1" applyFont="1" applyFill="1" applyBorder="1" applyAlignment="1">
      <alignment horizontal="right" wrapText="1" readingOrder="1"/>
    </xf>
    <xf numFmtId="165" fontId="0" fillId="8" borderId="1" xfId="1" applyNumberFormat="1" applyFont="1" applyFill="1" applyBorder="1"/>
    <xf numFmtId="165" fontId="3" fillId="8" borderId="1" xfId="1" applyNumberFormat="1" applyFont="1" applyFill="1" applyBorder="1" applyAlignment="1">
      <alignment horizontal="right" wrapText="1" readingOrder="1"/>
    </xf>
    <xf numFmtId="0" fontId="6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" fontId="2" fillId="6" borderId="1" xfId="1" applyNumberFormat="1" applyFont="1" applyFill="1" applyBorder="1" applyAlignment="1">
      <alignment horizontal="center" vertical="center" wrapText="1" readingOrder="1"/>
    </xf>
    <xf numFmtId="1" fontId="3" fillId="8" borderId="1" xfId="1" applyNumberFormat="1" applyFont="1" applyFill="1" applyBorder="1" applyAlignment="1">
      <alignment horizontal="center" vertical="center" wrapText="1" readingOrder="1"/>
    </xf>
    <xf numFmtId="0" fontId="6" fillId="8" borderId="1" xfId="0" applyFont="1" applyFill="1" applyBorder="1" applyAlignment="1">
      <alignment horizontal="center"/>
    </xf>
    <xf numFmtId="9" fontId="6" fillId="3" borderId="25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/>
    <xf numFmtId="0" fontId="5" fillId="9" borderId="1" xfId="0" applyFont="1" applyFill="1" applyBorder="1" applyAlignment="1">
      <alignment horizontal="center"/>
    </xf>
    <xf numFmtId="165" fontId="3" fillId="9" borderId="1" xfId="1" applyNumberFormat="1" applyFont="1" applyFill="1" applyBorder="1" applyAlignment="1">
      <alignment horizontal="right" wrapText="1" readingOrder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wrapText="1" readingOrder="1"/>
    </xf>
    <xf numFmtId="165" fontId="3" fillId="2" borderId="1" xfId="1" applyNumberFormat="1" applyFont="1" applyFill="1" applyBorder="1" applyAlignment="1">
      <alignment horizontal="right" wrapText="1" readingOrder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5" fontId="14" fillId="14" borderId="1" xfId="1" applyNumberFormat="1" applyFont="1" applyFill="1" applyBorder="1" applyAlignment="1">
      <alignment vertical="center" wrapText="1" readingOrder="1"/>
    </xf>
    <xf numFmtId="165" fontId="3" fillId="10" borderId="1" xfId="1" applyNumberFormat="1" applyFont="1" applyFill="1" applyBorder="1" applyAlignment="1">
      <alignment horizontal="right" vertical="center" wrapText="1" readingOrder="1"/>
    </xf>
    <xf numFmtId="0" fontId="5" fillId="10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5" xfId="0" applyFont="1" applyBorder="1"/>
    <xf numFmtId="0" fontId="6" fillId="0" borderId="1" xfId="0" applyFont="1" applyBorder="1" applyAlignment="1">
      <alignment horizontal="right"/>
    </xf>
    <xf numFmtId="0" fontId="5" fillId="18" borderId="1" xfId="0" applyFont="1" applyFill="1" applyBorder="1"/>
    <xf numFmtId="0" fontId="6" fillId="18" borderId="1" xfId="0" applyFont="1" applyFill="1" applyBorder="1"/>
    <xf numFmtId="0" fontId="5" fillId="0" borderId="25" xfId="0" applyFont="1" applyBorder="1" applyAlignment="1">
      <alignment horizontal="right"/>
    </xf>
    <xf numFmtId="0" fontId="5" fillId="18" borderId="25" xfId="0" applyFont="1" applyFill="1" applyBorder="1"/>
    <xf numFmtId="0" fontId="19" fillId="0" borderId="0" xfId="0" applyFont="1"/>
    <xf numFmtId="165" fontId="2" fillId="0" borderId="1" xfId="1" applyNumberFormat="1" applyFont="1" applyFill="1" applyBorder="1" applyAlignment="1">
      <alignment horizontal="right" readingOrder="1"/>
    </xf>
    <xf numFmtId="165" fontId="3" fillId="9" borderId="1" xfId="1" applyNumberFormat="1" applyFont="1" applyFill="1" applyBorder="1" applyAlignment="1">
      <alignment horizontal="right" readingOrder="1"/>
    </xf>
    <xf numFmtId="165" fontId="2" fillId="0" borderId="1" xfId="1" applyNumberFormat="1" applyFont="1" applyFill="1" applyBorder="1" applyAlignment="1">
      <alignment horizontal="center" wrapText="1" readingOrder="1"/>
    </xf>
    <xf numFmtId="165" fontId="6" fillId="0" borderId="1" xfId="1" applyNumberFormat="1" applyFont="1" applyFill="1" applyBorder="1" applyAlignment="1"/>
    <xf numFmtId="0" fontId="6" fillId="0" borderId="31" xfId="0" applyFont="1" applyBorder="1"/>
    <xf numFmtId="0" fontId="6" fillId="0" borderId="32" xfId="0" applyFont="1" applyBorder="1"/>
    <xf numFmtId="1" fontId="6" fillId="0" borderId="1" xfId="0" applyNumberFormat="1" applyFont="1" applyBorder="1"/>
    <xf numFmtId="0" fontId="2" fillId="0" borderId="0" xfId="0" applyFont="1"/>
    <xf numFmtId="0" fontId="2" fillId="0" borderId="31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6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25" xfId="0" applyFont="1" applyBorder="1"/>
    <xf numFmtId="0" fontId="3" fillId="0" borderId="25" xfId="0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21" fillId="0" borderId="0" xfId="0" applyFont="1" applyAlignment="1">
      <alignment horizontal="left" readingOrder="1"/>
    </xf>
    <xf numFmtId="0" fontId="21" fillId="0" borderId="0" xfId="0" applyFont="1"/>
    <xf numFmtId="165" fontId="13" fillId="0" borderId="1" xfId="1" applyNumberFormat="1" applyFont="1" applyFill="1" applyBorder="1" applyAlignment="1">
      <alignment vertical="center" wrapText="1" readingOrder="1"/>
    </xf>
    <xf numFmtId="1" fontId="11" fillId="0" borderId="1" xfId="0" applyNumberFormat="1" applyFont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 readingOrder="1"/>
    </xf>
    <xf numFmtId="1" fontId="14" fillId="14" borderId="1" xfId="1" applyNumberFormat="1" applyFont="1" applyFill="1" applyBorder="1" applyAlignment="1">
      <alignment horizontal="center" vertical="center" wrapText="1" readingOrder="1"/>
    </xf>
    <xf numFmtId="169" fontId="6" fillId="18" borderId="0" xfId="0" applyNumberFormat="1" applyFont="1" applyFill="1"/>
    <xf numFmtId="0" fontId="4" fillId="0" borderId="1" xfId="0" applyFont="1" applyBorder="1"/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65" fontId="6" fillId="0" borderId="0" xfId="0" applyNumberFormat="1" applyFont="1"/>
    <xf numFmtId="0" fontId="0" fillId="2" borderId="1" xfId="0" applyFill="1" applyBorder="1"/>
    <xf numFmtId="165" fontId="3" fillId="7" borderId="1" xfId="1" applyNumberFormat="1" applyFont="1" applyFill="1" applyBorder="1" applyAlignment="1">
      <alignment horizontal="center" vertical="center" wrapText="1" readingOrder="1"/>
    </xf>
    <xf numFmtId="165" fontId="0" fillId="0" borderId="1" xfId="0" applyNumberFormat="1" applyBorder="1"/>
    <xf numFmtId="9" fontId="0" fillId="0" borderId="1" xfId="2" applyFont="1" applyBorder="1"/>
    <xf numFmtId="165" fontId="0" fillId="0" borderId="1" xfId="1" applyNumberFormat="1" applyFont="1" applyBorder="1"/>
    <xf numFmtId="9" fontId="0" fillId="3" borderId="1" xfId="2" applyFont="1" applyFill="1" applyBorder="1"/>
    <xf numFmtId="9" fontId="0" fillId="0" borderId="1" xfId="2" applyFont="1" applyFill="1" applyBorder="1"/>
    <xf numFmtId="165" fontId="0" fillId="18" borderId="1" xfId="0" applyNumberFormat="1" applyFill="1" applyBorder="1"/>
    <xf numFmtId="165" fontId="3" fillId="7" borderId="1" xfId="1" applyNumberFormat="1" applyFont="1" applyFill="1" applyBorder="1" applyAlignment="1">
      <alignment horizontal="left" vertical="center" wrapText="1" readingOrder="1"/>
    </xf>
    <xf numFmtId="9" fontId="6" fillId="0" borderId="0" xfId="0" applyNumberFormat="1" applyFont="1" applyAlignment="1">
      <alignment horizontal="center"/>
    </xf>
    <xf numFmtId="165" fontId="0" fillId="18" borderId="1" xfId="1" applyNumberFormat="1" applyFont="1" applyFill="1" applyBorder="1"/>
    <xf numFmtId="0" fontId="10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10" fillId="3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9" fontId="10" fillId="3" borderId="9" xfId="0" applyNumberFormat="1" applyFont="1" applyFill="1" applyBorder="1" applyAlignment="1">
      <alignment horizontal="center" vertical="center"/>
    </xf>
    <xf numFmtId="3" fontId="10" fillId="3" borderId="9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3" fontId="10" fillId="3" borderId="13" xfId="0" applyNumberFormat="1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65" fontId="0" fillId="21" borderId="1" xfId="1" applyNumberFormat="1" applyFont="1" applyFill="1" applyBorder="1"/>
    <xf numFmtId="0" fontId="0" fillId="21" borderId="1" xfId="0" applyFill="1" applyBorder="1"/>
    <xf numFmtId="0" fontId="4" fillId="22" borderId="1" xfId="0" applyFont="1" applyFill="1" applyBorder="1"/>
    <xf numFmtId="164" fontId="0" fillId="0" borderId="0" xfId="1" applyFont="1" applyAlignment="1">
      <alignment vertical="center"/>
    </xf>
    <xf numFmtId="9" fontId="0" fillId="0" borderId="0" xfId="2" applyFont="1"/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170" fontId="6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16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8" fontId="11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4" fillId="14" borderId="1" xfId="1" applyNumberFormat="1" applyFont="1" applyFill="1" applyBorder="1" applyAlignment="1">
      <alignment horizontal="center" vertical="center" wrapText="1" readingOrder="1"/>
    </xf>
    <xf numFmtId="0" fontId="8" fillId="4" borderId="19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7" borderId="17" xfId="0" applyFont="1" applyFill="1" applyBorder="1" applyAlignment="1">
      <alignment horizontal="right" vertical="center"/>
    </xf>
    <xf numFmtId="0" fontId="5" fillId="7" borderId="18" xfId="0" applyFont="1" applyFill="1" applyBorder="1" applyAlignment="1">
      <alignment horizontal="right" vertical="center"/>
    </xf>
    <xf numFmtId="0" fontId="5" fillId="7" borderId="11" xfId="0" applyFont="1" applyFill="1" applyBorder="1" applyAlignment="1">
      <alignment horizontal="right" vertical="center"/>
    </xf>
    <xf numFmtId="0" fontId="8" fillId="11" borderId="21" xfId="0" applyFont="1" applyFill="1" applyBorder="1" applyAlignment="1">
      <alignment horizontal="right" vertical="center"/>
    </xf>
    <xf numFmtId="0" fontId="8" fillId="11" borderId="14" xfId="0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right" vertical="center"/>
    </xf>
    <xf numFmtId="0" fontId="6" fillId="10" borderId="18" xfId="0" applyFont="1" applyFill="1" applyBorder="1" applyAlignment="1">
      <alignment horizontal="right" vertical="center"/>
    </xf>
    <xf numFmtId="0" fontId="6" fillId="10" borderId="11" xfId="0" applyFont="1" applyFill="1" applyBorder="1" applyAlignment="1">
      <alignment horizontal="right" vertical="center"/>
    </xf>
    <xf numFmtId="0" fontId="5" fillId="4" borderId="17" xfId="0" applyFont="1" applyFill="1" applyBorder="1" applyAlignment="1">
      <alignment horizontal="right" vertical="center"/>
    </xf>
    <xf numFmtId="0" fontId="5" fillId="4" borderId="18" xfId="0" applyFont="1" applyFill="1" applyBorder="1" applyAlignment="1">
      <alignment horizontal="right" vertical="center"/>
    </xf>
    <xf numFmtId="0" fontId="5" fillId="4" borderId="11" xfId="0" applyFont="1" applyFill="1" applyBorder="1" applyAlignment="1">
      <alignment horizontal="right" vertical="center"/>
    </xf>
    <xf numFmtId="0" fontId="6" fillId="0" borderId="25" xfId="0" applyFont="1" applyBorder="1" applyAlignment="1">
      <alignment horizontal="center" vertical="center" wrapText="1"/>
    </xf>
    <xf numFmtId="165" fontId="0" fillId="18" borderId="1" xfId="0" applyNumberForma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4" fillId="22" borderId="17" xfId="0" applyFont="1" applyFill="1" applyBorder="1" applyAlignment="1">
      <alignment horizontal="center"/>
    </xf>
    <xf numFmtId="0" fontId="4" fillId="22" borderId="18" xfId="0" applyFont="1" applyFill="1" applyBorder="1" applyAlignment="1">
      <alignment horizontal="center"/>
    </xf>
    <xf numFmtId="0" fontId="4" fillId="22" borderId="11" xfId="0" applyFont="1" applyFill="1" applyBorder="1" applyAlignment="1">
      <alignment horizontal="center"/>
    </xf>
    <xf numFmtId="0" fontId="20" fillId="20" borderId="29" xfId="0" applyFont="1" applyFill="1" applyBorder="1" applyAlignment="1">
      <alignment horizontal="center"/>
    </xf>
    <xf numFmtId="0" fontId="20" fillId="20" borderId="36" xfId="0" applyFont="1" applyFill="1" applyBorder="1" applyAlignment="1">
      <alignment horizontal="center"/>
    </xf>
    <xf numFmtId="0" fontId="20" fillId="20" borderId="30" xfId="0" applyFont="1" applyFill="1" applyBorder="1" applyAlignment="1">
      <alignment horizontal="center"/>
    </xf>
    <xf numFmtId="0" fontId="5" fillId="19" borderId="17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20" fillId="20" borderId="29" xfId="0" applyFont="1" applyFill="1" applyBorder="1" applyAlignment="1">
      <alignment horizontal="center" vertical="center"/>
    </xf>
    <xf numFmtId="0" fontId="20" fillId="20" borderId="36" xfId="0" applyFont="1" applyFill="1" applyBorder="1" applyAlignment="1">
      <alignment horizontal="center" vertical="center"/>
    </xf>
    <xf numFmtId="0" fontId="20" fillId="20" borderId="30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5</xdr:col>
      <xdr:colOff>263476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5F16F2-3E4F-4278-9952-C49F74308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4211" cy="556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5</xdr:col>
      <xdr:colOff>263476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139B1-6747-4145-922B-2C4E53AA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4211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C222-2A92-428A-9C71-DEC7724B9953}">
  <sheetPr>
    <tabColor theme="8" tint="0.79998168889431442"/>
  </sheetPr>
  <dimension ref="B1:I33"/>
  <sheetViews>
    <sheetView topLeftCell="A28" zoomScale="121" zoomScaleNormal="85" zoomScaleSheetLayoutView="126" zoomScalePageLayoutView="41" workbookViewId="0">
      <selection activeCell="K28" sqref="K28"/>
    </sheetView>
  </sheetViews>
  <sheetFormatPr defaultRowHeight="13.2" x14ac:dyDescent="0.3"/>
  <cols>
    <col min="1" max="1" width="2.21875" style="73" customWidth="1"/>
    <col min="2" max="2" width="5.88671875" style="73" customWidth="1"/>
    <col min="3" max="3" width="12.44140625" style="73" customWidth="1"/>
    <col min="4" max="4" width="7.88671875" style="74" customWidth="1"/>
    <col min="5" max="5" width="20.6640625" style="73" customWidth="1"/>
    <col min="6" max="6" width="9.5546875" style="73" customWidth="1"/>
    <col min="7" max="7" width="12.6640625" style="73" customWidth="1"/>
    <col min="8" max="8" width="9.5546875" style="73" customWidth="1"/>
    <col min="9" max="9" width="26.44140625" style="73" customWidth="1"/>
    <col min="10" max="16384" width="8.88671875" style="73"/>
  </cols>
  <sheetData>
    <row r="1" spans="2:9" ht="49.8" customHeight="1" x14ac:dyDescent="0.3">
      <c r="B1" s="154"/>
      <c r="C1" s="154"/>
      <c r="D1" s="154"/>
      <c r="E1" s="154"/>
      <c r="F1" s="154"/>
      <c r="G1" s="154"/>
      <c r="H1" s="155" t="s">
        <v>56</v>
      </c>
      <c r="I1" s="155"/>
    </row>
    <row r="2" spans="2:9" ht="53.4" customHeight="1" x14ac:dyDescent="0.3">
      <c r="B2" s="156" t="s">
        <v>67</v>
      </c>
      <c r="C2" s="156"/>
      <c r="D2" s="156"/>
      <c r="E2" s="156"/>
      <c r="F2" s="156"/>
      <c r="G2" s="156"/>
      <c r="H2" s="156"/>
      <c r="I2" s="156"/>
    </row>
    <row r="3" spans="2:9" ht="19.8" customHeight="1" x14ac:dyDescent="0.3">
      <c r="B3" s="157" t="s">
        <v>68</v>
      </c>
      <c r="C3" s="157"/>
      <c r="D3" s="158" t="s">
        <v>69</v>
      </c>
      <c r="E3" s="158"/>
      <c r="F3" s="159" t="s">
        <v>57</v>
      </c>
      <c r="G3" s="159"/>
      <c r="H3" s="159" t="s">
        <v>58</v>
      </c>
      <c r="I3" s="159"/>
    </row>
    <row r="4" spans="2:9" ht="19.8" customHeight="1" x14ac:dyDescent="0.3">
      <c r="B4" s="160" t="s">
        <v>70</v>
      </c>
      <c r="C4" s="160"/>
      <c r="D4" s="158" t="s">
        <v>71</v>
      </c>
      <c r="E4" s="158"/>
      <c r="F4" s="154" t="s">
        <v>75</v>
      </c>
      <c r="G4" s="154"/>
      <c r="H4" s="161">
        <f ca="1">TODAY()</f>
        <v>45645</v>
      </c>
      <c r="I4" s="161"/>
    </row>
    <row r="5" spans="2:9" ht="19.8" customHeight="1" x14ac:dyDescent="0.3">
      <c r="B5" s="160" t="s">
        <v>203</v>
      </c>
      <c r="C5" s="160"/>
      <c r="D5" s="158"/>
      <c r="E5" s="158"/>
      <c r="F5" s="154"/>
      <c r="G5" s="154"/>
      <c r="H5" s="161"/>
      <c r="I5" s="161"/>
    </row>
    <row r="6" spans="2:9" ht="19.8" customHeight="1" x14ac:dyDescent="0.3">
      <c r="B6" s="160" t="s">
        <v>73</v>
      </c>
      <c r="C6" s="160"/>
      <c r="D6" s="162"/>
      <c r="E6" s="158"/>
      <c r="F6" s="163" t="s">
        <v>72</v>
      </c>
      <c r="G6" s="163"/>
      <c r="H6" s="163"/>
      <c r="I6" s="163"/>
    </row>
    <row r="7" spans="2:9" ht="19.8" customHeight="1" x14ac:dyDescent="0.3">
      <c r="B7" s="160" t="s">
        <v>74</v>
      </c>
      <c r="C7" s="160"/>
      <c r="D7" s="158"/>
      <c r="E7" s="158"/>
      <c r="F7" s="163"/>
      <c r="G7" s="163"/>
      <c r="H7" s="163"/>
      <c r="I7" s="163"/>
    </row>
    <row r="8" spans="2:9" ht="6.6" customHeight="1" x14ac:dyDescent="0.3">
      <c r="B8" s="154"/>
      <c r="C8" s="154"/>
      <c r="D8" s="154"/>
      <c r="E8" s="154"/>
      <c r="F8" s="154"/>
      <c r="G8" s="154"/>
      <c r="H8" s="154"/>
      <c r="I8" s="154"/>
    </row>
    <row r="9" spans="2:9" ht="18.600000000000001" customHeight="1" x14ac:dyDescent="0.3">
      <c r="B9" s="165" t="s">
        <v>59</v>
      </c>
      <c r="C9" s="165"/>
      <c r="D9" s="165"/>
      <c r="E9" s="165"/>
      <c r="F9" s="165"/>
      <c r="G9" s="165"/>
      <c r="H9" s="165"/>
      <c r="I9" s="165"/>
    </row>
    <row r="10" spans="2:9" ht="19.8" customHeight="1" x14ac:dyDescent="0.3">
      <c r="B10" s="160" t="s">
        <v>204</v>
      </c>
      <c r="C10" s="160"/>
      <c r="D10" s="158" t="s">
        <v>209</v>
      </c>
      <c r="E10" s="158"/>
      <c r="F10" s="158"/>
      <c r="G10" s="158"/>
      <c r="H10" s="158"/>
      <c r="I10" s="158"/>
    </row>
    <row r="11" spans="2:9" ht="19.8" customHeight="1" x14ac:dyDescent="0.3">
      <c r="B11" s="160" t="s">
        <v>97</v>
      </c>
      <c r="C11" s="160"/>
      <c r="D11" s="158"/>
      <c r="E11" s="158"/>
      <c r="F11" s="158"/>
      <c r="G11" s="158"/>
      <c r="H11" s="158"/>
      <c r="I11" s="158"/>
    </row>
    <row r="12" spans="2:9" ht="19.8" customHeight="1" x14ac:dyDescent="0.3">
      <c r="B12" s="160" t="s">
        <v>203</v>
      </c>
      <c r="C12" s="160"/>
      <c r="D12" s="158"/>
      <c r="E12" s="158"/>
      <c r="F12" s="166" t="s">
        <v>73</v>
      </c>
      <c r="G12" s="166"/>
      <c r="H12" s="162"/>
      <c r="I12" s="158"/>
    </row>
    <row r="13" spans="2:9" ht="19.8" customHeight="1" x14ac:dyDescent="0.3">
      <c r="B13" s="160" t="s">
        <v>74</v>
      </c>
      <c r="C13" s="160"/>
      <c r="D13" s="158"/>
      <c r="E13" s="158"/>
      <c r="F13" s="158"/>
      <c r="G13" s="158"/>
      <c r="H13" s="158"/>
      <c r="I13" s="158"/>
    </row>
    <row r="14" spans="2:9" ht="6.6" customHeight="1" x14ac:dyDescent="0.3">
      <c r="B14" s="154"/>
      <c r="C14" s="154"/>
      <c r="D14" s="154"/>
      <c r="E14" s="154"/>
      <c r="F14" s="154"/>
      <c r="G14" s="154"/>
      <c r="H14" s="154"/>
      <c r="I14" s="154"/>
    </row>
    <row r="15" spans="2:9" ht="18.600000000000001" customHeight="1" x14ac:dyDescent="0.3">
      <c r="B15" s="167" t="s">
        <v>60</v>
      </c>
      <c r="C15" s="167"/>
      <c r="D15" s="167"/>
      <c r="E15" s="167"/>
      <c r="F15" s="167"/>
      <c r="G15" s="167"/>
      <c r="H15" s="167"/>
      <c r="I15" s="167"/>
    </row>
    <row r="16" spans="2:9" ht="62.4" customHeight="1" x14ac:dyDescent="0.3">
      <c r="B16" s="168" t="s">
        <v>206</v>
      </c>
      <c r="C16" s="168"/>
      <c r="D16" s="168"/>
      <c r="E16" s="168"/>
      <c r="F16" s="168"/>
      <c r="G16" s="168"/>
      <c r="H16" s="168"/>
      <c r="I16" s="168"/>
    </row>
    <row r="17" spans="2:9" s="74" customFormat="1" ht="37.799999999999997" customHeight="1" x14ac:dyDescent="0.3">
      <c r="B17" s="33" t="s">
        <v>61</v>
      </c>
      <c r="C17" s="164" t="s">
        <v>210</v>
      </c>
      <c r="D17" s="164"/>
      <c r="E17" s="164"/>
      <c r="F17" s="164"/>
      <c r="G17" s="164" t="s">
        <v>27</v>
      </c>
      <c r="H17" s="164"/>
      <c r="I17" s="33" t="s">
        <v>64</v>
      </c>
    </row>
    <row r="18" spans="2:9" ht="35.4" customHeight="1" x14ac:dyDescent="0.3">
      <c r="B18" s="154">
        <v>1</v>
      </c>
      <c r="C18" s="169" t="s">
        <v>28</v>
      </c>
      <c r="D18" s="169"/>
      <c r="E18" s="156" t="s">
        <v>105</v>
      </c>
      <c r="F18" s="156"/>
      <c r="G18" s="178" t="s">
        <v>207</v>
      </c>
      <c r="H18" s="178"/>
      <c r="I18" s="111">
        <f ca="1">ROUNDUP('Commercials (C)'!E37,0)</f>
        <v>7769197</v>
      </c>
    </row>
    <row r="19" spans="2:9" ht="35.4" customHeight="1" x14ac:dyDescent="0.3">
      <c r="B19" s="154"/>
      <c r="C19" s="169"/>
      <c r="D19" s="169"/>
      <c r="E19" s="156" t="s">
        <v>65</v>
      </c>
      <c r="F19" s="156"/>
      <c r="G19" s="178" t="s">
        <v>207</v>
      </c>
      <c r="H19" s="178"/>
      <c r="I19" s="111">
        <f>ROUNDUP('Commercials (C)'!F37,0)</f>
        <v>774108</v>
      </c>
    </row>
    <row r="20" spans="2:9" ht="35.4" customHeight="1" x14ac:dyDescent="0.3">
      <c r="B20" s="72">
        <v>2</v>
      </c>
      <c r="C20" s="169" t="s">
        <v>49</v>
      </c>
      <c r="D20" s="169"/>
      <c r="E20" s="156" t="s">
        <v>197</v>
      </c>
      <c r="F20" s="156"/>
      <c r="G20" s="178" t="s">
        <v>207</v>
      </c>
      <c r="H20" s="178"/>
      <c r="I20" s="111">
        <f>ROUNDUP(('Commercials (C)'!G37+'Commercials (C)'!H37),0)</f>
        <v>1205358</v>
      </c>
    </row>
    <row r="21" spans="2:9" ht="35.4" customHeight="1" x14ac:dyDescent="0.3">
      <c r="B21" s="173" t="s">
        <v>212</v>
      </c>
      <c r="C21" s="173"/>
      <c r="D21" s="173"/>
      <c r="E21" s="173"/>
      <c r="F21" s="173"/>
      <c r="G21" s="173"/>
      <c r="H21" s="173"/>
      <c r="I21" s="75">
        <f ca="1">SUM(I18:I20)</f>
        <v>9748663</v>
      </c>
    </row>
    <row r="22" spans="2:9" ht="35.4" customHeight="1" x14ac:dyDescent="0.3">
      <c r="B22" s="72">
        <v>3</v>
      </c>
      <c r="C22" s="169" t="s">
        <v>211</v>
      </c>
      <c r="D22" s="169"/>
      <c r="E22" s="156" t="s">
        <v>205</v>
      </c>
      <c r="F22" s="156"/>
      <c r="G22" s="178" t="s">
        <v>164</v>
      </c>
      <c r="H22" s="178"/>
      <c r="I22" s="111">
        <f>ROUNDUP('Commercials (C)'!J42,0)</f>
        <v>454079</v>
      </c>
    </row>
    <row r="23" spans="2:9" ht="35.4" customHeight="1" x14ac:dyDescent="0.3">
      <c r="B23" s="72">
        <v>4</v>
      </c>
      <c r="C23" s="169" t="s">
        <v>55</v>
      </c>
      <c r="D23" s="169"/>
      <c r="E23" s="156" t="s">
        <v>147</v>
      </c>
      <c r="F23" s="156"/>
      <c r="G23" s="178" t="s">
        <v>29</v>
      </c>
      <c r="H23" s="178"/>
      <c r="I23" s="111">
        <f ca="1">ROUNDUP('Commercials (C)'!K42,0)</f>
        <v>174261</v>
      </c>
    </row>
    <row r="24" spans="2:9" ht="6.6" customHeight="1" x14ac:dyDescent="0.3">
      <c r="B24" s="174"/>
      <c r="C24" s="174"/>
      <c r="D24" s="174"/>
      <c r="E24" s="174"/>
      <c r="F24" s="174"/>
      <c r="G24" s="174"/>
      <c r="H24" s="174"/>
      <c r="I24" s="174"/>
    </row>
    <row r="25" spans="2:9" ht="18.600000000000001" customHeight="1" x14ac:dyDescent="0.3">
      <c r="B25" s="172" t="s">
        <v>98</v>
      </c>
      <c r="C25" s="172"/>
      <c r="D25" s="172"/>
      <c r="E25" s="172"/>
      <c r="F25" s="172"/>
      <c r="G25" s="172"/>
      <c r="H25" s="172"/>
      <c r="I25" s="172"/>
    </row>
    <row r="26" spans="2:9" ht="6.6" customHeight="1" x14ac:dyDescent="0.3">
      <c r="B26" s="174"/>
      <c r="C26" s="174"/>
      <c r="D26" s="174"/>
      <c r="E26" s="174"/>
      <c r="F26" s="174"/>
      <c r="G26" s="174"/>
      <c r="H26" s="174"/>
      <c r="I26" s="174"/>
    </row>
    <row r="27" spans="2:9" ht="18.600000000000001" customHeight="1" x14ac:dyDescent="0.3">
      <c r="B27" s="172" t="s">
        <v>62</v>
      </c>
      <c r="C27" s="172"/>
      <c r="D27" s="172"/>
      <c r="E27" s="172"/>
      <c r="F27" s="172"/>
      <c r="G27" s="172"/>
      <c r="H27" s="172"/>
      <c r="I27" s="172"/>
    </row>
    <row r="28" spans="2:9" ht="268.8" customHeight="1" x14ac:dyDescent="0.3">
      <c r="B28" s="175" t="s">
        <v>225</v>
      </c>
      <c r="C28" s="175"/>
      <c r="D28" s="158"/>
      <c r="E28" s="158"/>
      <c r="F28" s="158"/>
      <c r="G28" s="158"/>
      <c r="H28" s="158"/>
      <c r="I28" s="158"/>
    </row>
    <row r="29" spans="2:9" x14ac:dyDescent="0.3">
      <c r="B29" s="172" t="s">
        <v>148</v>
      </c>
      <c r="C29" s="172"/>
      <c r="D29" s="172"/>
      <c r="E29" s="172"/>
      <c r="F29" s="172"/>
      <c r="G29" s="172"/>
      <c r="H29" s="172"/>
      <c r="I29" s="172"/>
    </row>
    <row r="30" spans="2:9" ht="64.2" customHeight="1" x14ac:dyDescent="0.3">
      <c r="B30" s="176" t="s">
        <v>224</v>
      </c>
      <c r="C30" s="177"/>
      <c r="D30" s="177"/>
      <c r="E30" s="177"/>
      <c r="F30" s="177"/>
      <c r="G30" s="177"/>
      <c r="H30" s="177"/>
      <c r="I30" s="177"/>
    </row>
    <row r="31" spans="2:9" x14ac:dyDescent="0.3">
      <c r="B31" s="172" t="s">
        <v>99</v>
      </c>
      <c r="C31" s="172"/>
      <c r="D31" s="172"/>
      <c r="E31" s="172"/>
      <c r="F31" s="172"/>
      <c r="G31" s="172"/>
      <c r="H31" s="172"/>
      <c r="I31" s="172"/>
    </row>
    <row r="32" spans="2:9" ht="49.2" customHeight="1" x14ac:dyDescent="0.3">
      <c r="B32" s="170" t="s">
        <v>100</v>
      </c>
      <c r="C32" s="170"/>
      <c r="D32" s="171"/>
      <c r="E32" s="171"/>
      <c r="F32" s="171"/>
      <c r="G32" s="171"/>
      <c r="H32" s="171"/>
      <c r="I32" s="171"/>
    </row>
    <row r="33" spans="2:9" x14ac:dyDescent="0.3">
      <c r="B33" s="172" t="s">
        <v>208</v>
      </c>
      <c r="C33" s="172"/>
      <c r="D33" s="172"/>
      <c r="E33" s="172"/>
      <c r="F33" s="172"/>
      <c r="G33" s="172"/>
      <c r="H33" s="172"/>
      <c r="I33" s="172"/>
    </row>
  </sheetData>
  <mergeCells count="61">
    <mergeCell ref="E18:F18"/>
    <mergeCell ref="E19:F19"/>
    <mergeCell ref="E20:F20"/>
    <mergeCell ref="E22:F22"/>
    <mergeCell ref="G18:H18"/>
    <mergeCell ref="G19:H19"/>
    <mergeCell ref="G20:H20"/>
    <mergeCell ref="G22:H22"/>
    <mergeCell ref="B32:I32"/>
    <mergeCell ref="B33:I33"/>
    <mergeCell ref="B21:H21"/>
    <mergeCell ref="E23:F23"/>
    <mergeCell ref="B26:I26"/>
    <mergeCell ref="B27:I27"/>
    <mergeCell ref="B28:I28"/>
    <mergeCell ref="B29:I29"/>
    <mergeCell ref="B30:I30"/>
    <mergeCell ref="B31:I31"/>
    <mergeCell ref="B24:I24"/>
    <mergeCell ref="B25:I25"/>
    <mergeCell ref="G23:H23"/>
    <mergeCell ref="B18:B19"/>
    <mergeCell ref="C18:D19"/>
    <mergeCell ref="C20:D20"/>
    <mergeCell ref="C22:D22"/>
    <mergeCell ref="C23:D23"/>
    <mergeCell ref="G17:H17"/>
    <mergeCell ref="B9:I9"/>
    <mergeCell ref="B10:C10"/>
    <mergeCell ref="D10:I10"/>
    <mergeCell ref="B11:C11"/>
    <mergeCell ref="D11:I11"/>
    <mergeCell ref="B12:C12"/>
    <mergeCell ref="D12:E12"/>
    <mergeCell ref="F12:G12"/>
    <mergeCell ref="H12:I12"/>
    <mergeCell ref="B13:C13"/>
    <mergeCell ref="D13:I13"/>
    <mergeCell ref="B14:I14"/>
    <mergeCell ref="B15:I15"/>
    <mergeCell ref="B16:I16"/>
    <mergeCell ref="C17:F17"/>
    <mergeCell ref="B8:I8"/>
    <mergeCell ref="B4:C4"/>
    <mergeCell ref="D4:E4"/>
    <mergeCell ref="F4:G5"/>
    <mergeCell ref="H4:I5"/>
    <mergeCell ref="B5:C5"/>
    <mergeCell ref="D5:E5"/>
    <mergeCell ref="B6:C6"/>
    <mergeCell ref="D6:E6"/>
    <mergeCell ref="F6:I7"/>
    <mergeCell ref="B7:C7"/>
    <mergeCell ref="D7:E7"/>
    <mergeCell ref="B1:G1"/>
    <mergeCell ref="H1:I1"/>
    <mergeCell ref="B2:I2"/>
    <mergeCell ref="B3:C3"/>
    <mergeCell ref="D3:E3"/>
    <mergeCell ref="F3:G3"/>
    <mergeCell ref="H3:I3"/>
  </mergeCells>
  <pageMargins left="0.25" right="0.25" top="0.75" bottom="0.75" header="0.3" footer="0.3"/>
  <pageSetup paperSize="9" scale="91" orientation="portrait" r:id="rId1"/>
  <rowBreaks count="1" manualBreakCount="1">
    <brk id="2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691B-6750-48D3-B3DC-F0F409EA0C40}">
  <sheetPr>
    <tabColor theme="8" tint="0.79998168889431442"/>
  </sheetPr>
  <dimension ref="B1:I25"/>
  <sheetViews>
    <sheetView topLeftCell="A4" zoomScale="90" zoomScaleNormal="90" zoomScaleSheetLayoutView="126" zoomScalePageLayoutView="41" workbookViewId="0">
      <selection activeCell="C19" sqref="C19:E19"/>
    </sheetView>
  </sheetViews>
  <sheetFormatPr defaultRowHeight="13.2" x14ac:dyDescent="0.3"/>
  <cols>
    <col min="1" max="1" width="2.21875" style="73" customWidth="1"/>
    <col min="2" max="2" width="5.88671875" style="73" customWidth="1"/>
    <col min="3" max="3" width="12.44140625" style="73" customWidth="1"/>
    <col min="4" max="4" width="7.88671875" style="74" customWidth="1"/>
    <col min="5" max="5" width="20.6640625" style="73" customWidth="1"/>
    <col min="6" max="6" width="15.44140625" style="73" customWidth="1"/>
    <col min="7" max="7" width="12.6640625" style="73" customWidth="1"/>
    <col min="8" max="8" width="3.88671875" style="73" customWidth="1"/>
    <col min="9" max="9" width="26.44140625" style="73" customWidth="1"/>
    <col min="10" max="16384" width="8.88671875" style="73"/>
  </cols>
  <sheetData>
    <row r="1" spans="2:9" ht="49.8" customHeight="1" x14ac:dyDescent="0.3">
      <c r="B1" s="154"/>
      <c r="C1" s="154"/>
      <c r="D1" s="154"/>
      <c r="E1" s="154"/>
      <c r="F1" s="154"/>
      <c r="G1" s="154"/>
      <c r="H1" s="155" t="s">
        <v>56</v>
      </c>
      <c r="I1" s="155"/>
    </row>
    <row r="2" spans="2:9" ht="53.4" customHeight="1" x14ac:dyDescent="0.3">
      <c r="B2" s="156" t="s">
        <v>67</v>
      </c>
      <c r="C2" s="156"/>
      <c r="D2" s="156"/>
      <c r="E2" s="156"/>
      <c r="F2" s="156"/>
      <c r="G2" s="156"/>
      <c r="H2" s="156"/>
      <c r="I2" s="156"/>
    </row>
    <row r="3" spans="2:9" ht="19.8" customHeight="1" x14ac:dyDescent="0.3">
      <c r="B3" s="157" t="s">
        <v>68</v>
      </c>
      <c r="C3" s="157"/>
      <c r="D3" s="158" t="s">
        <v>69</v>
      </c>
      <c r="E3" s="158"/>
      <c r="F3" s="159" t="s">
        <v>57</v>
      </c>
      <c r="G3" s="159"/>
      <c r="H3" s="159" t="s">
        <v>58</v>
      </c>
      <c r="I3" s="159"/>
    </row>
    <row r="4" spans="2:9" ht="19.8" customHeight="1" x14ac:dyDescent="0.3">
      <c r="B4" s="160" t="s">
        <v>70</v>
      </c>
      <c r="C4" s="160"/>
      <c r="D4" s="158" t="s">
        <v>71</v>
      </c>
      <c r="E4" s="158"/>
      <c r="F4" s="154" t="str">
        <f>Quotation!F4</f>
        <v>ABC/XY/YYMM##</v>
      </c>
      <c r="G4" s="154"/>
      <c r="H4" s="161">
        <f ca="1">Quotation!H4</f>
        <v>45645</v>
      </c>
      <c r="I4" s="161"/>
    </row>
    <row r="5" spans="2:9" ht="19.8" customHeight="1" x14ac:dyDescent="0.3">
      <c r="B5" s="160" t="s">
        <v>203</v>
      </c>
      <c r="C5" s="160"/>
      <c r="D5" s="158">
        <f>Quotation!D5</f>
        <v>0</v>
      </c>
      <c r="E5" s="158"/>
      <c r="F5" s="154"/>
      <c r="G5" s="154"/>
      <c r="H5" s="161"/>
      <c r="I5" s="161"/>
    </row>
    <row r="6" spans="2:9" ht="19.8" customHeight="1" x14ac:dyDescent="0.3">
      <c r="B6" s="160" t="s">
        <v>73</v>
      </c>
      <c r="C6" s="160"/>
      <c r="D6" s="158">
        <f>Quotation!D6</f>
        <v>0</v>
      </c>
      <c r="E6" s="158"/>
      <c r="F6" s="163" t="s">
        <v>72</v>
      </c>
      <c r="G6" s="163"/>
      <c r="H6" s="163"/>
      <c r="I6" s="163"/>
    </row>
    <row r="7" spans="2:9" ht="19.8" customHeight="1" x14ac:dyDescent="0.3">
      <c r="B7" s="160" t="s">
        <v>74</v>
      </c>
      <c r="C7" s="160"/>
      <c r="D7" s="158">
        <f>Quotation!D7</f>
        <v>0</v>
      </c>
      <c r="E7" s="158"/>
      <c r="F7" s="163"/>
      <c r="G7" s="163"/>
      <c r="H7" s="163"/>
      <c r="I7" s="163"/>
    </row>
    <row r="8" spans="2:9" ht="6.6" customHeight="1" x14ac:dyDescent="0.3">
      <c r="B8" s="154"/>
      <c r="C8" s="154"/>
      <c r="D8" s="154"/>
      <c r="E8" s="154"/>
      <c r="F8" s="154"/>
      <c r="G8" s="154"/>
      <c r="H8" s="154"/>
      <c r="I8" s="154"/>
    </row>
    <row r="9" spans="2:9" ht="18.600000000000001" customHeight="1" x14ac:dyDescent="0.3">
      <c r="B9" s="165" t="s">
        <v>59</v>
      </c>
      <c r="C9" s="165"/>
      <c r="D9" s="165"/>
      <c r="E9" s="165"/>
      <c r="F9" s="165"/>
      <c r="G9" s="165"/>
      <c r="H9" s="165"/>
      <c r="I9" s="165"/>
    </row>
    <row r="10" spans="2:9" ht="19.8" customHeight="1" x14ac:dyDescent="0.3">
      <c r="B10" s="160" t="s">
        <v>204</v>
      </c>
      <c r="C10" s="160"/>
      <c r="D10" s="158" t="str">
        <f>Quotation!D10</f>
        <v>Ashai India Glass Ltd.</v>
      </c>
      <c r="E10" s="158"/>
      <c r="F10" s="158"/>
      <c r="G10" s="158"/>
      <c r="H10" s="158"/>
      <c r="I10" s="158"/>
    </row>
    <row r="11" spans="2:9" ht="19.8" customHeight="1" x14ac:dyDescent="0.3">
      <c r="B11" s="160" t="s">
        <v>97</v>
      </c>
      <c r="C11" s="160"/>
      <c r="D11" s="158">
        <f>Quotation!D11</f>
        <v>0</v>
      </c>
      <c r="E11" s="158"/>
      <c r="F11" s="158"/>
      <c r="G11" s="158"/>
      <c r="H11" s="158"/>
      <c r="I11" s="158"/>
    </row>
    <row r="12" spans="2:9" ht="19.8" customHeight="1" x14ac:dyDescent="0.3">
      <c r="B12" s="160" t="s">
        <v>203</v>
      </c>
      <c r="C12" s="160"/>
      <c r="D12" s="158">
        <f>Quotation!D12</f>
        <v>0</v>
      </c>
      <c r="E12" s="158"/>
      <c r="F12" s="166" t="s">
        <v>73</v>
      </c>
      <c r="G12" s="166"/>
      <c r="H12" s="162">
        <f>Quotation!H12</f>
        <v>0</v>
      </c>
      <c r="I12" s="158"/>
    </row>
    <row r="13" spans="2:9" ht="19.8" customHeight="1" x14ac:dyDescent="0.3">
      <c r="B13" s="160" t="s">
        <v>74</v>
      </c>
      <c r="C13" s="160"/>
      <c r="D13" s="158">
        <f>Quotation!D13</f>
        <v>0</v>
      </c>
      <c r="E13" s="158"/>
      <c r="F13" s="158"/>
      <c r="G13" s="158"/>
      <c r="H13" s="158"/>
      <c r="I13" s="158"/>
    </row>
    <row r="14" spans="2:9" ht="6.6" customHeight="1" x14ac:dyDescent="0.3">
      <c r="B14" s="154"/>
      <c r="C14" s="154"/>
      <c r="D14" s="154"/>
      <c r="E14" s="154"/>
      <c r="F14" s="154"/>
      <c r="G14" s="154"/>
      <c r="H14" s="154"/>
      <c r="I14" s="154"/>
    </row>
    <row r="15" spans="2:9" ht="18.600000000000001" customHeight="1" x14ac:dyDescent="0.3">
      <c r="B15" s="167" t="s">
        <v>149</v>
      </c>
      <c r="C15" s="167"/>
      <c r="D15" s="167"/>
      <c r="E15" s="167"/>
      <c r="F15" s="167"/>
      <c r="G15" s="167"/>
      <c r="H15" s="167"/>
      <c r="I15" s="167"/>
    </row>
    <row r="16" spans="2:9" s="74" customFormat="1" ht="37.799999999999997" customHeight="1" x14ac:dyDescent="0.3">
      <c r="B16" s="33" t="s">
        <v>61</v>
      </c>
      <c r="C16" s="164" t="s">
        <v>1</v>
      </c>
      <c r="D16" s="164"/>
      <c r="E16" s="164"/>
      <c r="F16" s="33" t="s">
        <v>42</v>
      </c>
      <c r="G16" s="179" t="s">
        <v>65</v>
      </c>
      <c r="H16" s="179"/>
      <c r="I16" s="33" t="s">
        <v>2</v>
      </c>
    </row>
    <row r="17" spans="2:9" ht="24" customHeight="1" x14ac:dyDescent="0.3">
      <c r="B17" s="72">
        <v>1</v>
      </c>
      <c r="C17" s="156" t="str">
        <f>'Total Hardware'!B3</f>
        <v>RFID Reader</v>
      </c>
      <c r="D17" s="156"/>
      <c r="E17" s="156"/>
      <c r="F17" s="112">
        <f ca="1">VLOOKUP(C17,'Total Hardware'!$B$3:$F$6,2,FALSE)</f>
        <v>20</v>
      </c>
      <c r="G17" s="180">
        <f>VLOOKUP(C17,'Total Hardware'!$B$3:$F$6,5,FALSE)</f>
        <v>4</v>
      </c>
      <c r="H17" s="180"/>
      <c r="I17" s="113">
        <f ca="1">F17+G17</f>
        <v>24</v>
      </c>
    </row>
    <row r="18" spans="2:9" ht="24" customHeight="1" x14ac:dyDescent="0.3">
      <c r="B18" s="72">
        <v>2</v>
      </c>
      <c r="C18" s="156" t="str">
        <f>'Total Hardware'!B4</f>
        <v>Handheld RFID Reader</v>
      </c>
      <c r="D18" s="156"/>
      <c r="E18" s="156"/>
      <c r="F18" s="112">
        <f ca="1">VLOOKUP(C18,'Total Hardware'!$B$3:$F$6,2,FALSE)</f>
        <v>6</v>
      </c>
      <c r="G18" s="180">
        <f>VLOOKUP(C18,'Total Hardware'!$B$3:$F$6,5,FALSE)</f>
        <v>3</v>
      </c>
      <c r="H18" s="180"/>
      <c r="I18" s="113">
        <f t="shared" ref="I18:I20" ca="1" si="0">F18+G18</f>
        <v>9</v>
      </c>
    </row>
    <row r="19" spans="2:9" ht="24" customHeight="1" x14ac:dyDescent="0.3">
      <c r="B19" s="72">
        <v>4</v>
      </c>
      <c r="C19" s="156" t="str">
        <f>'Total Hardware'!B5</f>
        <v>Desktop</v>
      </c>
      <c r="D19" s="156"/>
      <c r="E19" s="156"/>
      <c r="F19" s="112">
        <f ca="1">VLOOKUP(C19,'Total Hardware'!$B$3:$F$6,2,FALSE)</f>
        <v>1</v>
      </c>
      <c r="G19" s="180">
        <f>VLOOKUP(C19,'Total Hardware'!$B$3:$F$6,5,FALSE)</f>
        <v>0</v>
      </c>
      <c r="H19" s="180"/>
      <c r="I19" s="113">
        <f t="shared" ca="1" si="0"/>
        <v>1</v>
      </c>
    </row>
    <row r="20" spans="2:9" ht="24" customHeight="1" x14ac:dyDescent="0.3">
      <c r="B20" s="72">
        <v>3</v>
      </c>
      <c r="C20" s="156" t="str">
        <f>'Total Hardware'!B6</f>
        <v>RFID Tag</v>
      </c>
      <c r="D20" s="156"/>
      <c r="E20" s="156"/>
      <c r="F20" s="112">
        <f ca="1">VLOOKUP(C20,'Total Hardware'!$B$3:$F$6,2,FALSE)</f>
        <v>140000</v>
      </c>
      <c r="G20" s="180">
        <f>VLOOKUP(C20,'Total Hardware'!$B$3:$F$6,5,FALSE)</f>
        <v>10000</v>
      </c>
      <c r="H20" s="180"/>
      <c r="I20" s="113">
        <f t="shared" ca="1" si="0"/>
        <v>150000</v>
      </c>
    </row>
    <row r="21" spans="2:9" ht="24" customHeight="1" x14ac:dyDescent="0.3">
      <c r="B21" s="173" t="s">
        <v>2</v>
      </c>
      <c r="C21" s="173"/>
      <c r="D21" s="173"/>
      <c r="E21" s="173"/>
      <c r="F21" s="114">
        <f ca="1">SUM(F17:F20)</f>
        <v>140027</v>
      </c>
      <c r="G21" s="181">
        <f>SUM(G17:H20)</f>
        <v>10007</v>
      </c>
      <c r="H21" s="181"/>
      <c r="I21" s="114">
        <f ca="1">SUM(I17:I20)</f>
        <v>150034</v>
      </c>
    </row>
    <row r="22" spans="2:9" ht="6.6" customHeight="1" x14ac:dyDescent="0.3">
      <c r="B22" s="174"/>
      <c r="C22" s="174"/>
      <c r="D22" s="174"/>
      <c r="E22" s="174"/>
      <c r="F22" s="174"/>
      <c r="G22" s="174"/>
      <c r="H22" s="174"/>
      <c r="I22" s="174"/>
    </row>
    <row r="23" spans="2:9" x14ac:dyDescent="0.3">
      <c r="B23" s="172" t="s">
        <v>99</v>
      </c>
      <c r="C23" s="172"/>
      <c r="D23" s="172"/>
      <c r="E23" s="172"/>
      <c r="F23" s="172"/>
      <c r="G23" s="172"/>
      <c r="H23" s="172"/>
      <c r="I23" s="172"/>
    </row>
    <row r="24" spans="2:9" ht="49.2" customHeight="1" x14ac:dyDescent="0.3">
      <c r="B24" s="170" t="s">
        <v>100</v>
      </c>
      <c r="C24" s="170"/>
      <c r="D24" s="170"/>
      <c r="E24" s="170"/>
      <c r="F24" s="170"/>
      <c r="G24" s="170"/>
      <c r="H24" s="170"/>
      <c r="I24" s="170"/>
    </row>
    <row r="25" spans="2:9" x14ac:dyDescent="0.3">
      <c r="B25" s="172" t="s">
        <v>208</v>
      </c>
      <c r="C25" s="172"/>
      <c r="D25" s="172"/>
      <c r="E25" s="172"/>
      <c r="F25" s="172"/>
      <c r="G25" s="172"/>
      <c r="H25" s="172"/>
      <c r="I25" s="172"/>
    </row>
  </sheetData>
  <mergeCells count="48">
    <mergeCell ref="B24:I24"/>
    <mergeCell ref="B25:I25"/>
    <mergeCell ref="B21:E21"/>
    <mergeCell ref="G21:H21"/>
    <mergeCell ref="B22:I22"/>
    <mergeCell ref="B23:I23"/>
    <mergeCell ref="C17:E17"/>
    <mergeCell ref="G17:H17"/>
    <mergeCell ref="C18:E18"/>
    <mergeCell ref="G18:H18"/>
    <mergeCell ref="C20:E20"/>
    <mergeCell ref="G20:H20"/>
    <mergeCell ref="C19:E19"/>
    <mergeCell ref="G19:H19"/>
    <mergeCell ref="B13:C13"/>
    <mergeCell ref="D13:I13"/>
    <mergeCell ref="B14:I14"/>
    <mergeCell ref="B15:I15"/>
    <mergeCell ref="C16:E16"/>
    <mergeCell ref="G16:H16"/>
    <mergeCell ref="B12:C12"/>
    <mergeCell ref="D12:E12"/>
    <mergeCell ref="F12:G12"/>
    <mergeCell ref="H12:I12"/>
    <mergeCell ref="B6:C6"/>
    <mergeCell ref="D6:E6"/>
    <mergeCell ref="F6:I7"/>
    <mergeCell ref="B7:C7"/>
    <mergeCell ref="D7:E7"/>
    <mergeCell ref="B8:I8"/>
    <mergeCell ref="B9:I9"/>
    <mergeCell ref="B10:C10"/>
    <mergeCell ref="D10:I10"/>
    <mergeCell ref="B11:C11"/>
    <mergeCell ref="D11:I11"/>
    <mergeCell ref="B4:C4"/>
    <mergeCell ref="D4:E4"/>
    <mergeCell ref="F4:G5"/>
    <mergeCell ref="H4:I5"/>
    <mergeCell ref="B5:C5"/>
    <mergeCell ref="D5:E5"/>
    <mergeCell ref="B1:G1"/>
    <mergeCell ref="H1:I1"/>
    <mergeCell ref="B2:I2"/>
    <mergeCell ref="B3:C3"/>
    <mergeCell ref="D3:E3"/>
    <mergeCell ref="F3:G3"/>
    <mergeCell ref="H3:I3"/>
  </mergeCells>
  <pageMargins left="0.25" right="0.25" top="0.75" bottom="0.75" header="0.3" footer="0.3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BBC1-9BB7-491B-8E07-71CCEAD648EC}">
  <dimension ref="B2:C9"/>
  <sheetViews>
    <sheetView zoomScale="190" zoomScaleNormal="190" workbookViewId="0">
      <selection activeCell="C6" sqref="C6"/>
    </sheetView>
  </sheetViews>
  <sheetFormatPr defaultRowHeight="14.4" x14ac:dyDescent="0.3"/>
  <sheetData>
    <row r="2" spans="2:3" x14ac:dyDescent="0.3">
      <c r="B2" t="s">
        <v>76</v>
      </c>
    </row>
    <row r="3" spans="2:3" x14ac:dyDescent="0.3">
      <c r="B3" t="s">
        <v>75</v>
      </c>
    </row>
    <row r="5" spans="2:3" x14ac:dyDescent="0.3">
      <c r="B5" t="s">
        <v>77</v>
      </c>
      <c r="C5" t="s">
        <v>78</v>
      </c>
    </row>
    <row r="6" spans="2:3" x14ac:dyDescent="0.3">
      <c r="B6" t="s">
        <v>79</v>
      </c>
      <c r="C6" t="s">
        <v>80</v>
      </c>
    </row>
    <row r="7" spans="2:3" x14ac:dyDescent="0.3">
      <c r="B7" t="s">
        <v>81</v>
      </c>
      <c r="C7" t="s">
        <v>82</v>
      </c>
    </row>
    <row r="8" spans="2:3" x14ac:dyDescent="0.3">
      <c r="B8" t="s">
        <v>83</v>
      </c>
      <c r="C8" t="s">
        <v>84</v>
      </c>
    </row>
    <row r="9" spans="2:3" x14ac:dyDescent="0.3">
      <c r="B9" t="s">
        <v>85</v>
      </c>
      <c r="C9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A461-A342-4281-B5A7-98045F47E18A}">
  <sheetPr>
    <tabColor theme="9" tint="0.39997558519241921"/>
  </sheetPr>
  <dimension ref="B1:Q48"/>
  <sheetViews>
    <sheetView topLeftCell="C19" zoomScale="70" zoomScaleNormal="70" workbookViewId="0">
      <selection activeCell="D9" sqref="D9"/>
    </sheetView>
  </sheetViews>
  <sheetFormatPr defaultRowHeight="14.4" x14ac:dyDescent="0.3"/>
  <cols>
    <col min="1" max="1" width="3.44140625" customWidth="1"/>
    <col min="2" max="2" width="15.44140625" customWidth="1"/>
    <col min="3" max="3" width="28.5546875" customWidth="1"/>
    <col min="4" max="4" width="38" customWidth="1"/>
    <col min="5" max="5" width="37.33203125" customWidth="1"/>
    <col min="6" max="6" width="10.5546875" customWidth="1"/>
    <col min="7" max="7" width="14.109375" customWidth="1"/>
    <col min="8" max="8" width="10.33203125" customWidth="1"/>
    <col min="9" max="9" width="24.33203125" customWidth="1"/>
    <col min="10" max="10" width="17.21875" customWidth="1"/>
    <col min="11" max="11" width="24.33203125" customWidth="1"/>
    <col min="12" max="12" width="15.21875" customWidth="1"/>
    <col min="13" max="13" width="36.6640625" customWidth="1"/>
    <col min="14" max="14" width="24.33203125" customWidth="1"/>
    <col min="15" max="15" width="17" customWidth="1"/>
    <col min="16" max="16" width="14.6640625" bestFit="1" customWidth="1"/>
    <col min="17" max="17" width="15.109375" customWidth="1"/>
  </cols>
  <sheetData>
    <row r="1" spans="2:16" ht="15" thickBot="1" x14ac:dyDescent="0.35"/>
    <row r="2" spans="2:16" s="132" customFormat="1" ht="18" x14ac:dyDescent="0.3">
      <c r="B2" s="184" t="s">
        <v>14</v>
      </c>
      <c r="C2" s="185"/>
      <c r="D2" s="131" t="s">
        <v>209</v>
      </c>
      <c r="F2" s="133"/>
      <c r="G2" s="133"/>
      <c r="H2" s="134"/>
      <c r="I2" s="134"/>
      <c r="J2" s="134"/>
      <c r="K2" s="134"/>
      <c r="L2" s="134"/>
      <c r="M2" s="134"/>
      <c r="N2" s="134"/>
    </row>
    <row r="3" spans="2:16" s="132" customFormat="1" ht="18" x14ac:dyDescent="0.3">
      <c r="B3" s="186" t="s">
        <v>15</v>
      </c>
      <c r="C3" s="187"/>
      <c r="D3" s="135">
        <f ca="1">TODAY()</f>
        <v>45645</v>
      </c>
      <c r="H3" s="134"/>
      <c r="I3" s="134"/>
      <c r="J3" s="134"/>
      <c r="K3" s="134"/>
      <c r="L3" s="134"/>
      <c r="M3" s="134"/>
      <c r="N3" s="134"/>
    </row>
    <row r="4" spans="2:16" s="132" customFormat="1" ht="18" x14ac:dyDescent="0.3">
      <c r="B4" s="186" t="s">
        <v>17</v>
      </c>
      <c r="C4" s="187"/>
      <c r="D4" s="136">
        <v>3</v>
      </c>
      <c r="F4" s="133"/>
      <c r="G4" s="133"/>
      <c r="H4" s="134"/>
      <c r="I4" s="134"/>
      <c r="J4" s="134"/>
      <c r="K4" s="134"/>
      <c r="L4" s="134"/>
      <c r="M4" s="134"/>
      <c r="N4" s="134"/>
    </row>
    <row r="5" spans="2:16" s="132" customFormat="1" ht="18" x14ac:dyDescent="0.3">
      <c r="B5" s="186" t="s">
        <v>20</v>
      </c>
      <c r="C5" s="187"/>
      <c r="D5" s="137">
        <v>0.23</v>
      </c>
      <c r="F5" s="133"/>
      <c r="G5" s="133"/>
      <c r="H5" s="134"/>
      <c r="I5" s="134"/>
      <c r="J5" s="134"/>
      <c r="K5" s="134"/>
      <c r="L5" s="134"/>
      <c r="M5" s="134"/>
      <c r="N5" s="134"/>
    </row>
    <row r="6" spans="2:16" s="132" customFormat="1" ht="18" x14ac:dyDescent="0.3">
      <c r="B6" s="186" t="s">
        <v>50</v>
      </c>
      <c r="C6" s="187"/>
      <c r="D6" s="137">
        <v>0.05</v>
      </c>
      <c r="F6" s="133"/>
      <c r="G6" s="133"/>
      <c r="H6" s="134"/>
      <c r="I6" s="134"/>
      <c r="J6" s="134"/>
      <c r="K6" s="134"/>
      <c r="L6" s="134"/>
      <c r="M6" s="134"/>
      <c r="N6" s="134"/>
    </row>
    <row r="7" spans="2:16" s="132" customFormat="1" ht="18" x14ac:dyDescent="0.3">
      <c r="B7" s="186" t="s">
        <v>163</v>
      </c>
      <c r="C7" s="187"/>
      <c r="D7" s="138">
        <v>350000</v>
      </c>
      <c r="F7" s="133"/>
      <c r="G7" s="133"/>
      <c r="H7" s="134"/>
      <c r="I7" s="134"/>
      <c r="J7" s="134"/>
      <c r="K7" s="134"/>
      <c r="L7" s="134"/>
      <c r="M7" s="128" t="s">
        <v>198</v>
      </c>
      <c r="N7" s="139">
        <v>70000</v>
      </c>
      <c r="P7" s="148">
        <f>3500*15000</f>
        <v>52500000</v>
      </c>
    </row>
    <row r="8" spans="2:16" s="132" customFormat="1" ht="18.600000000000001" thickBot="1" x14ac:dyDescent="0.35">
      <c r="B8" s="182" t="s">
        <v>95</v>
      </c>
      <c r="C8" s="183"/>
      <c r="D8" s="140">
        <v>350000</v>
      </c>
      <c r="F8" s="133"/>
      <c r="G8" s="133"/>
      <c r="H8" s="134"/>
      <c r="I8" s="134"/>
      <c r="J8" s="134"/>
      <c r="K8" s="134"/>
      <c r="L8" s="134"/>
      <c r="M8" s="128" t="s">
        <v>199</v>
      </c>
      <c r="N8" s="141">
        <f ca="1">N30/D4/12/N7</f>
        <v>10.493647756721737</v>
      </c>
      <c r="P8" s="148">
        <f>10*70000*12</f>
        <v>8400000</v>
      </c>
    </row>
    <row r="9" spans="2:16" ht="16.2" thickBot="1" x14ac:dyDescent="0.35">
      <c r="B9" s="22"/>
      <c r="C9" s="22"/>
      <c r="D9" s="22"/>
      <c r="E9" s="22"/>
      <c r="F9" s="22"/>
      <c r="G9" s="22"/>
      <c r="H9" s="22"/>
      <c r="I9" s="22"/>
      <c r="J9" s="22"/>
      <c r="K9" s="22"/>
      <c r="L9" s="129"/>
      <c r="M9" s="22"/>
      <c r="N9" s="22"/>
      <c r="P9" s="149">
        <f>P8/P7</f>
        <v>0.16</v>
      </c>
    </row>
    <row r="10" spans="2:16" ht="67.2" customHeight="1" thickBot="1" x14ac:dyDescent="0.35">
      <c r="B10" s="64" t="s">
        <v>40</v>
      </c>
      <c r="C10" s="65" t="s">
        <v>30</v>
      </c>
      <c r="D10" s="65"/>
      <c r="E10" s="65" t="s">
        <v>31</v>
      </c>
      <c r="F10" s="65" t="s">
        <v>27</v>
      </c>
      <c r="G10" s="65" t="s">
        <v>32</v>
      </c>
      <c r="H10" s="65" t="s">
        <v>33</v>
      </c>
      <c r="I10" s="65" t="s">
        <v>90</v>
      </c>
      <c r="J10" s="65" t="s">
        <v>93</v>
      </c>
      <c r="K10" s="65" t="s">
        <v>91</v>
      </c>
      <c r="L10" s="65" t="s">
        <v>41</v>
      </c>
      <c r="M10" s="66" t="s">
        <v>63</v>
      </c>
      <c r="N10" s="67" t="s">
        <v>51</v>
      </c>
    </row>
    <row r="11" spans="2:16" ht="15.6" customHeight="1" x14ac:dyDescent="0.3">
      <c r="B11" s="189" t="s">
        <v>26</v>
      </c>
      <c r="C11" s="197" t="s">
        <v>28</v>
      </c>
      <c r="D11" s="201" t="s">
        <v>105</v>
      </c>
      <c r="E11" s="23" t="s">
        <v>43</v>
      </c>
      <c r="F11" s="24" t="s">
        <v>13</v>
      </c>
      <c r="G11" s="25"/>
      <c r="H11" s="25"/>
      <c r="I11" s="35">
        <f ca="1">'Total Hardware'!E7</f>
        <v>5801000</v>
      </c>
      <c r="J11" s="26">
        <v>0.02</v>
      </c>
      <c r="K11" s="35">
        <f ca="1">I11/(1-J11)</f>
        <v>5919387.7551020412</v>
      </c>
      <c r="L11" s="26">
        <v>0.2</v>
      </c>
      <c r="M11" s="45">
        <f ca="1">IF(H11=0,(K11/(1-L11)),(K11/H11)/(1-L11))</f>
        <v>7399234.6938775508</v>
      </c>
      <c r="N11" s="40">
        <f ca="1">K11/(1-L11)</f>
        <v>7399234.6938775508</v>
      </c>
      <c r="O11" s="44"/>
    </row>
    <row r="12" spans="2:16" ht="15.6" x14ac:dyDescent="0.3">
      <c r="B12" s="189"/>
      <c r="C12" s="197"/>
      <c r="D12" s="202"/>
      <c r="E12" s="23" t="s">
        <v>50</v>
      </c>
      <c r="F12" s="24" t="s">
        <v>13</v>
      </c>
      <c r="G12" s="25"/>
      <c r="H12" s="25"/>
      <c r="I12" s="35">
        <f ca="1">I11*D6</f>
        <v>290050</v>
      </c>
      <c r="J12" s="26">
        <v>0.02</v>
      </c>
      <c r="K12" s="35">
        <f ca="1">I12/(1-J12)</f>
        <v>295969.38775510207</v>
      </c>
      <c r="L12" s="26">
        <v>0.2</v>
      </c>
      <c r="M12" s="45">
        <f ca="1">IF(H12=0,(K12/(1-L12)),(K12/H12)/(1-L12))</f>
        <v>369961.73469387757</v>
      </c>
      <c r="N12" s="40">
        <f ca="1">K12/(1-L12)</f>
        <v>369961.73469387757</v>
      </c>
      <c r="O12" s="44"/>
    </row>
    <row r="13" spans="2:16" ht="15.6" x14ac:dyDescent="0.3">
      <c r="B13" s="189"/>
      <c r="C13" s="197"/>
      <c r="D13" s="197"/>
      <c r="E13" s="203" t="s">
        <v>103</v>
      </c>
      <c r="F13" s="204"/>
      <c r="G13" s="204"/>
      <c r="H13" s="205"/>
      <c r="I13" s="76">
        <f ca="1">SUM(I11:I12)</f>
        <v>6091050</v>
      </c>
      <c r="J13" s="77"/>
      <c r="K13" s="76">
        <f ca="1">SUM(K11:K12)</f>
        <v>6215357.1428571437</v>
      </c>
      <c r="L13" s="77"/>
      <c r="M13" s="76">
        <f ca="1">SUM(M11:M12)</f>
        <v>7769196.4285714282</v>
      </c>
      <c r="N13" s="76">
        <f ca="1">SUM(N11:N12)</f>
        <v>7769196.4285714282</v>
      </c>
      <c r="O13" s="44"/>
    </row>
    <row r="14" spans="2:16" ht="15.6" x14ac:dyDescent="0.3">
      <c r="B14" s="196"/>
      <c r="C14" s="198"/>
      <c r="D14" s="209" t="s">
        <v>104</v>
      </c>
      <c r="E14" s="27" t="s">
        <v>101</v>
      </c>
      <c r="F14" s="7" t="s">
        <v>13</v>
      </c>
      <c r="G14" s="28"/>
      <c r="H14" s="28"/>
      <c r="I14" s="36">
        <f>'Total Hardware'!G7</f>
        <v>578000</v>
      </c>
      <c r="J14" s="26">
        <v>0.02</v>
      </c>
      <c r="K14" s="35">
        <f>I14/(1-J14)</f>
        <v>589795.91836734698</v>
      </c>
      <c r="L14" s="26">
        <v>0.2</v>
      </c>
      <c r="M14" s="45">
        <f>IF(H14=0,(K14/(1-L14)),(K14/H14)/(1-L14))</f>
        <v>737244.89795918367</v>
      </c>
      <c r="N14" s="40">
        <f>K14/(1-L14)</f>
        <v>737244.89795918367</v>
      </c>
      <c r="O14" s="44"/>
    </row>
    <row r="15" spans="2:16" ht="15.6" x14ac:dyDescent="0.3">
      <c r="B15" s="196"/>
      <c r="C15" s="198"/>
      <c r="D15" s="202"/>
      <c r="E15" s="23" t="s">
        <v>102</v>
      </c>
      <c r="F15" s="7" t="s">
        <v>13</v>
      </c>
      <c r="G15" s="28"/>
      <c r="H15" s="28"/>
      <c r="I15" s="36">
        <f>I14*D6</f>
        <v>28900</v>
      </c>
      <c r="J15" s="26">
        <v>0.02</v>
      </c>
      <c r="K15" s="35">
        <f>I15/(1-J15)</f>
        <v>29489.795918367348</v>
      </c>
      <c r="L15" s="26">
        <v>0.2</v>
      </c>
      <c r="M15" s="45">
        <f>IF(H15=0,(K15/(1-L15)),(K15/H15)/(1-L15))</f>
        <v>36862.244897959186</v>
      </c>
      <c r="N15" s="40">
        <f>K15/(1-L15)</f>
        <v>36862.244897959186</v>
      </c>
      <c r="O15" s="44"/>
    </row>
    <row r="16" spans="2:16" ht="15.6" x14ac:dyDescent="0.3">
      <c r="B16" s="196"/>
      <c r="C16" s="198"/>
      <c r="D16" s="197"/>
      <c r="E16" s="203" t="s">
        <v>104</v>
      </c>
      <c r="F16" s="204"/>
      <c r="G16" s="204"/>
      <c r="H16" s="205"/>
      <c r="I16" s="76">
        <f>SUM(I14:I15)</f>
        <v>606900</v>
      </c>
      <c r="J16" s="77"/>
      <c r="K16" s="76">
        <f>SUM(K14:K15)</f>
        <v>619285.71428571432</v>
      </c>
      <c r="L16" s="77"/>
      <c r="M16" s="76">
        <f>SUM(M14:M15)</f>
        <v>774107.14285714284</v>
      </c>
      <c r="N16" s="76">
        <f>SUM(N14:N15)</f>
        <v>774107.14285714284</v>
      </c>
      <c r="O16" s="44"/>
    </row>
    <row r="17" spans="2:17" ht="16.8" customHeight="1" x14ac:dyDescent="0.3">
      <c r="B17" s="196"/>
      <c r="C17" s="198"/>
      <c r="D17" s="206" t="s">
        <v>18</v>
      </c>
      <c r="E17" s="207"/>
      <c r="F17" s="207"/>
      <c r="G17" s="207"/>
      <c r="H17" s="208"/>
      <c r="I17" s="37">
        <f ca="1">I13+I16</f>
        <v>6697950</v>
      </c>
      <c r="J17" s="30"/>
      <c r="K17" s="37">
        <f ca="1">K13+K16</f>
        <v>6834642.8571428582</v>
      </c>
      <c r="L17" s="30"/>
      <c r="M17" s="37">
        <f ca="1">M13+M16</f>
        <v>8543303.5714285709</v>
      </c>
      <c r="N17" s="37">
        <f ca="1">N13+N16</f>
        <v>8543303.5714285709</v>
      </c>
      <c r="O17" s="44"/>
    </row>
    <row r="18" spans="2:17" ht="15.6" x14ac:dyDescent="0.3">
      <c r="B18" s="196"/>
      <c r="C18" s="198" t="s">
        <v>49</v>
      </c>
      <c r="D18" s="117" t="s">
        <v>88</v>
      </c>
      <c r="E18" s="29" t="s">
        <v>223</v>
      </c>
      <c r="F18" s="29" t="s">
        <v>13</v>
      </c>
      <c r="G18" s="28"/>
      <c r="H18" s="28"/>
      <c r="I18" s="36">
        <f>'Manpower-PM Cost'!H10+'Manpower-PM Cost'!Z11+'Manpower-PM Cost'!Z28</f>
        <v>595000</v>
      </c>
      <c r="J18" s="26">
        <v>0.02</v>
      </c>
      <c r="K18" s="35">
        <f>I18/(1-J18)</f>
        <v>607142.85714285716</v>
      </c>
      <c r="L18" s="26">
        <v>0.2</v>
      </c>
      <c r="M18" s="45">
        <f>IF(H18=0,(K18/(1-L18)),(K18/H18)/(1-L18))</f>
        <v>758928.57142857136</v>
      </c>
      <c r="N18" s="40">
        <f t="shared" ref="N18:N19" si="0">K18/(1-L18)</f>
        <v>758928.57142857136</v>
      </c>
      <c r="O18" s="44"/>
    </row>
    <row r="19" spans="2:17" ht="15.6" x14ac:dyDescent="0.3">
      <c r="B19" s="196"/>
      <c r="C19" s="198"/>
      <c r="D19" s="50" t="s">
        <v>48</v>
      </c>
      <c r="E19" s="7" t="s">
        <v>48</v>
      </c>
      <c r="F19" s="7" t="s">
        <v>13</v>
      </c>
      <c r="G19" s="28"/>
      <c r="H19" s="28"/>
      <c r="I19" s="36">
        <f>D7</f>
        <v>350000</v>
      </c>
      <c r="J19" s="26">
        <v>0.02</v>
      </c>
      <c r="K19" s="35">
        <f t="shared" ref="K19" si="1">I19/(1-J19)</f>
        <v>357142.85714285716</v>
      </c>
      <c r="L19" s="26">
        <v>0.2</v>
      </c>
      <c r="M19" s="45">
        <f>IF(H19=0,(K19/(1-L19)),(K19/H19)/(1-L19))</f>
        <v>446428.57142857142</v>
      </c>
      <c r="N19" s="40">
        <f t="shared" si="0"/>
        <v>446428.57142857142</v>
      </c>
      <c r="O19" s="44"/>
    </row>
    <row r="20" spans="2:17" ht="15.6" x14ac:dyDescent="0.3">
      <c r="B20" s="196"/>
      <c r="C20" s="198"/>
      <c r="D20" s="206" t="s">
        <v>39</v>
      </c>
      <c r="E20" s="207"/>
      <c r="F20" s="207"/>
      <c r="G20" s="207"/>
      <c r="H20" s="208"/>
      <c r="I20" s="37">
        <f>SUM(I18:I19)</f>
        <v>945000</v>
      </c>
      <c r="J20" s="30"/>
      <c r="K20" s="37">
        <f>SUM(K18:K19)</f>
        <v>964285.71428571432</v>
      </c>
      <c r="L20" s="30"/>
      <c r="M20" s="37">
        <f>SUM(M18:M19)</f>
        <v>1205357.1428571427</v>
      </c>
      <c r="N20" s="41">
        <f>SUM(N18:N19)</f>
        <v>1205357.1428571427</v>
      </c>
      <c r="O20" s="44"/>
    </row>
    <row r="21" spans="2:17" ht="19.2" customHeight="1" x14ac:dyDescent="0.3">
      <c r="B21" s="196"/>
      <c r="C21" s="190" t="s">
        <v>26</v>
      </c>
      <c r="D21" s="191"/>
      <c r="E21" s="191"/>
      <c r="F21" s="191"/>
      <c r="G21" s="191"/>
      <c r="H21" s="192"/>
      <c r="I21" s="38">
        <f ca="1">I17+I20</f>
        <v>7642950</v>
      </c>
      <c r="J21" s="21"/>
      <c r="K21" s="38">
        <f ca="1">K17+K20</f>
        <v>7798928.5714285728</v>
      </c>
      <c r="L21" s="21"/>
      <c r="M21" s="38">
        <f ca="1">M17+M20</f>
        <v>9748660.7142857127</v>
      </c>
      <c r="N21" s="38">
        <f ca="1">N17+N20</f>
        <v>9748660.7142857127</v>
      </c>
      <c r="O21" s="44"/>
    </row>
    <row r="22" spans="2:17" ht="15.6" x14ac:dyDescent="0.3">
      <c r="B22" s="199"/>
      <c r="C22" s="209" t="s">
        <v>35</v>
      </c>
      <c r="D22" s="209" t="s">
        <v>178</v>
      </c>
      <c r="E22" s="7" t="s">
        <v>87</v>
      </c>
      <c r="F22" s="7" t="s">
        <v>29</v>
      </c>
      <c r="G22" s="7">
        <f>'Manpower-PM Cost'!AI10</f>
        <v>960000</v>
      </c>
      <c r="H22" s="152">
        <f>(((D4*12)+'AMC &amp; months'!C14)-('AMC &amp; months'!C14+'AMC &amp; months'!C15))/12</f>
        <v>2.8333333333333335</v>
      </c>
      <c r="I22" s="36">
        <f>G22*H22</f>
        <v>2720000</v>
      </c>
      <c r="J22" s="26">
        <v>0.02</v>
      </c>
      <c r="K22" s="35">
        <f>I22/(1-J22)</f>
        <v>2775510.2040816327</v>
      </c>
      <c r="L22" s="26">
        <v>0.2</v>
      </c>
      <c r="M22" s="45">
        <f>IF(H22=0,(K22/(1-L22)),(K22/H22)/(1-L22)*H22/$D$4)</f>
        <v>1156462.5850340137</v>
      </c>
      <c r="N22" s="40">
        <f t="shared" ref="N22:N28" si="2">K22/(1-L22)</f>
        <v>3469387.7551020407</v>
      </c>
      <c r="O22" s="44">
        <f>M22*3</f>
        <v>3469387.7551020412</v>
      </c>
      <c r="P22" t="b">
        <f>O22=N22</f>
        <v>1</v>
      </c>
    </row>
    <row r="23" spans="2:17" ht="15.6" x14ac:dyDescent="0.3">
      <c r="B23" s="199"/>
      <c r="C23" s="202"/>
      <c r="D23" s="197"/>
      <c r="E23" s="7" t="s">
        <v>146</v>
      </c>
      <c r="F23" s="7" t="s">
        <v>29</v>
      </c>
      <c r="G23" s="36">
        <f>'Manpower-PM Cost'!AT10</f>
        <v>72500</v>
      </c>
      <c r="H23" s="52">
        <f>D4</f>
        <v>3</v>
      </c>
      <c r="I23" s="36">
        <f>G23*H23</f>
        <v>217500</v>
      </c>
      <c r="J23" s="26">
        <v>0.02</v>
      </c>
      <c r="K23" s="35">
        <f>I23/(1-J23)</f>
        <v>221938.77551020408</v>
      </c>
      <c r="L23" s="26">
        <v>0.2</v>
      </c>
      <c r="M23" s="45">
        <f>IF(H23=0,(K23/(1-L23)),(K23/H23)/(1-L23)*H23/$D$4)</f>
        <v>92474.489795918358</v>
      </c>
      <c r="N23" s="40">
        <f t="shared" si="2"/>
        <v>277423.46938775509</v>
      </c>
      <c r="O23" s="44"/>
    </row>
    <row r="24" spans="2:17" ht="15.6" x14ac:dyDescent="0.3">
      <c r="B24" s="199"/>
      <c r="C24" s="202"/>
      <c r="D24" s="206" t="s">
        <v>39</v>
      </c>
      <c r="E24" s="207"/>
      <c r="F24" s="207"/>
      <c r="G24" s="207"/>
      <c r="H24" s="208"/>
      <c r="I24" s="37"/>
      <c r="J24" s="30"/>
      <c r="K24" s="37">
        <f>SUM(K22:K23)</f>
        <v>2997448.9795918367</v>
      </c>
      <c r="L24" s="30"/>
      <c r="M24" s="37">
        <f>SUM(M22:M23)</f>
        <v>1248937.0748299321</v>
      </c>
      <c r="N24" s="37">
        <f>SUM(N22:N23)</f>
        <v>3746811.224489796</v>
      </c>
      <c r="O24" s="44"/>
      <c r="P24" s="44"/>
    </row>
    <row r="25" spans="2:17" ht="15.6" x14ac:dyDescent="0.3">
      <c r="B25" s="199"/>
      <c r="C25" s="202"/>
      <c r="D25" s="51" t="s">
        <v>19</v>
      </c>
      <c r="E25" s="7" t="s">
        <v>19</v>
      </c>
      <c r="F25" s="7" t="s">
        <v>29</v>
      </c>
      <c r="G25" s="36">
        <f>D8*12</f>
        <v>4200000</v>
      </c>
      <c r="H25" s="52">
        <f>D4</f>
        <v>3</v>
      </c>
      <c r="I25" s="36">
        <f>G25*H25</f>
        <v>12600000</v>
      </c>
      <c r="J25" s="26">
        <v>0</v>
      </c>
      <c r="K25" s="35">
        <f>I25/(1-J25)</f>
        <v>12600000</v>
      </c>
      <c r="L25" s="20">
        <v>0</v>
      </c>
      <c r="M25" s="45">
        <f>IF(H25=0,(K25/(1-L25)),(K25/H25)/(1-L25))</f>
        <v>4200000</v>
      </c>
      <c r="N25" s="40">
        <f t="shared" ref="N25" si="3">K25/(1-L25)</f>
        <v>12600000</v>
      </c>
      <c r="O25" s="44"/>
    </row>
    <row r="26" spans="2:17" ht="15.6" x14ac:dyDescent="0.3">
      <c r="B26" s="199"/>
      <c r="C26" s="197"/>
      <c r="D26" s="206" t="s">
        <v>39</v>
      </c>
      <c r="E26" s="207"/>
      <c r="F26" s="207"/>
      <c r="G26" s="207"/>
      <c r="H26" s="208"/>
      <c r="I26" s="37"/>
      <c r="J26" s="30"/>
      <c r="K26" s="37">
        <f>SUM(K25)</f>
        <v>12600000</v>
      </c>
      <c r="L26" s="30"/>
      <c r="M26" s="37">
        <f>SUM(M25)</f>
        <v>4200000</v>
      </c>
      <c r="N26" s="37">
        <f>SUM(N25)</f>
        <v>12600000</v>
      </c>
      <c r="O26" s="44"/>
    </row>
    <row r="27" spans="2:17" ht="19.2" customHeight="1" x14ac:dyDescent="0.3">
      <c r="B27" s="200"/>
      <c r="C27" s="190" t="s">
        <v>54</v>
      </c>
      <c r="D27" s="191"/>
      <c r="E27" s="191"/>
      <c r="F27" s="191"/>
      <c r="G27" s="191"/>
      <c r="H27" s="192"/>
      <c r="I27" s="38"/>
      <c r="J27" s="21"/>
      <c r="K27" s="38">
        <f>K24+K26</f>
        <v>15597448.979591837</v>
      </c>
      <c r="L27" s="21"/>
      <c r="M27" s="38">
        <f>M24+M26</f>
        <v>5448937.0748299323</v>
      </c>
      <c r="N27" s="38">
        <f>N24+N26</f>
        <v>16346811.224489797</v>
      </c>
      <c r="O27" s="44"/>
    </row>
    <row r="28" spans="2:17" ht="15.6" x14ac:dyDescent="0.3">
      <c r="B28" s="188" t="s">
        <v>55</v>
      </c>
      <c r="C28" s="118" t="s">
        <v>55</v>
      </c>
      <c r="D28" s="117" t="s">
        <v>55</v>
      </c>
      <c r="E28" s="24" t="s">
        <v>34</v>
      </c>
      <c r="F28" s="24" t="s">
        <v>29</v>
      </c>
      <c r="G28" s="35">
        <f ca="1">('Total Hardware'!H8)*D5</f>
        <v>136620</v>
      </c>
      <c r="H28" s="53">
        <f>D4-1</f>
        <v>2</v>
      </c>
      <c r="I28" s="36">
        <f ca="1">G28*H28</f>
        <v>273240</v>
      </c>
      <c r="J28" s="26">
        <v>0.02</v>
      </c>
      <c r="K28" s="35">
        <f ca="1">I28/(1-J28)</f>
        <v>278816.32653061225</v>
      </c>
      <c r="L28" s="26">
        <v>0.2</v>
      </c>
      <c r="M28" s="45">
        <f ca="1">IF(H28=0,(K28/(1-L28)),(K28/H28)/(1-L28)*H28/($D$4-1))</f>
        <v>174260.20408163263</v>
      </c>
      <c r="N28" s="40">
        <f t="shared" ca="1" si="2"/>
        <v>348520.40816326527</v>
      </c>
      <c r="O28" s="44"/>
      <c r="P28" s="44"/>
      <c r="Q28" s="44"/>
    </row>
    <row r="29" spans="2:17" ht="19.2" customHeight="1" x14ac:dyDescent="0.3">
      <c r="B29" s="189"/>
      <c r="C29" s="190" t="s">
        <v>89</v>
      </c>
      <c r="D29" s="191"/>
      <c r="E29" s="191"/>
      <c r="F29" s="191"/>
      <c r="G29" s="191"/>
      <c r="H29" s="192"/>
      <c r="I29" s="38"/>
      <c r="J29" s="21"/>
      <c r="K29" s="38">
        <f ca="1">SUM(K28:K28)</f>
        <v>278816.32653061225</v>
      </c>
      <c r="L29" s="21"/>
      <c r="M29" s="38">
        <f ca="1">SUM(M28:M28)</f>
        <v>174260.20408163263</v>
      </c>
      <c r="N29" s="42">
        <f ca="1">SUM(N28:N28)</f>
        <v>348520.40816326527</v>
      </c>
      <c r="O29" s="44">
        <f ca="1">M29*H28</f>
        <v>348520.40816326527</v>
      </c>
      <c r="P29" s="44" t="b">
        <f ca="1">O29=N29</f>
        <v>1</v>
      </c>
    </row>
    <row r="30" spans="2:17" ht="23.4" customHeight="1" thickBot="1" x14ac:dyDescent="0.35">
      <c r="B30" s="193" t="s">
        <v>94</v>
      </c>
      <c r="C30" s="194"/>
      <c r="D30" s="194"/>
      <c r="E30" s="194"/>
      <c r="F30" s="194"/>
      <c r="G30" s="194"/>
      <c r="H30" s="195"/>
      <c r="I30" s="39"/>
      <c r="J30" s="32"/>
      <c r="K30" s="39">
        <f ca="1">K21+K27+K29</f>
        <v>23675193.877551023</v>
      </c>
      <c r="L30" s="32">
        <f ca="1">1-K30/N30</f>
        <v>0.10470425316502086</v>
      </c>
      <c r="M30" s="46"/>
      <c r="N30" s="39">
        <f ca="1">N21+N27+N29</f>
        <v>26443992.346938774</v>
      </c>
    </row>
    <row r="31" spans="2:17" x14ac:dyDescent="0.3">
      <c r="J31" s="31"/>
      <c r="L31" s="31"/>
      <c r="M31" s="31"/>
    </row>
    <row r="33" spans="2:13" ht="15" customHeight="1" x14ac:dyDescent="0.3">
      <c r="C33" s="211" t="s">
        <v>196</v>
      </c>
      <c r="D33" s="212"/>
      <c r="E33" s="212"/>
      <c r="F33" s="212"/>
      <c r="G33" s="212"/>
      <c r="H33" s="212"/>
      <c r="I33" s="212"/>
      <c r="J33" s="212"/>
      <c r="K33" s="212"/>
      <c r="L33" s="212"/>
      <c r="M33" s="213"/>
    </row>
    <row r="34" spans="2:13" x14ac:dyDescent="0.3">
      <c r="C34" s="6"/>
      <c r="D34" s="142">
        <f>D4</f>
        <v>3</v>
      </c>
      <c r="E34" s="6"/>
      <c r="F34" s="6"/>
      <c r="G34" s="6"/>
      <c r="H34" s="144">
        <v>0</v>
      </c>
      <c r="I34" s="122"/>
      <c r="J34" s="6"/>
      <c r="K34" s="142">
        <f>D4-1</f>
        <v>2</v>
      </c>
      <c r="L34" s="6"/>
      <c r="M34" s="6"/>
    </row>
    <row r="35" spans="2:13" x14ac:dyDescent="0.3">
      <c r="C35" s="6"/>
      <c r="E35" s="6"/>
      <c r="F35" s="6"/>
      <c r="G35" s="6"/>
      <c r="I35" s="122">
        <f>N27</f>
        <v>16346811.224489797</v>
      </c>
      <c r="J35" s="6"/>
      <c r="K35" s="122">
        <f ca="1">N29</f>
        <v>348520.40816326527</v>
      </c>
      <c r="L35" s="6"/>
      <c r="M35" s="6"/>
    </row>
    <row r="36" spans="2:13" ht="78" x14ac:dyDescent="0.3">
      <c r="C36" s="121"/>
      <c r="D36" s="121" t="s">
        <v>191</v>
      </c>
      <c r="E36" s="121" t="s">
        <v>28</v>
      </c>
      <c r="F36" s="121" t="s">
        <v>195</v>
      </c>
      <c r="G36" s="121" t="s">
        <v>49</v>
      </c>
      <c r="H36" s="121" t="s">
        <v>193</v>
      </c>
      <c r="I36" s="121" t="s">
        <v>192</v>
      </c>
      <c r="J36" s="121" t="s">
        <v>194</v>
      </c>
      <c r="K36" s="121" t="s">
        <v>55</v>
      </c>
      <c r="L36" s="121" t="s">
        <v>2</v>
      </c>
      <c r="M36" s="121" t="s">
        <v>202</v>
      </c>
    </row>
    <row r="37" spans="2:13" ht="15.6" x14ac:dyDescent="0.3">
      <c r="C37" s="121" t="s">
        <v>188</v>
      </c>
      <c r="D37" s="125">
        <f>100%/D34</f>
        <v>0.33333333333333331</v>
      </c>
      <c r="E37" s="122">
        <f ca="1">N13</f>
        <v>7769196.4285714282</v>
      </c>
      <c r="F37" s="122">
        <f>N16</f>
        <v>774107.14285714284</v>
      </c>
      <c r="G37" s="122">
        <f>N20</f>
        <v>1205357.1428571427</v>
      </c>
      <c r="H37" s="124">
        <f>H34*I35</f>
        <v>0</v>
      </c>
      <c r="I37" s="124">
        <f>D37*($I$35-$H$37)</f>
        <v>5448937.0748299323</v>
      </c>
      <c r="J37" s="143">
        <f>I37/12</f>
        <v>454078.08956916101</v>
      </c>
      <c r="K37" s="124"/>
      <c r="L37" s="145">
        <f ca="1">SUM(E37:K37)-J37</f>
        <v>15197597.789115645</v>
      </c>
      <c r="M37" s="123">
        <f ca="1">L37/$L$43</f>
        <v>0.57470890135373065</v>
      </c>
    </row>
    <row r="38" spans="2:13" ht="15.6" x14ac:dyDescent="0.3">
      <c r="C38" s="121" t="s">
        <v>189</v>
      </c>
      <c r="D38" s="126">
        <f>IF($D$34&gt;1,(100%-$D$37)/($D$34-1),0)</f>
        <v>0.33333333333333337</v>
      </c>
      <c r="E38" s="122"/>
      <c r="F38" s="122"/>
      <c r="G38" s="6"/>
      <c r="H38" s="124"/>
      <c r="I38" s="124">
        <f>D38*($I$35-$H$37)</f>
        <v>5448937.0748299332</v>
      </c>
      <c r="J38" s="124">
        <f>I38/12</f>
        <v>454078.08956916112</v>
      </c>
      <c r="K38" s="124">
        <f ca="1">IF(D38=0,0,$K$35/$K$34)</f>
        <v>174260.20408163263</v>
      </c>
      <c r="L38" s="145">
        <f ca="1">SUM(E38:K38)-J38</f>
        <v>5623197.2789115654</v>
      </c>
      <c r="M38" s="123">
        <f ca="1">L38/$L$43</f>
        <v>0.2126455493231347</v>
      </c>
    </row>
    <row r="39" spans="2:13" ht="15.6" x14ac:dyDescent="0.3">
      <c r="C39" s="121" t="s">
        <v>190</v>
      </c>
      <c r="D39" s="126">
        <f>IF($D$34&gt;2,(100%-$D$37)/($D$34-1),0)</f>
        <v>0.33333333333333337</v>
      </c>
      <c r="E39" s="6"/>
      <c r="F39" s="6"/>
      <c r="G39" s="6"/>
      <c r="H39" s="124"/>
      <c r="I39" s="124">
        <f>D39*($I$35-$H$37)</f>
        <v>5448937.0748299332</v>
      </c>
      <c r="J39" s="124">
        <f>I39/12</f>
        <v>454078.08956916112</v>
      </c>
      <c r="K39" s="124">
        <f ca="1">IF(D39=0,0,$K$35/$K$34)</f>
        <v>174260.20408163263</v>
      </c>
      <c r="L39" s="145">
        <f ca="1">SUM(E39:K39)-J39</f>
        <v>5623197.2789115654</v>
      </c>
      <c r="M39" s="123">
        <f ca="1">L39/$L$43</f>
        <v>0.2126455493231347</v>
      </c>
    </row>
    <row r="40" spans="2:13" ht="15.6" x14ac:dyDescent="0.3">
      <c r="C40" s="121" t="s">
        <v>200</v>
      </c>
      <c r="D40" s="126">
        <f>IF($D$34&gt;3,(100%-$D$37)/($D$34-1),0)</f>
        <v>0</v>
      </c>
      <c r="E40" s="6"/>
      <c r="F40" s="6"/>
      <c r="G40" s="6"/>
      <c r="H40" s="124"/>
      <c r="I40" s="124">
        <f>D40*($I$35-$H$37)</f>
        <v>0</v>
      </c>
      <c r="J40" s="124">
        <f>I40/12</f>
        <v>0</v>
      </c>
      <c r="K40" s="124">
        <f>IF(D40=0,0,$K$35/$K$34)</f>
        <v>0</v>
      </c>
      <c r="L40" s="145">
        <f>SUM(E40:K40)-J40</f>
        <v>0</v>
      </c>
      <c r="M40" s="123">
        <f ca="1">L40/$L$43</f>
        <v>0</v>
      </c>
    </row>
    <row r="41" spans="2:13" ht="15.6" x14ac:dyDescent="0.3">
      <c r="C41" s="121" t="s">
        <v>201</v>
      </c>
      <c r="D41" s="126">
        <f>IF($D$34&gt;4,(100%-$D$37)/($D$34-1),0)</f>
        <v>0</v>
      </c>
      <c r="E41" s="6"/>
      <c r="F41" s="6"/>
      <c r="G41" s="6"/>
      <c r="H41" s="124"/>
      <c r="I41" s="124">
        <f>D41*($I$35-$H$37)</f>
        <v>0</v>
      </c>
      <c r="J41" s="124">
        <f>I41/12</f>
        <v>0</v>
      </c>
      <c r="K41" s="124">
        <f>IF(D41=0,0,$K$35/$K$34)</f>
        <v>0</v>
      </c>
      <c r="L41" s="145">
        <f>SUM(E41:K41)-J41</f>
        <v>0</v>
      </c>
      <c r="M41" s="123">
        <f ca="1">L41/$L$43</f>
        <v>0</v>
      </c>
    </row>
    <row r="42" spans="2:13" x14ac:dyDescent="0.3">
      <c r="C42" s="6"/>
      <c r="D42" s="6"/>
      <c r="E42" s="6"/>
      <c r="F42" s="6"/>
      <c r="G42" s="6"/>
      <c r="H42" s="6"/>
      <c r="I42" s="124"/>
      <c r="J42" s="127">
        <f>AVERAGEIF(J37:J41,"&gt;0")</f>
        <v>454078.08956916112</v>
      </c>
      <c r="K42" s="127">
        <f ca="1">AVERAGEIF(K37:K41,"&gt;0")</f>
        <v>174260.20408163263</v>
      </c>
      <c r="L42" s="146"/>
      <c r="M42" s="6"/>
    </row>
    <row r="43" spans="2:13" x14ac:dyDescent="0.3">
      <c r="C43" s="6"/>
      <c r="D43" s="6"/>
      <c r="E43" s="210">
        <f ca="1">SUM(E37:H37)</f>
        <v>9748660.7142857127</v>
      </c>
      <c r="F43" s="210"/>
      <c r="G43" s="210"/>
      <c r="H43" s="210"/>
      <c r="I43" s="6"/>
      <c r="J43" s="6"/>
      <c r="K43" s="6"/>
      <c r="L43" s="130">
        <f ca="1">SUM(L37:L41)</f>
        <v>26443992.346938774</v>
      </c>
      <c r="M43" s="123">
        <f ca="1">L43/$L$43</f>
        <v>1</v>
      </c>
    </row>
    <row r="44" spans="2:13" x14ac:dyDescent="0.3">
      <c r="C44" s="6"/>
      <c r="D44" s="6"/>
      <c r="E44" s="6"/>
      <c r="F44" s="6"/>
      <c r="G44" s="6"/>
      <c r="H44" s="6"/>
      <c r="I44" s="6"/>
      <c r="J44" s="6" t="b">
        <f>J38=J42</f>
        <v>1</v>
      </c>
      <c r="K44" s="6" t="b">
        <f ca="1">K38=K42</f>
        <v>1</v>
      </c>
      <c r="L44" s="122" t="b">
        <f ca="1">N30=L43</f>
        <v>1</v>
      </c>
      <c r="M44" s="6"/>
    </row>
    <row r="48" spans="2:13" ht="31.2" x14ac:dyDescent="0.6">
      <c r="B48" s="18" t="s">
        <v>96</v>
      </c>
    </row>
  </sheetData>
  <mergeCells count="28">
    <mergeCell ref="E43:H43"/>
    <mergeCell ref="C33:M33"/>
    <mergeCell ref="D17:H17"/>
    <mergeCell ref="D20:H20"/>
    <mergeCell ref="D24:H24"/>
    <mergeCell ref="B28:B29"/>
    <mergeCell ref="C29:H29"/>
    <mergeCell ref="B30:H30"/>
    <mergeCell ref="B11:B21"/>
    <mergeCell ref="C11:C17"/>
    <mergeCell ref="C18:C20"/>
    <mergeCell ref="C21:H21"/>
    <mergeCell ref="B22:B27"/>
    <mergeCell ref="C27:H27"/>
    <mergeCell ref="D11:D13"/>
    <mergeCell ref="E13:H13"/>
    <mergeCell ref="E16:H16"/>
    <mergeCell ref="D26:H26"/>
    <mergeCell ref="D14:D16"/>
    <mergeCell ref="C22:C26"/>
    <mergeCell ref="D22:D23"/>
    <mergeCell ref="B8:C8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4E2C-AEC9-46D9-8733-0AEFFEA29776}">
  <dimension ref="B3:F11"/>
  <sheetViews>
    <sheetView workbookViewId="0">
      <selection activeCell="B3" sqref="B3:F3"/>
    </sheetView>
  </sheetViews>
  <sheetFormatPr defaultRowHeight="14.4" x14ac:dyDescent="0.3"/>
  <cols>
    <col min="2" max="2" width="22.44140625" bestFit="1" customWidth="1"/>
    <col min="3" max="3" width="31.33203125" bestFit="1" customWidth="1"/>
    <col min="4" max="4" width="14.44140625" customWidth="1"/>
    <col min="5" max="5" width="21" customWidth="1"/>
  </cols>
  <sheetData>
    <row r="3" spans="2:6" x14ac:dyDescent="0.3">
      <c r="B3" s="147" t="s">
        <v>213</v>
      </c>
      <c r="C3" s="214" t="s">
        <v>222</v>
      </c>
      <c r="D3" s="215"/>
      <c r="E3" s="215"/>
      <c r="F3" s="216"/>
    </row>
    <row r="4" spans="2:6" x14ac:dyDescent="0.3">
      <c r="B4" s="6" t="s">
        <v>214</v>
      </c>
      <c r="C4" s="6" t="s">
        <v>215</v>
      </c>
      <c r="D4" s="6" t="s">
        <v>216</v>
      </c>
      <c r="E4" s="6" t="s">
        <v>217</v>
      </c>
      <c r="F4" s="6"/>
    </row>
    <row r="5" spans="2:6" x14ac:dyDescent="0.3">
      <c r="B5" s="6" t="s">
        <v>218</v>
      </c>
      <c r="C5" s="6"/>
      <c r="D5" s="6"/>
      <c r="E5" s="6"/>
      <c r="F5" s="6"/>
    </row>
    <row r="6" spans="2:6" x14ac:dyDescent="0.3">
      <c r="B6" s="6" t="s">
        <v>65</v>
      </c>
      <c r="C6" s="6"/>
      <c r="D6" s="6"/>
      <c r="E6" s="6"/>
      <c r="F6" s="6"/>
    </row>
    <row r="7" spans="2:6" x14ac:dyDescent="0.3">
      <c r="B7" s="6" t="s">
        <v>219</v>
      </c>
      <c r="C7" s="6"/>
      <c r="D7" s="6"/>
      <c r="E7" s="6"/>
      <c r="F7" s="6"/>
    </row>
    <row r="8" spans="2:6" ht="15.6" x14ac:dyDescent="0.3">
      <c r="B8" s="29" t="s">
        <v>220</v>
      </c>
      <c r="C8" s="6" t="s">
        <v>88</v>
      </c>
      <c r="D8" s="7" t="s">
        <v>48</v>
      </c>
      <c r="E8" s="6"/>
      <c r="F8" s="6"/>
    </row>
    <row r="9" spans="2:6" ht="15.6" x14ac:dyDescent="0.3">
      <c r="B9" s="6" t="s">
        <v>35</v>
      </c>
      <c r="C9" s="7" t="s">
        <v>87</v>
      </c>
      <c r="D9" s="7" t="s">
        <v>146</v>
      </c>
      <c r="E9" s="6" t="s">
        <v>19</v>
      </c>
      <c r="F9" s="6"/>
    </row>
    <row r="10" spans="2:6" x14ac:dyDescent="0.3">
      <c r="B10" s="6" t="s">
        <v>55</v>
      </c>
      <c r="C10" s="6" t="s">
        <v>221</v>
      </c>
      <c r="D10" s="6"/>
      <c r="E10" s="6"/>
      <c r="F10" s="6"/>
    </row>
    <row r="11" spans="2:6" x14ac:dyDescent="0.3">
      <c r="B11" s="6"/>
      <c r="C11" s="6"/>
      <c r="D11" s="6"/>
      <c r="E11" s="6"/>
      <c r="F11" s="6"/>
    </row>
  </sheetData>
  <mergeCells count="1">
    <mergeCell ref="C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1BFC-C586-47E8-9853-07F73EF9CB38}">
  <sheetPr>
    <tabColor theme="8" tint="0.79998168889431442"/>
  </sheetPr>
  <dimension ref="B1:AU38"/>
  <sheetViews>
    <sheetView topLeftCell="A5" zoomScale="85" zoomScaleNormal="85" workbookViewId="0">
      <selection activeCell="M9" sqref="M9"/>
    </sheetView>
  </sheetViews>
  <sheetFormatPr defaultRowHeight="15.6" x14ac:dyDescent="0.3"/>
  <cols>
    <col min="1" max="1" width="2.77734375" style="22" customWidth="1"/>
    <col min="2" max="2" width="3.5546875" style="22" customWidth="1"/>
    <col min="3" max="3" width="22.5546875" style="22" customWidth="1"/>
    <col min="4" max="4" width="15.21875" style="22" customWidth="1"/>
    <col min="5" max="5" width="12.6640625" style="22" customWidth="1"/>
    <col min="6" max="6" width="16.21875" style="22" customWidth="1"/>
    <col min="7" max="7" width="15.21875" style="22" customWidth="1"/>
    <col min="8" max="8" width="15" style="22" customWidth="1"/>
    <col min="9" max="9" width="3.5546875" style="22" customWidth="1"/>
    <col min="10" max="10" width="2.77734375" style="22" customWidth="1"/>
    <col min="11" max="11" width="3.5546875" style="22" customWidth="1"/>
    <col min="12" max="12" width="22.5546875" style="22" customWidth="1"/>
    <col min="13" max="13" width="16.21875" style="22" customWidth="1"/>
    <col min="14" max="14" width="12.6640625" style="22" customWidth="1"/>
    <col min="15" max="19" width="12.21875" style="22" customWidth="1"/>
    <col min="20" max="20" width="15" style="22" customWidth="1"/>
    <col min="21" max="25" width="12.21875" style="22" customWidth="1"/>
    <col min="26" max="26" width="15" style="22" customWidth="1"/>
    <col min="27" max="27" width="3.5546875" style="22" customWidth="1"/>
    <col min="28" max="28" width="2.77734375" style="22" customWidth="1"/>
    <col min="29" max="29" width="3.5546875" style="22" customWidth="1"/>
    <col min="30" max="30" width="22.5546875" style="22" customWidth="1"/>
    <col min="31" max="32" width="12.6640625" style="22" customWidth="1"/>
    <col min="33" max="33" width="16.21875" style="22" customWidth="1"/>
    <col min="34" max="34" width="12.6640625" style="22" customWidth="1"/>
    <col min="35" max="35" width="15" style="22" customWidth="1"/>
    <col min="36" max="36" width="3.5546875" style="22" customWidth="1"/>
    <col min="37" max="37" width="2.77734375" style="22" customWidth="1"/>
    <col min="38" max="38" width="3.5546875" style="22" customWidth="1"/>
    <col min="39" max="39" width="22.5546875" style="22" customWidth="1"/>
    <col min="40" max="40" width="9" style="22" bestFit="1" customWidth="1"/>
    <col min="41" max="43" width="16.21875" style="22" customWidth="1"/>
    <col min="44" max="45" width="12.88671875" style="22" customWidth="1"/>
    <col min="46" max="46" width="15" style="22" customWidth="1"/>
    <col min="47" max="47" width="3.5546875" style="22" customWidth="1"/>
    <col min="48" max="16384" width="8.88671875" style="22"/>
  </cols>
  <sheetData>
    <row r="1" spans="2:47" ht="16.2" thickBot="1" x14ac:dyDescent="0.35"/>
    <row r="2" spans="2:47" x14ac:dyDescent="0.3">
      <c r="B2" s="217" t="s">
        <v>49</v>
      </c>
      <c r="C2" s="218"/>
      <c r="D2" s="218"/>
      <c r="E2" s="218"/>
      <c r="F2" s="218"/>
      <c r="G2" s="218"/>
      <c r="H2" s="218"/>
      <c r="I2" s="219"/>
      <c r="K2" s="217" t="s">
        <v>135</v>
      </c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9"/>
      <c r="AC2" s="217" t="s">
        <v>143</v>
      </c>
      <c r="AD2" s="218"/>
      <c r="AE2" s="218"/>
      <c r="AF2" s="218"/>
      <c r="AG2" s="218"/>
      <c r="AH2" s="218"/>
      <c r="AI2" s="218"/>
      <c r="AJ2" s="219"/>
      <c r="AL2" s="222" t="s">
        <v>144</v>
      </c>
      <c r="AM2" s="223"/>
      <c r="AN2" s="223"/>
      <c r="AO2" s="223"/>
      <c r="AP2" s="223"/>
      <c r="AQ2" s="223"/>
      <c r="AR2" s="223"/>
      <c r="AS2" s="223"/>
      <c r="AT2" s="223"/>
      <c r="AU2" s="224"/>
    </row>
    <row r="3" spans="2:47" x14ac:dyDescent="0.3">
      <c r="B3" s="92"/>
      <c r="I3" s="93"/>
      <c r="K3" s="92"/>
      <c r="AA3" s="93"/>
      <c r="AC3" s="92"/>
      <c r="AJ3" s="93"/>
      <c r="AL3" s="92"/>
      <c r="AU3" s="93"/>
    </row>
    <row r="4" spans="2:47" ht="27" customHeight="1" x14ac:dyDescent="0.3">
      <c r="B4" s="92"/>
      <c r="C4" s="228" t="s">
        <v>106</v>
      </c>
      <c r="D4" s="228"/>
      <c r="E4" s="228"/>
      <c r="F4" s="228"/>
      <c r="G4" s="228"/>
      <c r="H4" s="228"/>
      <c r="I4" s="93"/>
      <c r="K4" s="92"/>
      <c r="L4" s="228" t="s">
        <v>133</v>
      </c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93"/>
      <c r="AC4" s="92"/>
      <c r="AD4" s="220" t="s">
        <v>87</v>
      </c>
      <c r="AE4" s="221"/>
      <c r="AF4" s="221"/>
      <c r="AG4" s="221"/>
      <c r="AH4" s="221"/>
      <c r="AI4" s="230"/>
      <c r="AJ4" s="93"/>
      <c r="AL4" s="92"/>
      <c r="AM4" s="220" t="s">
        <v>144</v>
      </c>
      <c r="AN4" s="221"/>
      <c r="AO4" s="221"/>
      <c r="AP4" s="221"/>
      <c r="AQ4" s="221"/>
      <c r="AR4" s="221"/>
      <c r="AS4" s="221"/>
      <c r="AT4" s="221"/>
      <c r="AU4" s="93"/>
    </row>
    <row r="5" spans="2:47" ht="27" customHeight="1" x14ac:dyDescent="0.3">
      <c r="B5" s="92"/>
      <c r="C5" s="229" t="s">
        <v>109</v>
      </c>
      <c r="D5" s="229"/>
      <c r="E5" s="229"/>
      <c r="F5" s="229"/>
      <c r="G5" s="229"/>
      <c r="H5" s="229"/>
      <c r="I5" s="93"/>
      <c r="K5" s="92"/>
      <c r="L5" s="229" t="s">
        <v>134</v>
      </c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93"/>
      <c r="AC5" s="92"/>
      <c r="AD5" s="229" t="s">
        <v>142</v>
      </c>
      <c r="AE5" s="229"/>
      <c r="AF5" s="229"/>
      <c r="AG5" s="229"/>
      <c r="AH5" s="229"/>
      <c r="AI5" s="229"/>
      <c r="AJ5" s="93"/>
      <c r="AL5" s="92"/>
      <c r="AM5" s="229" t="s">
        <v>145</v>
      </c>
      <c r="AN5" s="229"/>
      <c r="AO5" s="229"/>
      <c r="AP5" s="229"/>
      <c r="AQ5" s="229"/>
      <c r="AR5" s="229"/>
      <c r="AS5" s="229"/>
      <c r="AT5" s="229"/>
      <c r="AU5" s="93"/>
    </row>
    <row r="6" spans="2:47" ht="46.8" x14ac:dyDescent="0.3">
      <c r="B6" s="92"/>
      <c r="C6" s="9" t="s">
        <v>7</v>
      </c>
      <c r="D6" s="9" t="s">
        <v>23</v>
      </c>
      <c r="E6" s="9" t="s">
        <v>24</v>
      </c>
      <c r="F6" s="9" t="s">
        <v>111</v>
      </c>
      <c r="G6" s="9" t="s">
        <v>25</v>
      </c>
      <c r="H6" s="9" t="s">
        <v>2</v>
      </c>
      <c r="I6" s="93"/>
      <c r="K6" s="92"/>
      <c r="L6" s="9" t="s">
        <v>7</v>
      </c>
      <c r="M6" s="9" t="s">
        <v>111</v>
      </c>
      <c r="N6" s="9" t="s">
        <v>112</v>
      </c>
      <c r="O6" s="9" t="s">
        <v>150</v>
      </c>
      <c r="P6" s="9" t="s">
        <v>151</v>
      </c>
      <c r="Q6" s="9" t="s">
        <v>152</v>
      </c>
      <c r="R6" s="9" t="s">
        <v>153</v>
      </c>
      <c r="S6" s="9" t="s">
        <v>154</v>
      </c>
      <c r="T6" s="9" t="s">
        <v>108</v>
      </c>
      <c r="U6" s="9" t="s">
        <v>113</v>
      </c>
      <c r="V6" s="9" t="s">
        <v>114</v>
      </c>
      <c r="W6" s="9" t="s">
        <v>115</v>
      </c>
      <c r="X6" s="9" t="s">
        <v>116</v>
      </c>
      <c r="Y6" s="9" t="s">
        <v>117</v>
      </c>
      <c r="Z6" s="9" t="s">
        <v>118</v>
      </c>
      <c r="AA6" s="93"/>
      <c r="AC6" s="92"/>
      <c r="AD6" s="9" t="s">
        <v>7</v>
      </c>
      <c r="AE6" s="9" t="s">
        <v>23</v>
      </c>
      <c r="AF6" s="9" t="s">
        <v>24</v>
      </c>
      <c r="AG6" s="9" t="s">
        <v>111</v>
      </c>
      <c r="AH6" s="9" t="s">
        <v>25</v>
      </c>
      <c r="AI6" s="9" t="s">
        <v>2</v>
      </c>
      <c r="AJ6" s="93"/>
      <c r="AL6" s="92"/>
      <c r="AM6" s="60" t="s">
        <v>7</v>
      </c>
      <c r="AN6" s="9" t="s">
        <v>27</v>
      </c>
      <c r="AO6" s="9" t="s">
        <v>8</v>
      </c>
      <c r="AP6" s="9" t="s">
        <v>53</v>
      </c>
      <c r="AQ6" s="9" t="s">
        <v>16</v>
      </c>
      <c r="AR6" s="9" t="s">
        <v>9</v>
      </c>
      <c r="AS6" s="9" t="s">
        <v>132</v>
      </c>
      <c r="AT6" s="9" t="s">
        <v>2</v>
      </c>
      <c r="AU6" s="93"/>
    </row>
    <row r="7" spans="2:47" x14ac:dyDescent="0.3">
      <c r="B7" s="92"/>
      <c r="C7" s="61" t="s">
        <v>119</v>
      </c>
      <c r="D7" s="10">
        <v>0.5</v>
      </c>
      <c r="E7" s="10">
        <v>1</v>
      </c>
      <c r="F7" s="34">
        <v>100000</v>
      </c>
      <c r="G7" s="150">
        <v>2</v>
      </c>
      <c r="H7" s="34">
        <f>D7*E7*F7*G7</f>
        <v>100000</v>
      </c>
      <c r="I7" s="93"/>
      <c r="K7" s="92"/>
      <c r="L7" s="61" t="s">
        <v>119</v>
      </c>
      <c r="M7" s="34">
        <v>100000</v>
      </c>
      <c r="N7" s="90">
        <v>1</v>
      </c>
      <c r="O7" s="10">
        <v>0</v>
      </c>
      <c r="P7" s="10">
        <v>0</v>
      </c>
      <c r="Q7" s="10">
        <v>0.5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93"/>
      <c r="AC7" s="92"/>
      <c r="AD7" s="61" t="s">
        <v>138</v>
      </c>
      <c r="AE7" s="10">
        <v>0</v>
      </c>
      <c r="AF7" s="10">
        <v>0</v>
      </c>
      <c r="AG7" s="88">
        <v>100000</v>
      </c>
      <c r="AH7" s="10">
        <v>12</v>
      </c>
      <c r="AI7" s="88">
        <f>AE7*AF7*AG7*AH7</f>
        <v>0</v>
      </c>
      <c r="AJ7" s="93"/>
      <c r="AL7" s="92"/>
      <c r="AM7" s="61" t="s">
        <v>10</v>
      </c>
      <c r="AN7" s="61" t="s">
        <v>29</v>
      </c>
      <c r="AO7" s="91">
        <v>2000</v>
      </c>
      <c r="AP7" s="91">
        <v>4500</v>
      </c>
      <c r="AQ7" s="91">
        <v>4500</v>
      </c>
      <c r="AR7" s="52">
        <v>1</v>
      </c>
      <c r="AS7" s="52">
        <v>4</v>
      </c>
      <c r="AT7" s="88">
        <f>(AS7*AR7*AO7)+(AP7*AS7)+(AQ7*AR7*AS7)</f>
        <v>44000</v>
      </c>
      <c r="AU7" s="93"/>
    </row>
    <row r="8" spans="2:47" x14ac:dyDescent="0.3">
      <c r="B8" s="92"/>
      <c r="C8" s="61" t="s">
        <v>120</v>
      </c>
      <c r="D8" s="10">
        <v>1</v>
      </c>
      <c r="E8" s="10">
        <v>1</v>
      </c>
      <c r="F8" s="34">
        <v>60000</v>
      </c>
      <c r="G8" s="150">
        <v>2</v>
      </c>
      <c r="H8" s="34">
        <f>D8*E8*F8*G8</f>
        <v>120000</v>
      </c>
      <c r="I8" s="93"/>
      <c r="K8" s="92"/>
      <c r="L8" s="61" t="s">
        <v>120</v>
      </c>
      <c r="M8" s="34">
        <v>60000</v>
      </c>
      <c r="N8" s="90">
        <v>1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93"/>
      <c r="AC8" s="92"/>
      <c r="AD8" s="61" t="s">
        <v>139</v>
      </c>
      <c r="AE8" s="10">
        <v>2</v>
      </c>
      <c r="AF8" s="10">
        <v>2</v>
      </c>
      <c r="AG8" s="34">
        <v>20000</v>
      </c>
      <c r="AH8" s="10">
        <v>12</v>
      </c>
      <c r="AI8" s="88">
        <f>AE8*AF8*AG8*AH8</f>
        <v>960000</v>
      </c>
      <c r="AJ8" s="93"/>
      <c r="AL8" s="92"/>
      <c r="AM8" s="61" t="s">
        <v>11</v>
      </c>
      <c r="AN8" s="61" t="s">
        <v>29</v>
      </c>
      <c r="AO8" s="91">
        <v>0</v>
      </c>
      <c r="AP8" s="91">
        <v>0</v>
      </c>
      <c r="AQ8" s="91">
        <v>0</v>
      </c>
      <c r="AR8" s="52">
        <v>0</v>
      </c>
      <c r="AS8" s="52">
        <v>0</v>
      </c>
      <c r="AT8" s="88">
        <f>(AS8*AR8*AO8)+(AP8*AS8)+(AQ8*AR8*AS8)</f>
        <v>0</v>
      </c>
      <c r="AU8" s="93"/>
    </row>
    <row r="9" spans="2:47" x14ac:dyDescent="0.3">
      <c r="B9" s="92"/>
      <c r="C9" s="61" t="s">
        <v>121</v>
      </c>
      <c r="D9" s="10">
        <v>1</v>
      </c>
      <c r="E9" s="10">
        <v>1</v>
      </c>
      <c r="F9" s="34">
        <v>75000</v>
      </c>
      <c r="G9" s="150">
        <v>2</v>
      </c>
      <c r="H9" s="34">
        <f>D9*E9*F9*G9</f>
        <v>150000</v>
      </c>
      <c r="I9" s="93"/>
      <c r="K9" s="92"/>
      <c r="L9" s="61" t="s">
        <v>121</v>
      </c>
      <c r="M9" s="34">
        <v>75000</v>
      </c>
      <c r="N9" s="90">
        <v>1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93"/>
      <c r="AC9" s="92"/>
      <c r="AD9" s="61" t="s">
        <v>140</v>
      </c>
      <c r="AE9" s="10">
        <v>0</v>
      </c>
      <c r="AF9" s="10">
        <v>0</v>
      </c>
      <c r="AG9" s="88">
        <v>35000</v>
      </c>
      <c r="AH9" s="10">
        <v>12</v>
      </c>
      <c r="AI9" s="88">
        <f>AE9*AF9*AG9*AH9</f>
        <v>0</v>
      </c>
      <c r="AJ9" s="93"/>
      <c r="AL9" s="92"/>
      <c r="AM9" s="61" t="s">
        <v>12</v>
      </c>
      <c r="AN9" s="61" t="s">
        <v>29</v>
      </c>
      <c r="AO9" s="91">
        <v>1500</v>
      </c>
      <c r="AP9" s="91">
        <v>4500</v>
      </c>
      <c r="AQ9" s="91">
        <v>3500</v>
      </c>
      <c r="AR9" s="52">
        <v>1</v>
      </c>
      <c r="AS9" s="52">
        <v>3</v>
      </c>
      <c r="AT9" s="88">
        <f>(AS9*AR9*AO9)+(AP9*AS9)+(AQ9*AR9*AS9)</f>
        <v>28500</v>
      </c>
      <c r="AU9" s="93"/>
    </row>
    <row r="10" spans="2:47" x14ac:dyDescent="0.3">
      <c r="B10" s="92"/>
      <c r="C10" s="61"/>
      <c r="D10" s="78">
        <f>D7*E7+D8*E8+D9*E9</f>
        <v>2.5</v>
      </c>
      <c r="E10" s="10"/>
      <c r="F10" s="10"/>
      <c r="G10" s="62" t="s">
        <v>2</v>
      </c>
      <c r="H10" s="63">
        <f>SUM(H7:H9)</f>
        <v>370000</v>
      </c>
      <c r="I10" s="93"/>
      <c r="K10" s="92"/>
      <c r="L10" s="61"/>
      <c r="M10" s="10"/>
      <c r="N10" s="10"/>
      <c r="O10" s="79">
        <f>(O7*$M$7*$N$7)+(O8*$M$8*$N$8)+(O9*$M$9*$N$9)</f>
        <v>0</v>
      </c>
      <c r="P10" s="79">
        <f t="shared" ref="P10:Z10" si="0">(P7*$M$7*$N$7)+(P8*$M$8*$N$8)+(P9*$M$9*$N$9)</f>
        <v>0</v>
      </c>
      <c r="Q10" s="79">
        <f t="shared" si="0"/>
        <v>185000</v>
      </c>
      <c r="R10" s="79">
        <f t="shared" si="0"/>
        <v>0</v>
      </c>
      <c r="S10" s="79">
        <f t="shared" si="0"/>
        <v>0</v>
      </c>
      <c r="T10" s="79">
        <f t="shared" si="0"/>
        <v>0</v>
      </c>
      <c r="U10" s="79">
        <f t="shared" si="0"/>
        <v>0</v>
      </c>
      <c r="V10" s="79">
        <f t="shared" si="0"/>
        <v>0</v>
      </c>
      <c r="W10" s="79">
        <f t="shared" si="0"/>
        <v>0</v>
      </c>
      <c r="X10" s="79">
        <f t="shared" si="0"/>
        <v>0</v>
      </c>
      <c r="Y10" s="79">
        <f t="shared" si="0"/>
        <v>0</v>
      </c>
      <c r="Z10" s="79">
        <f t="shared" si="0"/>
        <v>0</v>
      </c>
      <c r="AA10" s="93"/>
      <c r="AC10" s="92"/>
      <c r="AD10" s="61"/>
      <c r="AE10" s="78">
        <f>AE7*AF7+AE8*AF8+AE9*AF9</f>
        <v>4</v>
      </c>
      <c r="AF10" s="61"/>
      <c r="AG10" s="61"/>
      <c r="AH10" s="62" t="s">
        <v>2</v>
      </c>
      <c r="AI10" s="89">
        <f>SUM(AI7:AI9)</f>
        <v>960000</v>
      </c>
      <c r="AJ10" s="93"/>
      <c r="AL10" s="92"/>
      <c r="AM10" s="61"/>
      <c r="AN10" s="61"/>
      <c r="AO10" s="61"/>
      <c r="AP10" s="61"/>
      <c r="AQ10" s="94"/>
      <c r="AR10" s="61"/>
      <c r="AS10" s="62" t="s">
        <v>2</v>
      </c>
      <c r="AT10" s="89">
        <f>SUM(AT7:AT9)</f>
        <v>72500</v>
      </c>
      <c r="AU10" s="93"/>
    </row>
    <row r="11" spans="2:47" x14ac:dyDescent="0.3">
      <c r="B11" s="92"/>
      <c r="I11" s="93"/>
      <c r="J11" s="95"/>
      <c r="K11" s="96"/>
      <c r="L11" s="87"/>
      <c r="S11"/>
      <c r="T11"/>
      <c r="Y11" s="62" t="s">
        <v>122</v>
      </c>
      <c r="Z11" s="63">
        <f>SUM(O10:Z10)</f>
        <v>185000</v>
      </c>
      <c r="AA11" s="93"/>
      <c r="AC11" s="92"/>
      <c r="AJ11" s="93"/>
      <c r="AL11" s="92"/>
      <c r="AU11" s="93"/>
    </row>
    <row r="12" spans="2:47" hidden="1" x14ac:dyDescent="0.3">
      <c r="B12" s="92"/>
      <c r="I12" s="93"/>
      <c r="J12" s="95"/>
      <c r="K12" s="96"/>
      <c r="L12" s="95"/>
      <c r="M12" s="95"/>
      <c r="N12" s="95"/>
      <c r="O12" s="95"/>
      <c r="P12" s="95"/>
      <c r="Q12" s="95"/>
      <c r="R12" s="87"/>
      <c r="U12" s="95"/>
      <c r="V12" s="95"/>
      <c r="W12" s="95"/>
      <c r="X12" s="87"/>
      <c r="AA12" s="93"/>
      <c r="AC12" s="92"/>
      <c r="AJ12" s="93"/>
      <c r="AL12" s="92"/>
      <c r="AU12" s="93"/>
    </row>
    <row r="13" spans="2:47" hidden="1" x14ac:dyDescent="0.3">
      <c r="B13" s="92"/>
      <c r="C13" s="80" t="s">
        <v>123</v>
      </c>
      <c r="D13" s="80" t="s">
        <v>42</v>
      </c>
      <c r="E13" s="80" t="s">
        <v>124</v>
      </c>
      <c r="F13" s="80" t="s">
        <v>125</v>
      </c>
      <c r="I13" s="93"/>
      <c r="J13" s="97" t="s">
        <v>126</v>
      </c>
      <c r="K13" s="98"/>
      <c r="L13" s="99" t="s">
        <v>42</v>
      </c>
      <c r="M13" s="99" t="s">
        <v>124</v>
      </c>
      <c r="N13" s="99" t="s">
        <v>125</v>
      </c>
      <c r="O13" s="95"/>
      <c r="P13" s="95"/>
      <c r="Q13" s="95"/>
      <c r="R13" s="87"/>
      <c r="U13" s="95"/>
      <c r="V13" s="95"/>
      <c r="W13" s="95"/>
      <c r="X13" s="87"/>
      <c r="AA13" s="93"/>
      <c r="AC13" s="92"/>
      <c r="AJ13" s="93"/>
      <c r="AL13" s="92"/>
      <c r="AU13" s="93"/>
    </row>
    <row r="14" spans="2:47" hidden="1" x14ac:dyDescent="0.3">
      <c r="B14" s="92"/>
      <c r="C14" s="61" t="s">
        <v>127</v>
      </c>
      <c r="D14" s="61">
        <v>47</v>
      </c>
      <c r="E14" s="61">
        <v>6</v>
      </c>
      <c r="F14" s="61">
        <f>ROUND(D14/E14,0)</f>
        <v>8</v>
      </c>
      <c r="I14" s="93"/>
      <c r="J14" s="100" t="s">
        <v>127</v>
      </c>
      <c r="K14" s="101"/>
      <c r="L14" s="102">
        <v>0</v>
      </c>
      <c r="M14" s="102">
        <f>$E14</f>
        <v>6</v>
      </c>
      <c r="N14" s="102">
        <f>ROUND(L14/$E$14,0)</f>
        <v>0</v>
      </c>
      <c r="O14" s="95"/>
      <c r="P14" s="95"/>
      <c r="Q14" s="95"/>
      <c r="R14" s="87"/>
      <c r="U14" s="95"/>
      <c r="V14" s="95"/>
      <c r="W14" s="95"/>
      <c r="X14" s="87"/>
      <c r="AA14" s="93"/>
      <c r="AC14" s="92"/>
      <c r="AJ14" s="93"/>
      <c r="AL14" s="92"/>
      <c r="AU14" s="93"/>
    </row>
    <row r="15" spans="2:47" hidden="1" x14ac:dyDescent="0.3">
      <c r="B15" s="92"/>
      <c r="C15" s="61" t="s">
        <v>128</v>
      </c>
      <c r="D15" s="61">
        <v>40</v>
      </c>
      <c r="E15" s="61">
        <v>7</v>
      </c>
      <c r="F15" s="61">
        <f>ROUND(D15/E15,0)</f>
        <v>6</v>
      </c>
      <c r="I15" s="93"/>
      <c r="J15" s="100" t="s">
        <v>128</v>
      </c>
      <c r="K15" s="101"/>
      <c r="L15" s="102">
        <v>0</v>
      </c>
      <c r="M15" s="102">
        <f t="shared" ref="M15:M19" si="1">$E15</f>
        <v>7</v>
      </c>
      <c r="N15" s="102">
        <f>ROUND(L15/$E$15,0)</f>
        <v>0</v>
      </c>
      <c r="O15" s="95"/>
      <c r="P15" s="95"/>
      <c r="Q15" s="95"/>
      <c r="R15" s="87"/>
      <c r="U15" s="95"/>
      <c r="V15" s="95"/>
      <c r="W15" s="95"/>
      <c r="X15" s="87"/>
      <c r="AA15" s="93"/>
      <c r="AC15" s="92"/>
      <c r="AJ15" s="93"/>
      <c r="AL15" s="92"/>
      <c r="AU15" s="93"/>
    </row>
    <row r="16" spans="2:47" hidden="1" x14ac:dyDescent="0.3">
      <c r="B16" s="92"/>
      <c r="C16" s="61" t="s">
        <v>129</v>
      </c>
      <c r="D16" s="61">
        <v>810</v>
      </c>
      <c r="E16" s="81">
        <v>120</v>
      </c>
      <c r="F16" s="81">
        <f>ROUND(D16/E16,0)</f>
        <v>7</v>
      </c>
      <c r="I16" s="93"/>
      <c r="J16" s="100" t="s">
        <v>129</v>
      </c>
      <c r="K16" s="101"/>
      <c r="L16" s="102">
        <v>0</v>
      </c>
      <c r="M16" s="102">
        <f t="shared" si="1"/>
        <v>120</v>
      </c>
      <c r="N16" s="102">
        <f>ROUND(L16/$E$16,0)</f>
        <v>0</v>
      </c>
      <c r="O16" s="95"/>
      <c r="P16" s="95"/>
      <c r="Q16" s="95"/>
      <c r="R16" s="87"/>
      <c r="U16" s="95"/>
      <c r="V16" s="95"/>
      <c r="W16" s="95"/>
      <c r="X16" s="87"/>
      <c r="AA16" s="93"/>
      <c r="AC16" s="92"/>
      <c r="AJ16" s="93"/>
      <c r="AL16" s="92"/>
      <c r="AU16" s="93"/>
    </row>
    <row r="17" spans="2:47" hidden="1" x14ac:dyDescent="0.3">
      <c r="B17" s="92"/>
      <c r="E17" s="82" t="s">
        <v>130</v>
      </c>
      <c r="F17" s="83">
        <f>SUM(F14:F16)</f>
        <v>21</v>
      </c>
      <c r="I17" s="93"/>
      <c r="J17" s="95"/>
      <c r="K17" s="96"/>
      <c r="L17" s="95"/>
      <c r="M17" s="102" t="str">
        <f t="shared" si="1"/>
        <v>Onsite</v>
      </c>
      <c r="N17" s="103">
        <f>SUM(N14:N16)</f>
        <v>0</v>
      </c>
      <c r="O17" s="95"/>
      <c r="P17" s="95"/>
      <c r="Q17" s="95"/>
      <c r="R17" s="87"/>
      <c r="U17" s="95"/>
      <c r="V17" s="95"/>
      <c r="W17" s="95"/>
      <c r="X17" s="87"/>
      <c r="AA17" s="93"/>
      <c r="AC17" s="92"/>
      <c r="AJ17" s="93"/>
      <c r="AL17" s="92"/>
      <c r="AU17" s="93"/>
    </row>
    <row r="18" spans="2:47" hidden="1" x14ac:dyDescent="0.3">
      <c r="B18" s="92"/>
      <c r="E18" s="82" t="s">
        <v>131</v>
      </c>
      <c r="F18" s="84">
        <f>ROUND(F17/8,0)</f>
        <v>3</v>
      </c>
      <c r="I18" s="93"/>
      <c r="J18" s="95"/>
      <c r="K18" s="96"/>
      <c r="L18" s="95"/>
      <c r="M18" s="102" t="str">
        <f t="shared" si="1"/>
        <v>MIS</v>
      </c>
      <c r="N18" s="102">
        <f>ROUND(N17/8,0)</f>
        <v>0</v>
      </c>
      <c r="O18" s="95"/>
      <c r="P18" s="95"/>
      <c r="Q18" s="95"/>
      <c r="R18" s="87"/>
      <c r="U18" s="95"/>
      <c r="V18" s="95"/>
      <c r="W18" s="95"/>
      <c r="X18" s="87"/>
      <c r="AA18" s="93"/>
      <c r="AC18" s="92"/>
      <c r="AJ18" s="93"/>
      <c r="AL18" s="92"/>
      <c r="AU18" s="93"/>
    </row>
    <row r="19" spans="2:47" hidden="1" x14ac:dyDescent="0.3">
      <c r="B19" s="92"/>
      <c r="E19" s="85" t="s">
        <v>2</v>
      </c>
      <c r="F19" s="86">
        <f>F17+F18</f>
        <v>24</v>
      </c>
      <c r="I19" s="93"/>
      <c r="J19" s="95"/>
      <c r="K19" s="96"/>
      <c r="L19" s="95"/>
      <c r="M19" s="104" t="str">
        <f t="shared" si="1"/>
        <v>Total</v>
      </c>
      <c r="N19" s="105">
        <f>N17+N18</f>
        <v>0</v>
      </c>
      <c r="O19" s="95"/>
      <c r="P19" s="95"/>
      <c r="Q19" s="95"/>
      <c r="R19" s="87"/>
      <c r="U19" s="95"/>
      <c r="V19" s="95"/>
      <c r="W19" s="95"/>
      <c r="X19" s="87"/>
      <c r="AA19" s="93"/>
      <c r="AC19" s="92"/>
      <c r="AJ19" s="93"/>
      <c r="AL19" s="92"/>
      <c r="AU19" s="93"/>
    </row>
    <row r="20" spans="2:47" ht="16.2" thickBot="1" x14ac:dyDescent="0.35">
      <c r="B20" s="92"/>
      <c r="I20" s="93"/>
      <c r="K20" s="92"/>
      <c r="AA20" s="93"/>
      <c r="AC20" s="106"/>
      <c r="AD20" s="107"/>
      <c r="AE20" s="107"/>
      <c r="AF20" s="107"/>
      <c r="AG20" s="107"/>
      <c r="AH20" s="107"/>
      <c r="AI20" s="107"/>
      <c r="AJ20" s="108"/>
      <c r="AL20" s="106"/>
      <c r="AM20" s="107"/>
      <c r="AN20" s="107"/>
      <c r="AO20" s="107"/>
      <c r="AP20" s="107"/>
      <c r="AQ20" s="107"/>
      <c r="AR20" s="107"/>
      <c r="AS20" s="107"/>
      <c r="AT20" s="107"/>
      <c r="AU20" s="108"/>
    </row>
    <row r="21" spans="2:47" ht="27" customHeight="1" x14ac:dyDescent="0.3">
      <c r="B21" s="92"/>
      <c r="C21" s="228" t="s">
        <v>107</v>
      </c>
      <c r="D21" s="228"/>
      <c r="E21" s="228"/>
      <c r="F21" s="228"/>
      <c r="G21" s="228"/>
      <c r="H21" s="228"/>
      <c r="I21" s="93"/>
      <c r="K21" s="92"/>
      <c r="L21" s="228" t="s">
        <v>136</v>
      </c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93"/>
    </row>
    <row r="22" spans="2:47" ht="27" customHeight="1" x14ac:dyDescent="0.3">
      <c r="B22" s="92"/>
      <c r="C22" s="225" t="s">
        <v>110</v>
      </c>
      <c r="D22" s="226"/>
      <c r="E22" s="226"/>
      <c r="F22" s="226"/>
      <c r="G22" s="226"/>
      <c r="H22" s="227"/>
      <c r="I22" s="93"/>
      <c r="K22" s="92"/>
      <c r="L22" s="229" t="s">
        <v>137</v>
      </c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93"/>
      <c r="AI22" s="119"/>
    </row>
    <row r="23" spans="2:47" ht="46.8" x14ac:dyDescent="0.3">
      <c r="B23" s="92"/>
      <c r="C23" s="9" t="s">
        <v>7</v>
      </c>
      <c r="D23" s="9" t="s">
        <v>23</v>
      </c>
      <c r="E23" s="9" t="s">
        <v>24</v>
      </c>
      <c r="F23" s="9" t="s">
        <v>111</v>
      </c>
      <c r="G23" s="9" t="s">
        <v>25</v>
      </c>
      <c r="H23" s="9" t="s">
        <v>2</v>
      </c>
      <c r="I23" s="93"/>
      <c r="K23" s="92"/>
      <c r="L23" s="9" t="s">
        <v>7</v>
      </c>
      <c r="M23" s="9" t="s">
        <v>111</v>
      </c>
      <c r="N23" s="9" t="s">
        <v>112</v>
      </c>
      <c r="O23" s="9" t="s">
        <v>150</v>
      </c>
      <c r="P23" s="9" t="s">
        <v>151</v>
      </c>
      <c r="Q23" s="9" t="s">
        <v>152</v>
      </c>
      <c r="R23" s="9" t="s">
        <v>153</v>
      </c>
      <c r="S23" s="9" t="s">
        <v>154</v>
      </c>
      <c r="T23" s="9" t="s">
        <v>108</v>
      </c>
      <c r="U23" s="9" t="s">
        <v>113</v>
      </c>
      <c r="V23" s="9" t="s">
        <v>114</v>
      </c>
      <c r="W23" s="9" t="s">
        <v>115</v>
      </c>
      <c r="X23" s="9" t="s">
        <v>116</v>
      </c>
      <c r="Y23" s="9" t="s">
        <v>117</v>
      </c>
      <c r="Z23" s="9" t="s">
        <v>118</v>
      </c>
      <c r="AA23" s="93"/>
    </row>
    <row r="24" spans="2:47" x14ac:dyDescent="0.3">
      <c r="B24" s="92"/>
      <c r="C24" s="61" t="s">
        <v>119</v>
      </c>
      <c r="D24" s="10">
        <v>0</v>
      </c>
      <c r="E24" s="10">
        <v>0</v>
      </c>
      <c r="F24" s="34">
        <v>100000</v>
      </c>
      <c r="G24" s="10">
        <v>0</v>
      </c>
      <c r="H24" s="34">
        <f>D24*E24*F24*G24</f>
        <v>0</v>
      </c>
      <c r="I24" s="93"/>
      <c r="K24" s="92"/>
      <c r="L24" s="61" t="s">
        <v>138</v>
      </c>
      <c r="M24" s="34">
        <v>100000</v>
      </c>
      <c r="N24" s="34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93"/>
    </row>
    <row r="25" spans="2:47" x14ac:dyDescent="0.3">
      <c r="B25" s="92"/>
      <c r="C25" s="61" t="s">
        <v>120</v>
      </c>
      <c r="D25" s="10">
        <v>0</v>
      </c>
      <c r="E25" s="10">
        <v>0</v>
      </c>
      <c r="F25" s="34">
        <v>60000</v>
      </c>
      <c r="G25" s="10">
        <v>0</v>
      </c>
      <c r="H25" s="34">
        <f>D25*E25*F25*G25</f>
        <v>0</v>
      </c>
      <c r="I25" s="93"/>
      <c r="K25" s="92"/>
      <c r="L25" s="61" t="s">
        <v>139</v>
      </c>
      <c r="M25" s="34">
        <v>20000</v>
      </c>
      <c r="N25" s="90">
        <v>2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93"/>
    </row>
    <row r="26" spans="2:47" x14ac:dyDescent="0.3">
      <c r="B26" s="92"/>
      <c r="C26" s="61" t="s">
        <v>121</v>
      </c>
      <c r="D26" s="10">
        <v>0</v>
      </c>
      <c r="E26" s="10">
        <v>0</v>
      </c>
      <c r="F26" s="34">
        <v>75000</v>
      </c>
      <c r="G26" s="10">
        <v>0</v>
      </c>
      <c r="H26" s="34">
        <f>D26*E26*F26*G26</f>
        <v>0</v>
      </c>
      <c r="I26" s="93"/>
      <c r="K26" s="92"/>
      <c r="L26" s="61" t="s">
        <v>140</v>
      </c>
      <c r="M26" s="34">
        <v>35000</v>
      </c>
      <c r="N26" s="34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93"/>
    </row>
    <row r="27" spans="2:47" x14ac:dyDescent="0.3">
      <c r="B27" s="92"/>
      <c r="C27" s="61"/>
      <c r="D27" s="78">
        <f>D24*E24+D25*E25+D26*E26</f>
        <v>0</v>
      </c>
      <c r="E27" s="10"/>
      <c r="F27" s="10"/>
      <c r="G27" s="62" t="s">
        <v>2</v>
      </c>
      <c r="H27" s="63">
        <f>SUM(H24:H26)</f>
        <v>0</v>
      </c>
      <c r="I27" s="93"/>
      <c r="K27" s="92"/>
      <c r="L27" s="61"/>
      <c r="M27" s="10"/>
      <c r="N27" s="10"/>
      <c r="O27" s="79">
        <f>(O24*$M$24*$N$24)+(O25*$M$25*$N$25)+(O26*$M$26*$N$26)</f>
        <v>0</v>
      </c>
      <c r="P27" s="79">
        <f t="shared" ref="P27:Z27" si="2">(P24*$M$24*$N$24)+(P25*$M$25*$N$25)+(P26*$M$26*$N$26)</f>
        <v>0</v>
      </c>
      <c r="Q27" s="79">
        <f t="shared" si="2"/>
        <v>40000</v>
      </c>
      <c r="R27" s="79">
        <f t="shared" si="2"/>
        <v>0</v>
      </c>
      <c r="S27" s="79">
        <f t="shared" si="2"/>
        <v>0</v>
      </c>
      <c r="T27" s="79">
        <f t="shared" si="2"/>
        <v>0</v>
      </c>
      <c r="U27" s="79">
        <f t="shared" si="2"/>
        <v>0</v>
      </c>
      <c r="V27" s="79">
        <f t="shared" si="2"/>
        <v>0</v>
      </c>
      <c r="W27" s="79">
        <f t="shared" si="2"/>
        <v>0</v>
      </c>
      <c r="X27" s="79">
        <f t="shared" si="2"/>
        <v>0</v>
      </c>
      <c r="Y27" s="79">
        <f t="shared" si="2"/>
        <v>0</v>
      </c>
      <c r="Z27" s="79">
        <f t="shared" si="2"/>
        <v>0</v>
      </c>
      <c r="AA27" s="93"/>
    </row>
    <row r="28" spans="2:47" ht="16.8" customHeight="1" x14ac:dyDescent="0.3">
      <c r="B28" s="92"/>
      <c r="I28" s="93"/>
      <c r="K28" s="92"/>
      <c r="L28" s="87"/>
      <c r="S28"/>
      <c r="T28"/>
      <c r="Y28" s="62" t="s">
        <v>141</v>
      </c>
      <c r="Z28" s="63">
        <f>SUM(O27:Z27)</f>
        <v>40000</v>
      </c>
      <c r="AA28" s="93"/>
    </row>
    <row r="29" spans="2:47" ht="16.8" customHeight="1" x14ac:dyDescent="0.3">
      <c r="B29" s="92"/>
      <c r="I29" s="93"/>
      <c r="K29" s="92"/>
      <c r="L29" s="87"/>
      <c r="O29" s="115">
        <f>SUMPRODUCT($N$7:$N$9,O7:O9)+(SUMPRODUCT($N$24:$N$26,O24:O26))</f>
        <v>0</v>
      </c>
      <c r="P29" s="115">
        <f t="shared" ref="P29:T29" si="3">SUMPRODUCT($N$7:$N$9,P7:P9)+(SUMPRODUCT($N$24:$N$26,P24:P26))</f>
        <v>0</v>
      </c>
      <c r="Q29" s="115">
        <f t="shared" si="3"/>
        <v>4.5</v>
      </c>
      <c r="R29" s="115">
        <f t="shared" si="3"/>
        <v>0</v>
      </c>
      <c r="S29" s="115">
        <f t="shared" si="3"/>
        <v>0</v>
      </c>
      <c r="T29" s="115">
        <f t="shared" si="3"/>
        <v>0</v>
      </c>
      <c r="U29" s="115">
        <f>SUMPRODUCT($N$7:$N$9,U7:U9)+(SUMPRODUCT($N$24:$N$26,U24:U26))</f>
        <v>0</v>
      </c>
      <c r="V29" s="115">
        <f t="shared" ref="V29:Z29" si="4">SUMPRODUCT($N$7:$N$9,V7:V9)+(SUMPRODUCT($N$24:$N$26,V24:V26))</f>
        <v>0</v>
      </c>
      <c r="W29" s="115">
        <f t="shared" si="4"/>
        <v>0</v>
      </c>
      <c r="X29" s="115">
        <f t="shared" si="4"/>
        <v>0</v>
      </c>
      <c r="Y29" s="115">
        <f t="shared" si="4"/>
        <v>0</v>
      </c>
      <c r="Z29" s="115">
        <f t="shared" si="4"/>
        <v>0</v>
      </c>
      <c r="AA29" s="93"/>
      <c r="AG29" s="22" t="s">
        <v>165</v>
      </c>
    </row>
    <row r="30" spans="2:47" ht="16.2" thickBot="1" x14ac:dyDescent="0.35">
      <c r="B30" s="106"/>
      <c r="C30" s="107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8"/>
    </row>
    <row r="35" spans="3:4" x14ac:dyDescent="0.3">
      <c r="C35" s="109"/>
    </row>
    <row r="36" spans="3:4" x14ac:dyDescent="0.3">
      <c r="C36" s="110"/>
      <c r="D36" s="110"/>
    </row>
    <row r="37" spans="3:4" x14ac:dyDescent="0.3">
      <c r="D37" s="110"/>
    </row>
    <row r="38" spans="3:4" x14ac:dyDescent="0.3">
      <c r="D38" s="110"/>
    </row>
  </sheetData>
  <mergeCells count="16">
    <mergeCell ref="AC2:AJ2"/>
    <mergeCell ref="AM4:AT4"/>
    <mergeCell ref="AL2:AU2"/>
    <mergeCell ref="C22:H22"/>
    <mergeCell ref="B2:I2"/>
    <mergeCell ref="K2:AA2"/>
    <mergeCell ref="L21:Z21"/>
    <mergeCell ref="L22:Z22"/>
    <mergeCell ref="C5:H5"/>
    <mergeCell ref="L5:Z5"/>
    <mergeCell ref="AD5:AI5"/>
    <mergeCell ref="AM5:AT5"/>
    <mergeCell ref="C4:H4"/>
    <mergeCell ref="C21:H21"/>
    <mergeCell ref="L4:Z4"/>
    <mergeCell ref="AD4:AI4"/>
  </mergeCells>
  <phoneticPr fontId="16" type="noConversion"/>
  <conditionalFormatting sqref="F7:F9">
    <cfRule type="cellIs" dxfId="22" priority="28" operator="equal">
      <formula>0</formula>
    </cfRule>
  </conditionalFormatting>
  <conditionalFormatting sqref="H7:H10">
    <cfRule type="cellIs" dxfId="21" priority="27" operator="equal">
      <formula>0</formula>
    </cfRule>
  </conditionalFormatting>
  <conditionalFormatting sqref="AG7 AG9">
    <cfRule type="cellIs" dxfId="20" priority="26" operator="equal">
      <formula>0</formula>
    </cfRule>
  </conditionalFormatting>
  <conditionalFormatting sqref="AI7 AI9">
    <cfRule type="cellIs" dxfId="19" priority="25" operator="equal">
      <formula>0</formula>
    </cfRule>
  </conditionalFormatting>
  <conditionalFormatting sqref="AI10">
    <cfRule type="cellIs" dxfId="18" priority="24" operator="equal">
      <formula>0</formula>
    </cfRule>
  </conditionalFormatting>
  <conditionalFormatting sqref="AT7:AT9">
    <cfRule type="cellIs" dxfId="17" priority="23" operator="equal">
      <formula>0</formula>
    </cfRule>
  </conditionalFormatting>
  <conditionalFormatting sqref="AT10">
    <cfRule type="cellIs" dxfId="16" priority="22" operator="equal">
      <formula>0</formula>
    </cfRule>
  </conditionalFormatting>
  <conditionalFormatting sqref="AI8">
    <cfRule type="cellIs" dxfId="15" priority="20" operator="equal">
      <formula>0</formula>
    </cfRule>
  </conditionalFormatting>
  <conditionalFormatting sqref="F24:F26">
    <cfRule type="cellIs" dxfId="14" priority="19" operator="equal">
      <formula>0</formula>
    </cfRule>
  </conditionalFormatting>
  <conditionalFormatting sqref="H24:H27">
    <cfRule type="cellIs" dxfId="13" priority="18" operator="equal">
      <formula>0</formula>
    </cfRule>
  </conditionalFormatting>
  <conditionalFormatting sqref="M7:N9">
    <cfRule type="cellIs" dxfId="12" priority="17" operator="equal">
      <formula>0</formula>
    </cfRule>
  </conditionalFormatting>
  <conditionalFormatting sqref="Z11">
    <cfRule type="cellIs" dxfId="11" priority="16" operator="equal">
      <formula>0</formula>
    </cfRule>
  </conditionalFormatting>
  <conditionalFormatting sqref="M24:N24 M26:N26">
    <cfRule type="cellIs" dxfId="10" priority="10" operator="equal">
      <formula>0</formula>
    </cfRule>
  </conditionalFormatting>
  <conditionalFormatting sqref="Z28">
    <cfRule type="cellIs" dxfId="9" priority="9" operator="equal">
      <formula>0</formula>
    </cfRule>
  </conditionalFormatting>
  <conditionalFormatting sqref="AG8">
    <cfRule type="cellIs" dxfId="8" priority="3" operator="equal">
      <formula>0</formula>
    </cfRule>
  </conditionalFormatting>
  <conditionalFormatting sqref="N25">
    <cfRule type="cellIs" dxfId="7" priority="2" operator="equal">
      <formula>0</formula>
    </cfRule>
  </conditionalFormatting>
  <conditionalFormatting sqref="M25">
    <cfRule type="cellIs" dxfId="6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B583-953C-4327-88E0-8C234125707B}">
  <sheetPr>
    <tabColor theme="8" tint="0.79998168889431442"/>
  </sheetPr>
  <dimension ref="A2:C21"/>
  <sheetViews>
    <sheetView workbookViewId="0">
      <selection activeCell="A19" sqref="A19:C19"/>
    </sheetView>
  </sheetViews>
  <sheetFormatPr defaultRowHeight="14.4" x14ac:dyDescent="0.3"/>
  <cols>
    <col min="1" max="1" width="15.109375" customWidth="1"/>
    <col min="2" max="2" width="22.21875" bestFit="1" customWidth="1"/>
    <col min="3" max="3" width="14.88671875" customWidth="1"/>
  </cols>
  <sheetData>
    <row r="2" spans="1:3" x14ac:dyDescent="0.3">
      <c r="A2" s="6"/>
      <c r="B2" s="6"/>
      <c r="C2" s="6" t="s">
        <v>156</v>
      </c>
    </row>
    <row r="3" spans="1:3" x14ac:dyDescent="0.3">
      <c r="A3" s="6"/>
      <c r="B3" s="6" t="s">
        <v>167</v>
      </c>
      <c r="C3" s="151">
        <v>1</v>
      </c>
    </row>
    <row r="4" spans="1:3" x14ac:dyDescent="0.3">
      <c r="A4" s="6"/>
      <c r="B4" s="6" t="s">
        <v>166</v>
      </c>
      <c r="C4" s="151">
        <v>2</v>
      </c>
    </row>
    <row r="5" spans="1:3" x14ac:dyDescent="0.3">
      <c r="A5" s="6"/>
      <c r="B5" s="6" t="s">
        <v>168</v>
      </c>
      <c r="C5" s="151">
        <v>1</v>
      </c>
    </row>
    <row r="6" spans="1:3" x14ac:dyDescent="0.3">
      <c r="A6" s="6"/>
      <c r="B6" s="120" t="s">
        <v>155</v>
      </c>
      <c r="C6" s="120">
        <f>'Commercials (C)'!D4*12+C3</f>
        <v>37</v>
      </c>
    </row>
    <row r="7" spans="1:3" x14ac:dyDescent="0.3">
      <c r="A7" s="6"/>
      <c r="B7" s="6" t="s">
        <v>169</v>
      </c>
      <c r="C7" s="6">
        <f>C5+12</f>
        <v>13</v>
      </c>
    </row>
    <row r="8" spans="1:3" x14ac:dyDescent="0.3">
      <c r="A8" s="6" t="s">
        <v>160</v>
      </c>
      <c r="B8" s="6" t="s">
        <v>157</v>
      </c>
      <c r="C8" s="6">
        <f>C7+12</f>
        <v>25</v>
      </c>
    </row>
    <row r="9" spans="1:3" x14ac:dyDescent="0.3">
      <c r="A9" s="6" t="s">
        <v>161</v>
      </c>
      <c r="B9" s="6" t="s">
        <v>158</v>
      </c>
      <c r="C9" s="6">
        <f>C8+12</f>
        <v>37</v>
      </c>
    </row>
    <row r="10" spans="1:3" x14ac:dyDescent="0.3">
      <c r="A10" s="116"/>
      <c r="B10" s="116" t="s">
        <v>159</v>
      </c>
      <c r="C10" s="116">
        <f>C6-C9</f>
        <v>0</v>
      </c>
    </row>
    <row r="12" spans="1:3" x14ac:dyDescent="0.3">
      <c r="A12" t="s">
        <v>170</v>
      </c>
    </row>
    <row r="13" spans="1:3" x14ac:dyDescent="0.3">
      <c r="A13" s="6"/>
      <c r="B13" s="6"/>
      <c r="C13" s="6" t="s">
        <v>156</v>
      </c>
    </row>
    <row r="14" spans="1:3" x14ac:dyDescent="0.3">
      <c r="A14" s="6"/>
      <c r="B14" s="6" t="s">
        <v>167</v>
      </c>
      <c r="C14" s="6">
        <f>C3</f>
        <v>1</v>
      </c>
    </row>
    <row r="15" spans="1:3" x14ac:dyDescent="0.3">
      <c r="A15" s="6"/>
      <c r="B15" s="6" t="s">
        <v>166</v>
      </c>
      <c r="C15" s="6">
        <f>C4</f>
        <v>2</v>
      </c>
    </row>
    <row r="16" spans="1:3" x14ac:dyDescent="0.3">
      <c r="A16" s="6"/>
      <c r="B16" s="120" t="s">
        <v>155</v>
      </c>
      <c r="C16" s="120">
        <f>C6</f>
        <v>37</v>
      </c>
    </row>
    <row r="17" spans="1:3" x14ac:dyDescent="0.3">
      <c r="A17" s="6" t="s">
        <v>171</v>
      </c>
      <c r="B17" s="6" t="s">
        <v>174</v>
      </c>
      <c r="C17" s="6">
        <f>C14+12</f>
        <v>13</v>
      </c>
    </row>
    <row r="18" spans="1:3" x14ac:dyDescent="0.3">
      <c r="A18" s="6" t="s">
        <v>172</v>
      </c>
      <c r="B18" s="6" t="s">
        <v>175</v>
      </c>
      <c r="C18" s="6">
        <f>C17+12</f>
        <v>25</v>
      </c>
    </row>
    <row r="19" spans="1:3" x14ac:dyDescent="0.3">
      <c r="A19" s="6" t="s">
        <v>173</v>
      </c>
      <c r="B19" s="6" t="s">
        <v>176</v>
      </c>
      <c r="C19" s="6">
        <f>C18+12</f>
        <v>37</v>
      </c>
    </row>
    <row r="21" spans="1:3" x14ac:dyDescent="0.3">
      <c r="B21" t="s">
        <v>177</v>
      </c>
      <c r="C21">
        <f>C16-C15-C14</f>
        <v>34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134A-6370-48E5-9BCF-833A682B00EF}">
  <sheetPr>
    <tabColor theme="8" tint="0.79998168889431442"/>
  </sheetPr>
  <dimension ref="A1:I10"/>
  <sheetViews>
    <sheetView zoomScale="85" zoomScaleNormal="85" workbookViewId="0">
      <selection activeCell="B20" sqref="B20"/>
    </sheetView>
  </sheetViews>
  <sheetFormatPr defaultRowHeight="14.4" x14ac:dyDescent="0.3"/>
  <cols>
    <col min="2" max="2" width="42" customWidth="1"/>
    <col min="3" max="3" width="12.21875" customWidth="1"/>
    <col min="4" max="5" width="17.21875" customWidth="1"/>
    <col min="6" max="6" width="12.21875" customWidth="1"/>
    <col min="7" max="9" width="17.21875" customWidth="1"/>
  </cols>
  <sheetData>
    <row r="1" spans="1:9" ht="16.2" customHeight="1" x14ac:dyDescent="0.3">
      <c r="F1" s="57">
        <v>0.2</v>
      </c>
    </row>
    <row r="2" spans="1:9" ht="62.4" customHeight="1" x14ac:dyDescent="0.3">
      <c r="A2" s="58" t="s">
        <v>38</v>
      </c>
      <c r="B2" s="59" t="s">
        <v>1</v>
      </c>
      <c r="C2" s="59" t="s">
        <v>42</v>
      </c>
      <c r="D2" s="59" t="s">
        <v>22</v>
      </c>
      <c r="E2" s="59" t="s">
        <v>21</v>
      </c>
      <c r="F2" s="59" t="s">
        <v>65</v>
      </c>
      <c r="G2" s="59" t="s">
        <v>66</v>
      </c>
      <c r="H2" s="59" t="s">
        <v>2</v>
      </c>
      <c r="I2" s="59" t="s">
        <v>2</v>
      </c>
    </row>
    <row r="3" spans="1:9" ht="15.6" x14ac:dyDescent="0.3">
      <c r="A3" s="8">
        <v>1</v>
      </c>
      <c r="B3" s="3" t="s">
        <v>4</v>
      </c>
      <c r="C3" s="17">
        <f ca="1">SUMIF(BOQ!$C$3:$F$16,'Total Hardware'!B3,BOQ!$E$3:$E$16)</f>
        <v>20</v>
      </c>
      <c r="D3" s="47">
        <f>VLOOKUP(B3,Master!$A$2:$B$5,2,FALSE)</f>
        <v>0</v>
      </c>
      <c r="E3" s="47">
        <f ca="1">C3*D3</f>
        <v>0</v>
      </c>
      <c r="F3" s="78">
        <v>4</v>
      </c>
      <c r="G3" s="47">
        <f t="shared" ref="G3:G6" si="0">F3*D3</f>
        <v>0</v>
      </c>
      <c r="H3" s="47">
        <f ca="1">E3+G3</f>
        <v>0</v>
      </c>
      <c r="I3" s="54">
        <f ca="1">C3+F3</f>
        <v>24</v>
      </c>
    </row>
    <row r="4" spans="1:9" ht="15.6" x14ac:dyDescent="0.3">
      <c r="A4" s="8">
        <f>A3+1</f>
        <v>2</v>
      </c>
      <c r="B4" s="3" t="s">
        <v>3</v>
      </c>
      <c r="C4" s="17">
        <f ca="1">SUMIF(BOQ!$C$3:$F$16,'Total Hardware'!B4,BOQ!$E$3:$E$16)</f>
        <v>6</v>
      </c>
      <c r="D4" s="47">
        <f>VLOOKUP(B4,Master!$A$2:$B$5,2,FALSE)</f>
        <v>66000</v>
      </c>
      <c r="E4" s="47">
        <f t="shared" ref="E4:E6" ca="1" si="1">C4*D4</f>
        <v>396000</v>
      </c>
      <c r="F4" s="78">
        <v>3</v>
      </c>
      <c r="G4" s="47">
        <f t="shared" si="0"/>
        <v>198000</v>
      </c>
      <c r="H4" s="47">
        <f t="shared" ref="H4:H6" ca="1" si="2">E4+G4</f>
        <v>594000</v>
      </c>
      <c r="I4" s="54">
        <f t="shared" ref="I4:I6" ca="1" si="3">C4+F4</f>
        <v>9</v>
      </c>
    </row>
    <row r="5" spans="1:9" ht="15.6" x14ac:dyDescent="0.3">
      <c r="A5" s="8">
        <v>4</v>
      </c>
      <c r="B5" s="3" t="s">
        <v>226</v>
      </c>
      <c r="C5" s="17">
        <f ca="1">SUMIF(BOQ!$C$3:$F$16,'Total Hardware'!B5,BOQ!$E$3:$E$16)</f>
        <v>1</v>
      </c>
      <c r="D5" s="47">
        <f>VLOOKUP(B5,Master!$A$2:$B$5,2,FALSE)</f>
        <v>85000</v>
      </c>
      <c r="E5" s="47">
        <f t="shared" ref="E5" ca="1" si="4">C5*D5</f>
        <v>85000</v>
      </c>
      <c r="F5" s="78">
        <v>0</v>
      </c>
      <c r="G5" s="47">
        <f t="shared" ref="G5" si="5">F5*D5</f>
        <v>0</v>
      </c>
      <c r="H5" s="47">
        <f t="shared" ref="H5" ca="1" si="6">E5+G5</f>
        <v>85000</v>
      </c>
      <c r="I5" s="54">
        <f t="shared" ref="I5" ca="1" si="7">C5+F5</f>
        <v>1</v>
      </c>
    </row>
    <row r="6" spans="1:9" ht="15.6" x14ac:dyDescent="0.3">
      <c r="A6" s="8">
        <v>3</v>
      </c>
      <c r="B6" s="3" t="s">
        <v>6</v>
      </c>
      <c r="C6" s="17">
        <f ca="1">SUMIF(BOQ!$C$3:$F$16,'Total Hardware'!B6,BOQ!$E$3:$E$16)</f>
        <v>140000</v>
      </c>
      <c r="D6" s="47">
        <f>VLOOKUP(B6,Master!$A$2:$B$5,2,FALSE)</f>
        <v>38</v>
      </c>
      <c r="E6" s="47">
        <f t="shared" ca="1" si="1"/>
        <v>5320000</v>
      </c>
      <c r="F6" s="78">
        <v>10000</v>
      </c>
      <c r="G6" s="47">
        <f t="shared" si="0"/>
        <v>380000</v>
      </c>
      <c r="H6" s="47">
        <f t="shared" ca="1" si="2"/>
        <v>5700000</v>
      </c>
      <c r="I6" s="54">
        <f t="shared" ca="1" si="3"/>
        <v>150000</v>
      </c>
    </row>
    <row r="7" spans="1:9" ht="15.6" x14ac:dyDescent="0.3">
      <c r="A7" s="15"/>
      <c r="B7" s="14" t="s">
        <v>2</v>
      </c>
      <c r="C7" s="56">
        <f ca="1">SUM(C3:C6)</f>
        <v>140027</v>
      </c>
      <c r="D7" s="48"/>
      <c r="E7" s="49">
        <f ca="1">SUM(E3:E6)</f>
        <v>5801000</v>
      </c>
      <c r="F7" s="16">
        <f>SUM(F3:F6)</f>
        <v>10007</v>
      </c>
      <c r="G7" s="49">
        <f>SUM(G3:G6)</f>
        <v>578000</v>
      </c>
      <c r="H7" s="49">
        <f ca="1">SUM(H3:H6)</f>
        <v>6379000</v>
      </c>
      <c r="I7" s="55">
        <f ca="1">SUM(I3:I6)</f>
        <v>150034</v>
      </c>
    </row>
    <row r="8" spans="1:9" x14ac:dyDescent="0.3">
      <c r="H8" s="153">
        <f ca="1">H3+H4</f>
        <v>594000</v>
      </c>
    </row>
    <row r="9" spans="1:9" ht="31.2" x14ac:dyDescent="0.6">
      <c r="B9" s="18" t="s">
        <v>92</v>
      </c>
    </row>
    <row r="10" spans="1:9" ht="31.2" x14ac:dyDescent="0.6">
      <c r="B10" s="19" t="s">
        <v>52</v>
      </c>
    </row>
  </sheetData>
  <conditionalFormatting sqref="B4">
    <cfRule type="duplicateValues" dxfId="5" priority="3"/>
  </conditionalFormatting>
  <conditionalFormatting sqref="B3">
    <cfRule type="duplicateValues" dxfId="4" priority="2"/>
  </conditionalFormatting>
  <conditionalFormatting sqref="B5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4D6A-4F79-4B32-A47C-435C29F4DF4D}">
  <sheetPr>
    <tabColor theme="7" tint="0.79998168889431442"/>
  </sheetPr>
  <dimension ref="A2:H17"/>
  <sheetViews>
    <sheetView tabSelected="1" zoomScaleNormal="100" workbookViewId="0">
      <selection activeCell="B13" sqref="B13"/>
    </sheetView>
  </sheetViews>
  <sheetFormatPr defaultColWidth="37.44140625" defaultRowHeight="14.4" x14ac:dyDescent="0.3"/>
  <cols>
    <col min="1" max="1" width="25.21875" customWidth="1"/>
    <col min="2" max="2" width="34.33203125" customWidth="1"/>
    <col min="3" max="3" width="38" style="1" customWidth="1"/>
    <col min="4" max="5" width="15.6640625" customWidth="1"/>
    <col min="6" max="6" width="19.6640625" customWidth="1"/>
    <col min="7" max="7" width="75" customWidth="1"/>
  </cols>
  <sheetData>
    <row r="2" spans="1:8" ht="31.2" x14ac:dyDescent="0.3">
      <c r="A2" s="4" t="s">
        <v>0</v>
      </c>
      <c r="B2" s="4" t="s">
        <v>5</v>
      </c>
      <c r="C2" s="4" t="s">
        <v>1</v>
      </c>
      <c r="D2" s="4" t="s">
        <v>22</v>
      </c>
      <c r="E2" s="4" t="s">
        <v>46</v>
      </c>
      <c r="F2" s="4" t="s">
        <v>2</v>
      </c>
      <c r="G2" s="4" t="s">
        <v>47</v>
      </c>
    </row>
    <row r="3" spans="1:8" ht="15.6" x14ac:dyDescent="0.3">
      <c r="A3" s="5"/>
      <c r="B3" s="69" t="s">
        <v>179</v>
      </c>
      <c r="C3" s="70" t="s">
        <v>3</v>
      </c>
      <c r="D3" s="34">
        <f>_xlfn.IFNA(VLOOKUP(C3,Master!$A$2:$B$5,2,FALSE),0)</f>
        <v>66000</v>
      </c>
      <c r="E3" s="68">
        <v>1</v>
      </c>
      <c r="F3" s="34">
        <f t="shared" ref="F3:F15" si="0">D3*E3</f>
        <v>66000</v>
      </c>
      <c r="G3" s="5"/>
    </row>
    <row r="4" spans="1:8" ht="15.6" x14ac:dyDescent="0.3">
      <c r="A4" s="5"/>
      <c r="B4" s="69" t="s">
        <v>180</v>
      </c>
      <c r="C4" s="70" t="s">
        <v>4</v>
      </c>
      <c r="D4" s="34">
        <f>_xlfn.IFNA(VLOOKUP(C4,Master!$A$2:$B$5,2,FALSE),0)</f>
        <v>0</v>
      </c>
      <c r="E4" s="68">
        <v>4</v>
      </c>
      <c r="F4" s="34">
        <f t="shared" si="0"/>
        <v>0</v>
      </c>
      <c r="G4" s="5"/>
    </row>
    <row r="5" spans="1:8" ht="15.6" x14ac:dyDescent="0.3">
      <c r="A5" s="5"/>
      <c r="B5" s="69" t="s">
        <v>182</v>
      </c>
      <c r="C5" s="70" t="s">
        <v>4</v>
      </c>
      <c r="D5" s="34">
        <f>_xlfn.IFNA(VLOOKUP(C5,Master!$A$2:$B$5,2,FALSE),0)</f>
        <v>0</v>
      </c>
      <c r="E5" s="68">
        <v>4</v>
      </c>
      <c r="F5" s="34">
        <f t="shared" si="0"/>
        <v>0</v>
      </c>
      <c r="G5" s="5"/>
    </row>
    <row r="6" spans="1:8" ht="15.6" x14ac:dyDescent="0.3">
      <c r="A6" s="5"/>
      <c r="B6" s="69" t="s">
        <v>181</v>
      </c>
      <c r="C6" s="70" t="s">
        <v>4</v>
      </c>
      <c r="D6" s="34">
        <f>_xlfn.IFNA(VLOOKUP(C6,Master!$A$2:$B$5,2,FALSE),0)</f>
        <v>0</v>
      </c>
      <c r="E6" s="68">
        <v>4</v>
      </c>
      <c r="F6" s="34">
        <f t="shared" si="0"/>
        <v>0</v>
      </c>
      <c r="G6" s="5"/>
    </row>
    <row r="7" spans="1:8" ht="15.6" x14ac:dyDescent="0.3">
      <c r="A7" s="5"/>
      <c r="B7" s="69" t="s">
        <v>162</v>
      </c>
      <c r="C7" s="70" t="s">
        <v>3</v>
      </c>
      <c r="D7" s="34">
        <f>_xlfn.IFNA(VLOOKUP(C7,Master!$A$2:$B$5,2,FALSE),0)</f>
        <v>66000</v>
      </c>
      <c r="E7" s="68">
        <v>1</v>
      </c>
      <c r="F7" s="34">
        <f t="shared" ref="F7" si="1">D7*E7</f>
        <v>66000</v>
      </c>
      <c r="G7" s="5"/>
    </row>
    <row r="8" spans="1:8" ht="15.6" x14ac:dyDescent="0.3">
      <c r="A8" s="5"/>
      <c r="B8" s="69" t="s">
        <v>184</v>
      </c>
      <c r="C8" s="70" t="s">
        <v>3</v>
      </c>
      <c r="D8" s="34">
        <f>_xlfn.IFNA(VLOOKUP(C8,Master!$A$2:$B$5,2,FALSE),0)</f>
        <v>66000</v>
      </c>
      <c r="E8" s="68">
        <v>1</v>
      </c>
      <c r="F8" s="34">
        <f t="shared" ref="F8" si="2">D8*E8</f>
        <v>66000</v>
      </c>
      <c r="G8" s="5"/>
    </row>
    <row r="9" spans="1:8" ht="15.6" x14ac:dyDescent="0.3">
      <c r="A9" s="5"/>
      <c r="B9" s="69" t="s">
        <v>185</v>
      </c>
      <c r="C9" s="70" t="s">
        <v>4</v>
      </c>
      <c r="D9" s="34">
        <f>_xlfn.IFNA(VLOOKUP(C9,Master!$A$2:$B$5,2,FALSE),0)</f>
        <v>0</v>
      </c>
      <c r="E9" s="68">
        <v>4</v>
      </c>
      <c r="F9" s="34">
        <f t="shared" si="0"/>
        <v>0</v>
      </c>
      <c r="G9" s="5"/>
    </row>
    <row r="10" spans="1:8" ht="15.6" x14ac:dyDescent="0.3">
      <c r="A10" s="5"/>
      <c r="B10" s="69" t="s">
        <v>185</v>
      </c>
      <c r="C10" s="70" t="s">
        <v>3</v>
      </c>
      <c r="D10" s="34">
        <f>_xlfn.IFNA(VLOOKUP(C10,Master!$A$2:$B$5,2,FALSE),0)</f>
        <v>66000</v>
      </c>
      <c r="E10" s="68">
        <v>1</v>
      </c>
      <c r="F10" s="34">
        <f t="shared" ref="F10" si="3">D10*E10</f>
        <v>66000</v>
      </c>
      <c r="G10" s="5"/>
    </row>
    <row r="11" spans="1:8" ht="15.6" x14ac:dyDescent="0.3">
      <c r="A11" s="5"/>
      <c r="B11" s="69" t="s">
        <v>186</v>
      </c>
      <c r="C11" s="70" t="s">
        <v>4</v>
      </c>
      <c r="D11" s="34">
        <f>_xlfn.IFNA(VLOOKUP(C11,Master!$A$2:$B$5,2,FALSE),0)</f>
        <v>0</v>
      </c>
      <c r="E11" s="68">
        <v>4</v>
      </c>
      <c r="F11" s="34">
        <f t="shared" si="0"/>
        <v>0</v>
      </c>
      <c r="G11" s="5"/>
    </row>
    <row r="12" spans="1:8" ht="15.6" x14ac:dyDescent="0.3">
      <c r="A12" s="5"/>
      <c r="B12" s="69" t="s">
        <v>186</v>
      </c>
      <c r="C12" s="70" t="s">
        <v>3</v>
      </c>
      <c r="D12" s="34">
        <f>_xlfn.IFNA(VLOOKUP(C12,Master!$A$2:$B$5,2,FALSE),0)</f>
        <v>66000</v>
      </c>
      <c r="E12" s="68">
        <v>1</v>
      </c>
      <c r="F12" s="34">
        <f t="shared" ref="F12" si="4">D12*E12</f>
        <v>66000</v>
      </c>
      <c r="G12" s="5"/>
    </row>
    <row r="13" spans="1:8" ht="15.6" x14ac:dyDescent="0.3">
      <c r="A13" s="5"/>
      <c r="B13" s="69" t="s">
        <v>187</v>
      </c>
      <c r="C13" s="70" t="s">
        <v>3</v>
      </c>
      <c r="D13" s="34">
        <f>_xlfn.IFNA(VLOOKUP(C13,Master!$A$2:$B$5,2,FALSE),0)</f>
        <v>66000</v>
      </c>
      <c r="E13" s="68">
        <v>1</v>
      </c>
      <c r="F13" s="34">
        <f t="shared" si="0"/>
        <v>66000</v>
      </c>
      <c r="G13" s="5"/>
    </row>
    <row r="14" spans="1:8" ht="15.6" x14ac:dyDescent="0.3">
      <c r="A14" s="5"/>
      <c r="B14" s="69"/>
      <c r="C14" s="70" t="s">
        <v>226</v>
      </c>
      <c r="D14" s="34">
        <f>_xlfn.IFNA(VLOOKUP(C14,Master!$A$2:$B$5,2,FALSE),0)</f>
        <v>85000</v>
      </c>
      <c r="E14" s="68">
        <v>1</v>
      </c>
      <c r="F14" s="34">
        <f t="shared" si="0"/>
        <v>85000</v>
      </c>
      <c r="G14" s="5"/>
    </row>
    <row r="15" spans="1:8" ht="15.6" x14ac:dyDescent="0.3">
      <c r="A15" s="5"/>
      <c r="B15" s="69" t="s">
        <v>44</v>
      </c>
      <c r="C15" s="70" t="s">
        <v>6</v>
      </c>
      <c r="D15" s="34">
        <f>_xlfn.IFNA(VLOOKUP(C15,Master!$A$2:$B$5,2,FALSE),0)</f>
        <v>38</v>
      </c>
      <c r="E15" s="68">
        <f>70000*2</f>
        <v>140000</v>
      </c>
      <c r="F15" s="34">
        <f t="shared" si="0"/>
        <v>5320000</v>
      </c>
      <c r="G15" s="5"/>
      <c r="H15" s="43"/>
    </row>
    <row r="16" spans="1:8" ht="15.6" x14ac:dyDescent="0.3">
      <c r="A16" s="5"/>
      <c r="B16" s="69"/>
      <c r="C16" s="70"/>
      <c r="D16" s="34">
        <f>_xlfn.IFNA(VLOOKUP(C16,Master!$A$2:$B$5,2,FALSE),0)</f>
        <v>0</v>
      </c>
      <c r="E16" s="68"/>
      <c r="F16" s="34">
        <f t="shared" ref="F16" si="5">D16*E16</f>
        <v>0</v>
      </c>
      <c r="G16" s="5"/>
    </row>
    <row r="17" spans="1:7" ht="15.6" x14ac:dyDescent="0.3">
      <c r="A17" s="2"/>
      <c r="B17" s="2"/>
      <c r="C17" s="2"/>
      <c r="D17" s="2"/>
      <c r="E17" s="2"/>
      <c r="F17" s="71">
        <f>SUM(F3:F16)</f>
        <v>5801000</v>
      </c>
      <c r="G17" s="2"/>
    </row>
  </sheetData>
  <autoFilter ref="A2:F17" xr:uid="{BA814D6A-4F79-4B32-A47C-435C29F4DF4D}"/>
  <phoneticPr fontId="1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A5CEF3-63E2-48DC-AA6C-02894D95B7BF}">
          <x14:formula1>
            <xm:f>Master!$A$2:$A$5</xm:f>
          </x14:formula1>
          <xm:sqref>C3:C16</xm:sqref>
        </x14:dataValidation>
        <x14:dataValidation type="list" allowBlank="1" showInputMessage="1" showErrorMessage="1" xr:uid="{10C6EA74-B753-4BCF-93A1-C730985A6328}">
          <x14:formula1>
            <xm:f>Master!$A$8:$A$18</xm:f>
          </x14:formula1>
          <xm:sqref>B3:B16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983C-9A10-4CF1-9660-69B075583600}">
  <sheetPr>
    <tabColor theme="5" tint="0.39997558519241921"/>
  </sheetPr>
  <dimension ref="A1:C18"/>
  <sheetViews>
    <sheetView zoomScale="130" zoomScaleNormal="130" workbookViewId="0">
      <selection activeCell="A4" sqref="A4"/>
    </sheetView>
  </sheetViews>
  <sheetFormatPr defaultRowHeight="14.4" x14ac:dyDescent="0.3"/>
  <cols>
    <col min="1" max="2" width="43.109375" customWidth="1"/>
    <col min="3" max="3" width="26.6640625" customWidth="1"/>
    <col min="4" max="4" width="32.109375" customWidth="1"/>
    <col min="6" max="6" width="20.5546875" customWidth="1"/>
    <col min="12" max="12" width="30.44140625" bestFit="1" customWidth="1"/>
  </cols>
  <sheetData>
    <row r="1" spans="1:3" x14ac:dyDescent="0.3">
      <c r="A1" s="12" t="s">
        <v>36</v>
      </c>
      <c r="B1" s="12" t="s">
        <v>37</v>
      </c>
    </row>
    <row r="2" spans="1:3" ht="15.6" x14ac:dyDescent="0.3">
      <c r="A2" s="3" t="s">
        <v>4</v>
      </c>
      <c r="B2" s="34">
        <v>0</v>
      </c>
      <c r="C2" s="34">
        <v>27000</v>
      </c>
    </row>
    <row r="3" spans="1:3" ht="15.6" x14ac:dyDescent="0.3">
      <c r="A3" s="3" t="s">
        <v>3</v>
      </c>
      <c r="B3" s="34">
        <v>66000</v>
      </c>
      <c r="C3" s="34"/>
    </row>
    <row r="4" spans="1:3" ht="15.6" x14ac:dyDescent="0.3">
      <c r="A4" s="3" t="s">
        <v>226</v>
      </c>
      <c r="B4" s="34">
        <v>85000</v>
      </c>
      <c r="C4" s="34"/>
    </row>
    <row r="5" spans="1:3" ht="15.6" x14ac:dyDescent="0.3">
      <c r="A5" s="3" t="s">
        <v>6</v>
      </c>
      <c r="B5" s="34">
        <v>38</v>
      </c>
      <c r="C5" s="34"/>
    </row>
    <row r="7" spans="1:3" x14ac:dyDescent="0.3">
      <c r="A7" s="11" t="s">
        <v>45</v>
      </c>
    </row>
    <row r="8" spans="1:3" x14ac:dyDescent="0.3">
      <c r="A8" s="13" t="s">
        <v>183</v>
      </c>
    </row>
    <row r="9" spans="1:3" x14ac:dyDescent="0.3">
      <c r="A9" s="13" t="s">
        <v>179</v>
      </c>
    </row>
    <row r="10" spans="1:3" x14ac:dyDescent="0.3">
      <c r="A10" s="13" t="s">
        <v>180</v>
      </c>
    </row>
    <row r="11" spans="1:3" x14ac:dyDescent="0.3">
      <c r="A11" s="13" t="s">
        <v>182</v>
      </c>
    </row>
    <row r="12" spans="1:3" x14ac:dyDescent="0.3">
      <c r="A12" s="13" t="s">
        <v>181</v>
      </c>
    </row>
    <row r="13" spans="1:3" x14ac:dyDescent="0.3">
      <c r="A13" s="13" t="s">
        <v>162</v>
      </c>
    </row>
    <row r="14" spans="1:3" x14ac:dyDescent="0.3">
      <c r="A14" s="13" t="s">
        <v>184</v>
      </c>
    </row>
    <row r="15" spans="1:3" x14ac:dyDescent="0.3">
      <c r="A15" s="13" t="s">
        <v>185</v>
      </c>
    </row>
    <row r="16" spans="1:3" x14ac:dyDescent="0.3">
      <c r="A16" s="13" t="s">
        <v>186</v>
      </c>
    </row>
    <row r="17" spans="1:1" x14ac:dyDescent="0.3">
      <c r="A17" s="13" t="s">
        <v>187</v>
      </c>
    </row>
    <row r="18" spans="1:1" x14ac:dyDescent="0.3">
      <c r="A18" s="13" t="s">
        <v>44</v>
      </c>
    </row>
  </sheetData>
  <conditionalFormatting sqref="A3">
    <cfRule type="duplicateValues" dxfId="2" priority="3"/>
  </conditionalFormatting>
  <conditionalFormatting sqref="A2">
    <cfRule type="duplicateValues" dxfId="1" priority="2"/>
  </conditionalFormatting>
  <conditionalFormatting sqref="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Quotation</vt:lpstr>
      <vt:lpstr>Quotation BOQ</vt:lpstr>
      <vt:lpstr>Quote Nomeclature</vt:lpstr>
      <vt:lpstr>Commercials (C)</vt:lpstr>
      <vt:lpstr>Sheet1</vt:lpstr>
      <vt:lpstr>Manpower-PM Cost</vt:lpstr>
      <vt:lpstr>AMC &amp; months</vt:lpstr>
      <vt:lpstr>Total Hardware</vt:lpstr>
      <vt:lpstr>BOQ</vt:lpstr>
      <vt:lpstr>Master</vt:lpstr>
      <vt:lpstr>Quotation!Print_Titles</vt:lpstr>
      <vt:lpstr>'Quotation BOQ'!Print_Titles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2024-12-13T05:53:06Z</cp:lastPrinted>
  <dcterms:created xsi:type="dcterms:W3CDTF">2024-09-10T04:33:48Z</dcterms:created>
  <dcterms:modified xsi:type="dcterms:W3CDTF">2024-12-19T06:28:05Z</dcterms:modified>
</cp:coreProperties>
</file>