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Proposals\Adani\RMC\"/>
    </mc:Choice>
  </mc:AlternateContent>
  <xr:revisionPtr revIDLastSave="0" documentId="13_ncr:1_{E953DF1A-7BE5-44A9-92C6-384B2BE1D94F}" xr6:coauthVersionLast="47" xr6:coauthVersionMax="47" xr10:uidLastSave="{00000000-0000-0000-0000-000000000000}"/>
  <bookViews>
    <workbookView xWindow="-110" yWindow="-110" windowWidth="19420" windowHeight="10300" firstSheet="1" activeTab="1" xr2:uid="{00000000-000D-0000-FFFF-FFFF00000000}"/>
  </bookViews>
  <sheets>
    <sheet name="CAPEX" sheetId="3" state="hidden" r:id="rId1"/>
    <sheet name="Quotation" sheetId="5" r:id="rId2"/>
    <sheet name="Quote Nomeclature" sheetId="6" state="hidden" r:id="rId3"/>
    <sheet name="Sheet1" sheetId="4" state="hidden" r:id="rId4"/>
  </sheets>
  <definedNames>
    <definedName name="_xlnm.Print_Area" localSheetId="1">Quotation!$B$1:$G$25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lWPf3RmekSs9KRnla0hwqJyrbR+ZteHrAIKI8BFvEvQ="/>
    </ext>
  </extLst>
</workbook>
</file>

<file path=xl/calcChain.xml><?xml version="1.0" encoding="utf-8"?>
<calcChain xmlns="http://schemas.openxmlformats.org/spreadsheetml/2006/main">
  <c r="I16" i="3" l="1"/>
  <c r="I15" i="3"/>
  <c r="D15" i="3"/>
  <c r="D16" i="3" s="1"/>
  <c r="D14" i="3"/>
  <c r="I5" i="3" s="1"/>
  <c r="D6" i="3"/>
  <c r="I6" i="3" l="1"/>
  <c r="D18" i="3" l="1"/>
  <c r="D20" i="3" l="1"/>
  <c r="I4" i="3" s="1"/>
  <c r="I14" i="3" s="1"/>
  <c r="I13" i="3" l="1"/>
  <c r="J4" i="3" s="1"/>
  <c r="J9" i="3" l="1"/>
  <c r="J11" i="3"/>
  <c r="J13" i="3"/>
  <c r="J10" i="3"/>
  <c r="J7" i="3"/>
  <c r="J12" i="3"/>
  <c r="J8" i="3"/>
  <c r="M5" i="3"/>
  <c r="J5" i="3"/>
  <c r="J6" i="3"/>
  <c r="M7" i="3" l="1"/>
  <c r="M6" i="3"/>
</calcChain>
</file>

<file path=xl/sharedStrings.xml><?xml version="1.0" encoding="utf-8"?>
<sst xmlns="http://schemas.openxmlformats.org/spreadsheetml/2006/main" count="97" uniqueCount="92">
  <si>
    <t>Inputs</t>
  </si>
  <si>
    <t>Commercial Values</t>
  </si>
  <si>
    <t>Capital</t>
  </si>
  <si>
    <t>Duration (Months)</t>
  </si>
  <si>
    <t>Manpower</t>
  </si>
  <si>
    <t>Monthly CV</t>
  </si>
  <si>
    <t>SIM</t>
  </si>
  <si>
    <t>Annual CV</t>
  </si>
  <si>
    <t>Buffer Inventory</t>
  </si>
  <si>
    <t>Server+License</t>
  </si>
  <si>
    <t>TCV</t>
  </si>
  <si>
    <t>Device Quantity</t>
  </si>
  <si>
    <t>Field Technicians</t>
  </si>
  <si>
    <t>Penalties</t>
  </si>
  <si>
    <t>RL Courier Exp</t>
  </si>
  <si>
    <t>RL Executives</t>
  </si>
  <si>
    <t>Man+Dev Cost</t>
  </si>
  <si>
    <t>Customer Success</t>
  </si>
  <si>
    <t>Net Margin</t>
  </si>
  <si>
    <t>Project Manager</t>
  </si>
  <si>
    <t>Net Quote</t>
  </si>
  <si>
    <t>Laptops</t>
  </si>
  <si>
    <t>Int+Dep</t>
  </si>
  <si>
    <t>Cash Gen (Ops)</t>
  </si>
  <si>
    <t>Monthly Manpower</t>
  </si>
  <si>
    <t>Months Capital Offset</t>
  </si>
  <si>
    <t>Standard Model (Per Vehicle Per Month)</t>
  </si>
  <si>
    <t>Per Month Costings</t>
  </si>
  <si>
    <t>Vehicles</t>
  </si>
  <si>
    <t>Cable</t>
  </si>
  <si>
    <t>Cost</t>
  </si>
  <si>
    <t>Estimates</t>
  </si>
  <si>
    <t>Control Tower / MCT Executives</t>
  </si>
  <si>
    <t xml:space="preserve">Capital </t>
  </si>
  <si>
    <t>Intrest per month</t>
  </si>
  <si>
    <t>Actual Capital with intrest</t>
  </si>
  <si>
    <t>Dep</t>
  </si>
  <si>
    <t>Consumables (Other)</t>
  </si>
  <si>
    <t>Additional Cable cost -- INR 600 per 10 meter</t>
  </si>
  <si>
    <t>constant</t>
  </si>
  <si>
    <t>Total Capital (Laptop Assets)</t>
  </si>
  <si>
    <t>Recovery exepected in month Laptop</t>
  </si>
  <si>
    <t>Capex</t>
  </si>
  <si>
    <t>Opex</t>
  </si>
  <si>
    <t>AT_02 Channel</t>
  </si>
  <si>
    <t>AT_04 Channel</t>
  </si>
  <si>
    <t xml:space="preserve">Monthly Charges </t>
  </si>
  <si>
    <t>Streamax 2 Channel</t>
  </si>
  <si>
    <t>Streamax 4 Channel</t>
  </si>
  <si>
    <t>Hardware Model</t>
  </si>
  <si>
    <t>INR Rs.3500 will be applicable for additional camera &amp; Rs.500 for 10 mtr cable</t>
  </si>
  <si>
    <t>Quotation</t>
  </si>
  <si>
    <t>GSTIN</t>
  </si>
  <si>
    <t>08AACCH0299P1Z1</t>
  </si>
  <si>
    <t>QUOTE #</t>
  </si>
  <si>
    <t>DATE</t>
  </si>
  <si>
    <t>MSME No</t>
  </si>
  <si>
    <t>UDYAM-RJ-17-0051921</t>
  </si>
  <si>
    <t>Contact Person</t>
  </si>
  <si>
    <t>Phone</t>
  </si>
  <si>
    <t>Quote Validity : 15 days from submitted date</t>
  </si>
  <si>
    <t>Email Id</t>
  </si>
  <si>
    <t>CUSTOMER INFO</t>
  </si>
  <si>
    <t>Company Name</t>
  </si>
  <si>
    <t>Address</t>
  </si>
  <si>
    <t>DESCRIPTION OF WORK</t>
  </si>
  <si>
    <t>S.No.</t>
  </si>
  <si>
    <t>Item</t>
  </si>
  <si>
    <t>Subscription Fee</t>
  </si>
  <si>
    <t>Per Device/ per month</t>
  </si>
  <si>
    <t>Terms &amp; Conditions</t>
  </si>
  <si>
    <t>Thanks for business with Axestrack Software Solution Pvt. Ltd.</t>
  </si>
  <si>
    <t>Quote no Format</t>
  </si>
  <si>
    <t>ABC/XY/YYMM##</t>
  </si>
  <si>
    <t xml:space="preserve">ABC </t>
  </si>
  <si>
    <t>Client name short Form like Hindalco Industries Limited will be HIL</t>
  </si>
  <si>
    <t>XY</t>
  </si>
  <si>
    <t xml:space="preserve">Axestrack Sales SPOC Intials </t>
  </si>
  <si>
    <t>YY</t>
  </si>
  <si>
    <t>Year</t>
  </si>
  <si>
    <t>MM</t>
  </si>
  <si>
    <t>Month</t>
  </si>
  <si>
    <t>##</t>
  </si>
  <si>
    <t>Quote send by Sales SPOC in that particular month, quote nos. should be start from 11</t>
  </si>
  <si>
    <t>Type</t>
  </si>
  <si>
    <r>
      <rPr>
        <b/>
        <sz val="11"/>
        <color theme="1"/>
        <rFont val="Arial"/>
        <family val="2"/>
      </rPr>
      <t xml:space="preserve">Address </t>
    </r>
    <r>
      <rPr>
        <sz val="11"/>
        <color theme="1"/>
        <rFont val="Arial"/>
        <family val="2"/>
      </rPr>
      <t>- Corporate HQ : 
Axestrack Software Solutions Pvt. Ltd., Office No.-19, 6th Floor, Jaipur Electronic Market, 
Near Riddhi Siddhi, Gopalpura bypass, Jaipur - 302018 , Rajasthan, India</t>
    </r>
  </si>
  <si>
    <t>One Time/ per device</t>
  </si>
  <si>
    <r>
      <rPr>
        <b/>
        <sz val="11"/>
        <color theme="1"/>
        <rFont val="Arial"/>
        <family val="2"/>
      </rPr>
      <t xml:space="preserve">Hardware : </t>
    </r>
    <r>
      <rPr>
        <sz val="11"/>
        <color theme="1"/>
        <rFont val="Arial"/>
        <family val="2"/>
      </rPr>
      <t>Digital Co-Pilot for fatigue solution &amp; video telematics (2-Channel)</t>
    </r>
  </si>
  <si>
    <r>
      <rPr>
        <b/>
        <sz val="11"/>
        <color theme="1"/>
        <rFont val="Arial"/>
        <family val="2"/>
      </rPr>
      <t>Monthly Subscription :</t>
    </r>
    <r>
      <rPr>
        <sz val="11"/>
        <color theme="1"/>
        <rFont val="Arial"/>
        <family val="2"/>
      </rPr>
      <t xml:space="preserve"> Platform Capabilities + Fatigue Solution + Video Alarm </t>
    </r>
  </si>
  <si>
    <t>Supply of Digital Co-Pilot solution for fatigue monitoring and video telematics, including device provisioning, connectivity, and platform access under a one-time CAPEX model.</t>
  </si>
  <si>
    <r>
      <rPr>
        <b/>
        <sz val="11"/>
        <color theme="1"/>
        <rFont val="Arial"/>
        <family val="2"/>
      </rPr>
      <t>General Terms</t>
    </r>
    <r>
      <rPr>
        <sz val="11"/>
        <color theme="1"/>
        <rFont val="Arial"/>
        <family val="2"/>
      </rPr>
      <t xml:space="preserve">
•       Commercials are based on a minimum installation of 1000 devices by Client; pricing will be revised if the threshold quantity changes.
•       All prices are in INR and exclusive of GST; Taxes as per applicable.
•       Devices will be property of Adani Cement in CAPEX model; and are covered under the standard OEM (1) one year warranty. 
•       Any change or upgrade to hardware specifications/features beyond onboarding is chargeable; the client will bear the differential hardware cost.
</t>
    </r>
    <r>
      <rPr>
        <b/>
        <sz val="11"/>
        <color theme="1"/>
        <rFont val="Arial"/>
        <family val="2"/>
      </rPr>
      <t>Installation Terms</t>
    </r>
    <r>
      <rPr>
        <sz val="11"/>
        <color theme="1"/>
        <rFont val="Arial"/>
        <family val="2"/>
      </rPr>
      <t xml:space="preserve">
•       Installation Charges
         - INR 1,500 per day per site + GST per resource for a single site (or installation location).
         - If installation is distributed across multiple locations: INR 3000 per day per site + GST per resource will be levied.
•      Cables required for installation (up to 10 meters per device) are included in the subscription fee. Any additional cable beyond 10 meters will be charged at INR 600 per 10 meters.
</t>
    </r>
    <r>
      <rPr>
        <b/>
        <sz val="11"/>
        <color theme="1"/>
        <rFont val="Arial"/>
        <family val="2"/>
      </rPr>
      <t>Platform &amp; Data Usage Terms</t>
    </r>
    <r>
      <rPr>
        <sz val="11"/>
        <color theme="1"/>
        <rFont val="Arial"/>
        <family val="2"/>
      </rPr>
      <t xml:space="preserve">
•       Platform access, video alarm, live streaming, and both front-view &amp; in-cabin view for fatigue and distraction incidents are included in the subscription cost.
•       Each device includes 10 GB of 4G data per month; usage beyond this limit will incur additional data charges at prevailing rates.
</t>
    </r>
    <r>
      <rPr>
        <b/>
        <sz val="11"/>
        <color theme="1"/>
        <rFont val="Arial"/>
        <family val="2"/>
      </rPr>
      <t>Billing &amp; Payments</t>
    </r>
    <r>
      <rPr>
        <sz val="11"/>
        <color theme="1"/>
        <rFont val="Arial"/>
        <family val="2"/>
      </rPr>
      <t xml:space="preserve">
•       CAPEX Model: Hardware cost to be paid upfront.
•       Monthly Subscription Fee: Axestrack will raise monthly invoices; Adani Cement shall ensure timely support for billing and payment processing
•       100% payment is due within 15 days from receipt of the original or digitally signed invoice.</t>
    </r>
  </si>
  <si>
    <t>Adani 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</si>
</sst>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14009]dd\ mmmm\ yyyy;@"/>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i/>
      <u/>
      <sz val="11"/>
      <color theme="1"/>
      <name val="Calibri"/>
    </font>
    <font>
      <sz val="11"/>
      <color theme="1"/>
      <name val="Calibri"/>
    </font>
    <font>
      <i/>
      <sz val="11"/>
      <color theme="1"/>
      <name val="Calibri"/>
    </font>
    <font>
      <sz val="11"/>
      <color theme="1"/>
      <name val="Calibri"/>
      <scheme val="minor"/>
    </font>
    <font>
      <sz val="11"/>
      <color theme="1"/>
      <name val="Calibri"/>
      <family val="2"/>
    </font>
    <font>
      <sz val="11"/>
      <color rgb="FFFF0000"/>
      <name val="Calibri"/>
      <family val="2"/>
      <scheme val="minor"/>
    </font>
    <font>
      <b/>
      <sz val="11"/>
      <color theme="1"/>
      <name val="Calibri"/>
      <family val="2"/>
      <scheme val="minor"/>
    </font>
    <font>
      <u/>
      <sz val="11"/>
      <color theme="10"/>
      <name val="Calibri"/>
      <family val="2"/>
      <scheme val="minor"/>
    </font>
    <font>
      <u/>
      <sz val="11"/>
      <color theme="10"/>
      <name val="Calibri"/>
      <scheme val="minor"/>
    </font>
    <font>
      <sz val="11"/>
      <color theme="1"/>
      <name val="Arial"/>
      <family val="2"/>
    </font>
    <font>
      <b/>
      <sz val="11"/>
      <color theme="1"/>
      <name val="Arial"/>
      <family val="2"/>
    </font>
    <font>
      <i/>
      <sz val="11"/>
      <color theme="1"/>
      <name val="Arial"/>
      <family val="2"/>
    </font>
    <font>
      <sz val="11"/>
      <name val="Arial"/>
      <family val="2"/>
    </font>
    <font>
      <sz val="11"/>
      <color rgb="FFFF0000"/>
      <name val="Arial"/>
      <family val="2"/>
    </font>
    <font>
      <b/>
      <sz val="11"/>
      <color theme="0"/>
      <name val="Arial"/>
      <family val="2"/>
    </font>
    <font>
      <b/>
      <sz val="16"/>
      <color theme="4"/>
      <name val="Arial"/>
      <family val="2"/>
    </font>
  </fonts>
  <fills count="12">
    <fill>
      <patternFill patternType="none"/>
    </fill>
    <fill>
      <patternFill patternType="gray125"/>
    </fill>
    <fill>
      <patternFill patternType="solid">
        <fgColor rgb="FFECECEC"/>
        <bgColor rgb="FFECECEC"/>
      </patternFill>
    </fill>
    <fill>
      <patternFill patternType="solid">
        <fgColor theme="7" tint="0.59999389629810485"/>
        <bgColor rgb="FFECECEC"/>
      </patternFill>
    </fill>
    <fill>
      <patternFill patternType="solid">
        <fgColor theme="7" tint="0.59999389629810485"/>
        <bgColor indexed="64"/>
      </patternFill>
    </fill>
    <fill>
      <patternFill patternType="solid">
        <fgColor theme="7" tint="0.59999389629810485"/>
        <bgColor rgb="FFFFFF00"/>
      </patternFill>
    </fill>
    <fill>
      <patternFill patternType="solid">
        <fgColor rgb="FFFFFF00"/>
        <bgColor indexed="64"/>
      </patternFill>
    </fill>
    <fill>
      <patternFill patternType="solid">
        <fgColor theme="2"/>
        <bgColor indexed="64"/>
      </patternFill>
    </fill>
    <fill>
      <patternFill patternType="solid">
        <fgColor theme="6" tint="0.59999389629810485"/>
        <bgColor rgb="FFD4D4D4"/>
      </patternFill>
    </fill>
    <fill>
      <patternFill patternType="solid">
        <fgColor theme="2"/>
        <bgColor rgb="FFD4D4D4"/>
      </patternFill>
    </fill>
    <fill>
      <patternFill patternType="solid">
        <fgColor theme="4"/>
        <bgColor rgb="FFD4D4D4"/>
      </patternFill>
    </fill>
    <fill>
      <patternFill patternType="solid">
        <fgColor theme="6"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style="thin">
        <color rgb="FF000000"/>
      </top>
      <bottom/>
      <diagonal/>
    </border>
  </borders>
  <cellStyleXfs count="9">
    <xf numFmtId="0" fontId="0" fillId="0" borderId="0"/>
    <xf numFmtId="9" fontId="8" fillId="0" borderId="0" applyFont="0" applyFill="0" applyBorder="0" applyAlignment="0" applyProtection="0"/>
    <xf numFmtId="43" fontId="8" fillId="0" borderId="0" applyFont="0" applyFill="0" applyBorder="0" applyAlignment="0" applyProtection="0"/>
    <xf numFmtId="0" fontId="2" fillId="0" borderId="2"/>
    <xf numFmtId="0" fontId="12" fillId="0" borderId="2" applyNumberFormat="0" applyFill="0" applyBorder="0" applyAlignment="0" applyProtection="0"/>
    <xf numFmtId="0" fontId="13" fillId="0" borderId="0" applyNumberFormat="0" applyFill="0" applyBorder="0" applyAlignment="0" applyProtection="0"/>
    <xf numFmtId="0" fontId="8" fillId="0" borderId="2"/>
    <xf numFmtId="43" fontId="1" fillId="0" borderId="2" applyFont="0" applyFill="0" applyBorder="0" applyAlignment="0" applyProtection="0"/>
    <xf numFmtId="9" fontId="1" fillId="0" borderId="2" applyFont="0" applyFill="0" applyBorder="0" applyAlignment="0" applyProtection="0"/>
  </cellStyleXfs>
  <cellXfs count="73">
    <xf numFmtId="0" fontId="0" fillId="0" borderId="0" xfId="0"/>
    <xf numFmtId="0" fontId="5" fillId="0" borderId="0" xfId="0" applyFont="1"/>
    <xf numFmtId="0" fontId="6" fillId="2" borderId="1" xfId="0" applyFont="1" applyFill="1" applyBorder="1"/>
    <xf numFmtId="9" fontId="7" fillId="0" borderId="0" xfId="0" applyNumberFormat="1" applyFont="1"/>
    <xf numFmtId="0" fontId="8" fillId="0" borderId="0" xfId="0" applyFont="1"/>
    <xf numFmtId="0" fontId="0" fillId="0" borderId="3" xfId="0" applyBorder="1"/>
    <xf numFmtId="0" fontId="3" fillId="0" borderId="0" xfId="0" applyFont="1"/>
    <xf numFmtId="0" fontId="9" fillId="2" borderId="1" xfId="0" applyFont="1" applyFill="1" applyBorder="1"/>
    <xf numFmtId="0" fontId="4" fillId="0" borderId="0" xfId="0" applyFont="1"/>
    <xf numFmtId="9" fontId="0" fillId="0" borderId="0" xfId="1" applyFont="1"/>
    <xf numFmtId="1" fontId="0" fillId="0" borderId="0" xfId="0" applyNumberFormat="1"/>
    <xf numFmtId="0" fontId="0" fillId="0" borderId="2" xfId="0" applyBorder="1"/>
    <xf numFmtId="0" fontId="6" fillId="2" borderId="5" xfId="0" applyFont="1" applyFill="1" applyBorder="1"/>
    <xf numFmtId="1" fontId="0" fillId="0" borderId="3" xfId="0" applyNumberFormat="1" applyBorder="1"/>
    <xf numFmtId="0" fontId="6" fillId="0" borderId="3" xfId="0" applyFont="1" applyBorder="1"/>
    <xf numFmtId="9" fontId="6" fillId="0" borderId="3" xfId="0" applyNumberFormat="1" applyFont="1" applyBorder="1"/>
    <xf numFmtId="0" fontId="9" fillId="0" borderId="3" xfId="0" applyFont="1" applyBorder="1"/>
    <xf numFmtId="9" fontId="0" fillId="0" borderId="3" xfId="1" applyFont="1" applyFill="1" applyBorder="1"/>
    <xf numFmtId="0" fontId="6" fillId="3" borderId="3" xfId="0" applyFont="1" applyFill="1" applyBorder="1"/>
    <xf numFmtId="9" fontId="6" fillId="3" borderId="3" xfId="0" applyNumberFormat="1" applyFont="1" applyFill="1" applyBorder="1"/>
    <xf numFmtId="0" fontId="6" fillId="3" borderId="1" xfId="0" applyFont="1" applyFill="1" applyBorder="1"/>
    <xf numFmtId="0" fontId="6" fillId="3" borderId="5" xfId="0" applyFont="1" applyFill="1" applyBorder="1"/>
    <xf numFmtId="0" fontId="6" fillId="4" borderId="3" xfId="0" applyFont="1" applyFill="1" applyBorder="1"/>
    <xf numFmtId="0" fontId="0" fillId="4" borderId="3" xfId="0" applyFill="1" applyBorder="1"/>
    <xf numFmtId="164" fontId="6" fillId="5" borderId="1" xfId="0" applyNumberFormat="1" applyFont="1" applyFill="1" applyBorder="1"/>
    <xf numFmtId="0" fontId="6" fillId="5" borderId="1" xfId="0" applyFont="1" applyFill="1" applyBorder="1"/>
    <xf numFmtId="1" fontId="6" fillId="0" borderId="3" xfId="0" applyNumberFormat="1" applyFont="1" applyBorder="1"/>
    <xf numFmtId="0" fontId="9" fillId="3" borderId="1" xfId="0" applyFont="1" applyFill="1" applyBorder="1"/>
    <xf numFmtId="0" fontId="6" fillId="0" borderId="1" xfId="0" applyFont="1" applyBorder="1"/>
    <xf numFmtId="0" fontId="9" fillId="0" borderId="1" xfId="0" applyFont="1" applyBorder="1"/>
    <xf numFmtId="1" fontId="6" fillId="5" borderId="1" xfId="0" applyNumberFormat="1" applyFont="1" applyFill="1" applyBorder="1"/>
    <xf numFmtId="0" fontId="6" fillId="0" borderId="5" xfId="0" applyFont="1" applyBorder="1"/>
    <xf numFmtId="1" fontId="6" fillId="5" borderId="5" xfId="0" applyNumberFormat="1" applyFont="1" applyFill="1" applyBorder="1"/>
    <xf numFmtId="1" fontId="6" fillId="5" borderId="3" xfId="0" applyNumberFormat="1" applyFont="1" applyFill="1" applyBorder="1"/>
    <xf numFmtId="164" fontId="6" fillId="0" borderId="3" xfId="0" applyNumberFormat="1" applyFont="1" applyBorder="1"/>
    <xf numFmtId="0" fontId="10" fillId="0" borderId="0" xfId="0" applyFont="1"/>
    <xf numFmtId="164" fontId="0" fillId="0" borderId="0" xfId="0" applyNumberFormat="1"/>
    <xf numFmtId="165" fontId="6" fillId="0" borderId="3" xfId="2" applyNumberFormat="1" applyFont="1" applyBorder="1"/>
    <xf numFmtId="0" fontId="9" fillId="6" borderId="3" xfId="0" applyFont="1" applyFill="1" applyBorder="1"/>
    <xf numFmtId="0" fontId="0" fillId="6" borderId="3" xfId="0" applyFill="1" applyBorder="1"/>
    <xf numFmtId="9" fontId="0" fillId="6" borderId="3" xfId="0" applyNumberFormat="1" applyFill="1" applyBorder="1"/>
    <xf numFmtId="0" fontId="11" fillId="0" borderId="0" xfId="0" applyFont="1"/>
    <xf numFmtId="0" fontId="2" fillId="0" borderId="2" xfId="3"/>
    <xf numFmtId="0" fontId="14" fillId="0" borderId="3" xfId="3" applyFont="1" applyBorder="1" applyAlignment="1">
      <alignment horizontal="center" vertical="center"/>
    </xf>
    <xf numFmtId="0" fontId="14" fillId="0" borderId="2" xfId="3" applyFont="1" applyAlignment="1">
      <alignment vertical="center"/>
    </xf>
    <xf numFmtId="0" fontId="14" fillId="0" borderId="3" xfId="3" applyFont="1" applyBorder="1" applyAlignment="1">
      <alignment horizontal="left" vertical="center"/>
    </xf>
    <xf numFmtId="0" fontId="15" fillId="8" borderId="3" xfId="3" applyFont="1" applyFill="1" applyBorder="1" applyAlignment="1">
      <alignment horizontal="center" vertical="center"/>
    </xf>
    <xf numFmtId="0" fontId="14" fillId="0" borderId="3" xfId="3" quotePrefix="1" applyFont="1" applyBorder="1" applyAlignment="1">
      <alignment horizontal="left" vertical="center"/>
    </xf>
    <xf numFmtId="0" fontId="12" fillId="0" borderId="3" xfId="4" applyBorder="1" applyAlignment="1">
      <alignment horizontal="left" vertical="center"/>
    </xf>
    <xf numFmtId="0" fontId="14" fillId="0" borderId="2" xfId="3" applyFont="1" applyAlignment="1">
      <alignment horizontal="center" vertical="center" wrapText="1"/>
    </xf>
    <xf numFmtId="0" fontId="14" fillId="0" borderId="3" xfId="3" applyFont="1" applyBorder="1" applyAlignment="1">
      <alignment horizontal="center" vertical="center" wrapText="1"/>
    </xf>
    <xf numFmtId="0" fontId="14" fillId="0" borderId="2" xfId="3" applyFont="1" applyAlignment="1">
      <alignment vertical="center" wrapText="1"/>
    </xf>
    <xf numFmtId="0" fontId="20" fillId="0" borderId="3" xfId="3" applyFont="1" applyBorder="1" applyAlignment="1">
      <alignment horizontal="center" vertical="center"/>
    </xf>
    <xf numFmtId="165" fontId="14" fillId="0" borderId="3" xfId="3" applyNumberFormat="1" applyFont="1" applyBorder="1" applyAlignment="1">
      <alignment horizontal="center" vertical="center" wrapText="1"/>
    </xf>
    <xf numFmtId="0" fontId="3" fillId="0" borderId="4" xfId="0" applyFont="1" applyBorder="1" applyAlignment="1">
      <alignment horizontal="center"/>
    </xf>
    <xf numFmtId="0" fontId="3" fillId="0" borderId="2" xfId="0" applyFont="1" applyBorder="1" applyAlignment="1">
      <alignment horizontal="center"/>
    </xf>
    <xf numFmtId="0" fontId="0" fillId="0" borderId="2" xfId="0" applyBorder="1" applyAlignment="1">
      <alignment horizontal="center"/>
    </xf>
    <xf numFmtId="0" fontId="15" fillId="11" borderId="3" xfId="3" applyFont="1" applyFill="1" applyBorder="1" applyAlignment="1">
      <alignment horizontal="center" vertical="center"/>
    </xf>
    <xf numFmtId="0" fontId="17" fillId="0" borderId="3" xfId="3" applyFont="1" applyBorder="1" applyAlignment="1">
      <alignment horizontal="left" vertical="center" wrapText="1"/>
    </xf>
    <xf numFmtId="0" fontId="18" fillId="0" borderId="3" xfId="3" applyFont="1" applyBorder="1" applyAlignment="1">
      <alignment horizontal="left" vertical="center"/>
    </xf>
    <xf numFmtId="0" fontId="14" fillId="0" borderId="3" xfId="3" applyFont="1" applyBorder="1" applyAlignment="1">
      <alignment horizontal="left" vertical="center" wrapText="1"/>
    </xf>
    <xf numFmtId="0" fontId="14" fillId="0" borderId="3" xfId="3" quotePrefix="1" applyFont="1" applyBorder="1" applyAlignment="1">
      <alignment horizontal="left" vertical="center" wrapText="1"/>
    </xf>
    <xf numFmtId="0" fontId="14" fillId="0" borderId="3" xfId="3" applyFont="1" applyBorder="1" applyAlignment="1">
      <alignment horizontal="left" vertical="center"/>
    </xf>
    <xf numFmtId="0" fontId="19" fillId="10" borderId="3" xfId="3" applyFont="1" applyFill="1" applyBorder="1" applyAlignment="1">
      <alignment horizontal="center" vertical="center" wrapText="1"/>
    </xf>
    <xf numFmtId="0" fontId="14" fillId="0" borderId="3" xfId="3" applyFont="1" applyBorder="1" applyAlignment="1">
      <alignment horizontal="center" vertical="center"/>
    </xf>
    <xf numFmtId="0" fontId="12" fillId="0" borderId="3" xfId="5" applyFont="1" applyBorder="1" applyAlignment="1">
      <alignment horizontal="left" vertical="center"/>
    </xf>
    <xf numFmtId="0" fontId="15" fillId="8" borderId="3" xfId="3" applyFont="1" applyFill="1" applyBorder="1" applyAlignment="1">
      <alignment horizontal="left" vertical="center"/>
    </xf>
    <xf numFmtId="0" fontId="15" fillId="7" borderId="3" xfId="3" applyFont="1" applyFill="1" applyBorder="1" applyAlignment="1">
      <alignment horizontal="left" vertical="center"/>
    </xf>
    <xf numFmtId="0" fontId="15" fillId="8" borderId="3" xfId="3" applyFont="1" applyFill="1" applyBorder="1" applyAlignment="1">
      <alignment horizontal="center" vertical="center"/>
    </xf>
    <xf numFmtId="166" fontId="14" fillId="0" borderId="3" xfId="3" applyNumberFormat="1" applyFont="1" applyBorder="1" applyAlignment="1">
      <alignment horizontal="center" vertical="center"/>
    </xf>
    <xf numFmtId="0" fontId="16" fillId="0" borderId="3" xfId="3" applyFont="1" applyBorder="1" applyAlignment="1">
      <alignment horizontal="center" vertical="center" wrapText="1"/>
    </xf>
    <xf numFmtId="0" fontId="15" fillId="9" borderId="3" xfId="3" applyFont="1" applyFill="1" applyBorder="1" applyAlignment="1">
      <alignment horizontal="right" vertical="center"/>
    </xf>
    <xf numFmtId="0" fontId="11" fillId="0" borderId="0" xfId="0" applyFont="1" applyAlignment="1">
      <alignment horizontal="center"/>
    </xf>
  </cellXfs>
  <cellStyles count="9">
    <cellStyle name="Comma" xfId="2" builtinId="3"/>
    <cellStyle name="Comma 2" xfId="7" xr:uid="{D2F81867-86DD-4BB4-8B76-89C95D3F55B6}"/>
    <cellStyle name="Hyperlink" xfId="5" builtinId="8"/>
    <cellStyle name="Hyperlink 2" xfId="4" xr:uid="{EA743CE8-5CDB-4E37-B164-089E6C03BEB1}"/>
    <cellStyle name="Normal" xfId="0" builtinId="0"/>
    <cellStyle name="Normal 2" xfId="3" xr:uid="{83762E85-80EE-4383-B6D3-C7A9A260C1EF}"/>
    <cellStyle name="Normal 3" xfId="6" xr:uid="{C7138851-7FEF-4C7A-A93C-7DA33F48A22C}"/>
    <cellStyle name="Percent" xfId="1" builtinId="5"/>
    <cellStyle name="Percent 2" xfId="8" xr:uid="{D45D7C99-237D-4602-B85E-DDC043E122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615468</xdr:colOff>
      <xdr:row>0</xdr:row>
      <xdr:rowOff>9072</xdr:rowOff>
    </xdr:from>
    <xdr:to>
      <xdr:col>3</xdr:col>
      <xdr:colOff>1596571</xdr:colOff>
      <xdr:row>1</xdr:row>
      <xdr:rowOff>22532</xdr:rowOff>
    </xdr:to>
    <xdr:pic>
      <xdr:nvPicPr>
        <xdr:cNvPr id="4" name="Picture 3">
          <a:extLst>
            <a:ext uri="{FF2B5EF4-FFF2-40B4-BE49-F238E27FC236}">
              <a16:creationId xmlns:a16="http://schemas.microsoft.com/office/drawing/2014/main" id="{4D4606C2-3DAD-4636-9495-5C98B5043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9682" y="9072"/>
          <a:ext cx="2541389" cy="62124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5F7C8-BC6C-4C14-A240-463443C0D4F0}">
  <dimension ref="B1:R997"/>
  <sheetViews>
    <sheetView topLeftCell="A4" zoomScale="145" zoomScaleNormal="145" workbookViewId="0">
      <selection activeCell="E10" sqref="E10"/>
    </sheetView>
  </sheetViews>
  <sheetFormatPr defaultColWidth="14.453125" defaultRowHeight="15" customHeight="1" x14ac:dyDescent="0.35"/>
  <cols>
    <col min="1" max="1" width="8.6328125" customWidth="1"/>
    <col min="2" max="2" width="10.08984375" bestFit="1" customWidth="1"/>
    <col min="3" max="3" width="35.90625" bestFit="1" customWidth="1"/>
    <col min="4" max="4" width="10.54296875" bestFit="1" customWidth="1"/>
    <col min="5" max="5" width="17.453125" customWidth="1"/>
    <col min="6" max="6" width="4.08984375" customWidth="1"/>
    <col min="7" max="7" width="7.08984375" customWidth="1"/>
    <col min="8" max="8" width="19.36328125" customWidth="1"/>
    <col min="9" max="9" width="11.453125" customWidth="1"/>
    <col min="10" max="10" width="8.6328125" customWidth="1"/>
    <col min="11" max="11" width="2.6328125" customWidth="1"/>
    <col min="12" max="12" width="16.453125" customWidth="1"/>
    <col min="13" max="13" width="24" customWidth="1"/>
    <col min="14" max="27" width="8.6328125" customWidth="1"/>
  </cols>
  <sheetData>
    <row r="1" spans="2:18" ht="14.25" customHeight="1" x14ac:dyDescent="0.35"/>
    <row r="2" spans="2:18" ht="14.25" customHeight="1" x14ac:dyDescent="0.35">
      <c r="C2" s="8" t="s">
        <v>26</v>
      </c>
    </row>
    <row r="3" spans="2:18" ht="14.25" customHeight="1" x14ac:dyDescent="0.35">
      <c r="C3" s="1" t="s">
        <v>0</v>
      </c>
      <c r="D3" s="6" t="s">
        <v>31</v>
      </c>
      <c r="E3" s="6" t="s">
        <v>30</v>
      </c>
      <c r="H3" s="1" t="s">
        <v>27</v>
      </c>
      <c r="L3" s="1" t="s">
        <v>1</v>
      </c>
    </row>
    <row r="4" spans="2:18" ht="14.25" customHeight="1" x14ac:dyDescent="0.35">
      <c r="C4" s="14" t="s">
        <v>28</v>
      </c>
      <c r="D4" s="18">
        <v>300</v>
      </c>
      <c r="E4" s="5"/>
      <c r="H4" s="28" t="s">
        <v>2</v>
      </c>
      <c r="I4" s="24">
        <f>D16*D20/D4</f>
        <v>1.3888888888888891</v>
      </c>
      <c r="J4" s="3">
        <f t="shared" ref="J4:J13" si="0">I4/$I$13</f>
        <v>2.2291573785109234E-3</v>
      </c>
      <c r="L4" s="28" t="s">
        <v>3</v>
      </c>
      <c r="M4" s="33">
        <v>24</v>
      </c>
    </row>
    <row r="5" spans="2:18" ht="14.25" customHeight="1" x14ac:dyDescent="0.35">
      <c r="C5" s="14" t="s">
        <v>8</v>
      </c>
      <c r="D5" s="19">
        <v>0</v>
      </c>
      <c r="E5" s="5"/>
      <c r="H5" s="28" t="s">
        <v>4</v>
      </c>
      <c r="I5" s="24">
        <f>D14/D4</f>
        <v>141.66666666666666</v>
      </c>
      <c r="J5" s="3">
        <f t="shared" si="0"/>
        <v>0.22737405260811414</v>
      </c>
      <c r="L5" s="28" t="s">
        <v>5</v>
      </c>
      <c r="M5" s="37">
        <f>D4*(I13-I9)</f>
        <v>180916.66666666666</v>
      </c>
    </row>
    <row r="6" spans="2:18" ht="14.25" customHeight="1" x14ac:dyDescent="0.35">
      <c r="C6" s="14" t="s">
        <v>11</v>
      </c>
      <c r="D6" s="26">
        <f>D4+(D4*D5)</f>
        <v>300</v>
      </c>
      <c r="E6" s="18">
        <v>10500</v>
      </c>
      <c r="G6" s="20">
        <v>300</v>
      </c>
      <c r="H6" s="28" t="s">
        <v>6</v>
      </c>
      <c r="I6" s="24">
        <f>G6*D6/D4</f>
        <v>300</v>
      </c>
      <c r="J6" s="3">
        <f t="shared" si="0"/>
        <v>0.48149799375835933</v>
      </c>
      <c r="L6" s="28" t="s">
        <v>7</v>
      </c>
      <c r="M6" s="37">
        <f>M5*12</f>
        <v>2171000</v>
      </c>
    </row>
    <row r="7" spans="2:18" ht="14.25" customHeight="1" x14ac:dyDescent="0.35">
      <c r="B7" s="6"/>
      <c r="C7" s="16" t="s">
        <v>29</v>
      </c>
      <c r="D7" s="13">
        <v>500</v>
      </c>
      <c r="E7" s="18">
        <v>0</v>
      </c>
      <c r="H7" s="28" t="s">
        <v>9</v>
      </c>
      <c r="I7" s="25">
        <v>40</v>
      </c>
      <c r="J7" s="3">
        <f t="shared" si="0"/>
        <v>6.4199732501114576E-2</v>
      </c>
      <c r="L7" s="28" t="s">
        <v>10</v>
      </c>
      <c r="M7" s="37">
        <f>M5*M4</f>
        <v>4342000</v>
      </c>
    </row>
    <row r="8" spans="2:18" ht="14.25" customHeight="1" x14ac:dyDescent="0.35">
      <c r="H8" s="29" t="s">
        <v>37</v>
      </c>
      <c r="I8" s="30">
        <v>0</v>
      </c>
      <c r="J8" s="3">
        <f t="shared" si="0"/>
        <v>0</v>
      </c>
    </row>
    <row r="9" spans="2:18" ht="14.25" customHeight="1" x14ac:dyDescent="0.35">
      <c r="B9" s="54" t="s">
        <v>4</v>
      </c>
      <c r="C9" s="2" t="s">
        <v>12</v>
      </c>
      <c r="D9" s="27">
        <v>1</v>
      </c>
      <c r="E9" s="20">
        <v>25000</v>
      </c>
      <c r="H9" s="31" t="s">
        <v>13</v>
      </c>
      <c r="I9" s="32">
        <v>20</v>
      </c>
      <c r="J9" s="3">
        <f t="shared" si="0"/>
        <v>3.2099866250557288E-2</v>
      </c>
    </row>
    <row r="10" spans="2:18" ht="14.25" customHeight="1" x14ac:dyDescent="0.35">
      <c r="B10" s="54"/>
      <c r="C10" s="7" t="s">
        <v>32</v>
      </c>
      <c r="D10" s="20">
        <v>0</v>
      </c>
      <c r="E10" s="27">
        <v>18000</v>
      </c>
      <c r="H10" s="14" t="s">
        <v>14</v>
      </c>
      <c r="I10" s="33">
        <v>0</v>
      </c>
      <c r="J10" s="3">
        <f t="shared" si="0"/>
        <v>0</v>
      </c>
      <c r="P10" s="4"/>
      <c r="Q10" s="4"/>
      <c r="R10" s="4"/>
    </row>
    <row r="11" spans="2:18" ht="14.25" customHeight="1" x14ac:dyDescent="0.35">
      <c r="B11" s="54"/>
      <c r="C11" s="2" t="s">
        <v>15</v>
      </c>
      <c r="D11" s="20">
        <v>0</v>
      </c>
      <c r="E11" s="27">
        <v>18000</v>
      </c>
      <c r="H11" s="14" t="s">
        <v>16</v>
      </c>
      <c r="I11" s="33">
        <v>20</v>
      </c>
      <c r="J11" s="3">
        <f t="shared" si="0"/>
        <v>3.2099866250557288E-2</v>
      </c>
      <c r="O11" s="4"/>
    </row>
    <row r="12" spans="2:18" ht="14.25" customHeight="1" x14ac:dyDescent="0.35">
      <c r="B12" s="54"/>
      <c r="C12" s="2" t="s">
        <v>17</v>
      </c>
      <c r="D12" s="20">
        <v>0.5</v>
      </c>
      <c r="E12" s="20">
        <v>35000</v>
      </c>
      <c r="H12" s="14" t="s">
        <v>18</v>
      </c>
      <c r="I12" s="33">
        <v>100</v>
      </c>
      <c r="J12" s="3">
        <f t="shared" si="0"/>
        <v>0.16049933125278645</v>
      </c>
      <c r="O12" s="4"/>
    </row>
    <row r="13" spans="2:18" ht="14.25" customHeight="1" x14ac:dyDescent="0.35">
      <c r="B13" s="54"/>
      <c r="C13" s="12" t="s">
        <v>19</v>
      </c>
      <c r="D13" s="21">
        <v>0</v>
      </c>
      <c r="E13" s="21">
        <v>35000</v>
      </c>
      <c r="H13" s="14" t="s">
        <v>20</v>
      </c>
      <c r="I13" s="34">
        <f>SUM(I4:I12)</f>
        <v>623.05555555555554</v>
      </c>
      <c r="J13" s="3">
        <f t="shared" si="0"/>
        <v>1</v>
      </c>
      <c r="L13" s="36"/>
    </row>
    <row r="14" spans="2:18" ht="14.25" customHeight="1" x14ac:dyDescent="0.35">
      <c r="B14" s="55"/>
      <c r="C14" s="14" t="s">
        <v>24</v>
      </c>
      <c r="D14" s="14">
        <f>SUMPRODUCT(D9:D13,E9:E13)</f>
        <v>42500</v>
      </c>
      <c r="E14" s="5"/>
      <c r="H14" s="14" t="s">
        <v>25</v>
      </c>
      <c r="I14" s="34">
        <f>D18/(I16+I4*D4)</f>
        <v>0.27459954233409611</v>
      </c>
      <c r="O14" s="4"/>
      <c r="P14" s="4"/>
    </row>
    <row r="15" spans="2:18" ht="14.25" customHeight="1" x14ac:dyDescent="0.35">
      <c r="B15" s="55" t="s">
        <v>33</v>
      </c>
      <c r="C15" s="14" t="s">
        <v>21</v>
      </c>
      <c r="D15" s="14">
        <f>D13+D12+D10+D11</f>
        <v>0.5</v>
      </c>
      <c r="E15" s="22">
        <v>20000</v>
      </c>
      <c r="H15" s="14" t="s">
        <v>18</v>
      </c>
      <c r="I15" s="14">
        <f>I12*D4</f>
        <v>30000</v>
      </c>
      <c r="J15" s="3"/>
      <c r="O15" s="4"/>
      <c r="P15" s="4"/>
    </row>
    <row r="16" spans="2:18" ht="14.25" customHeight="1" x14ac:dyDescent="0.35">
      <c r="B16" s="56"/>
      <c r="C16" s="14" t="s">
        <v>40</v>
      </c>
      <c r="D16" s="14">
        <f>D15*E15</f>
        <v>10000</v>
      </c>
      <c r="E16" s="15"/>
      <c r="G16" s="4" t="s">
        <v>22</v>
      </c>
      <c r="H16" s="14" t="s">
        <v>23</v>
      </c>
      <c r="I16" s="14">
        <f>(I11+I12)*D4</f>
        <v>36000</v>
      </c>
      <c r="N16" s="4"/>
      <c r="O16" s="4"/>
    </row>
    <row r="17" spans="2:16" ht="14.25" customHeight="1" x14ac:dyDescent="0.35">
      <c r="B17" s="11"/>
      <c r="C17" s="38" t="s">
        <v>34</v>
      </c>
      <c r="D17" s="40">
        <v>0</v>
      </c>
      <c r="E17" s="39" t="s">
        <v>39</v>
      </c>
      <c r="O17" s="4"/>
      <c r="P17" s="4"/>
    </row>
    <row r="18" spans="2:16" ht="14.25" customHeight="1" x14ac:dyDescent="0.35">
      <c r="B18" s="11"/>
      <c r="C18" s="16" t="s">
        <v>35</v>
      </c>
      <c r="D18" s="13">
        <f>D16/(1-D17)</f>
        <v>10000</v>
      </c>
      <c r="E18" s="5"/>
      <c r="O18" s="4"/>
      <c r="P18" s="4"/>
    </row>
    <row r="19" spans="2:16" ht="14.25" customHeight="1" x14ac:dyDescent="0.35">
      <c r="B19" s="11"/>
      <c r="C19" s="14" t="s">
        <v>41</v>
      </c>
      <c r="D19" s="23">
        <v>24</v>
      </c>
      <c r="E19" s="15"/>
      <c r="O19" s="4"/>
      <c r="P19" s="4"/>
    </row>
    <row r="20" spans="2:16" ht="14.25" customHeight="1" x14ac:dyDescent="0.35">
      <c r="B20" s="11"/>
      <c r="C20" s="16" t="s">
        <v>36</v>
      </c>
      <c r="D20" s="17">
        <f>(D18/D19)/D18</f>
        <v>4.1666666666666671E-2</v>
      </c>
      <c r="E20" s="17"/>
      <c r="F20" s="10"/>
      <c r="O20" s="4"/>
      <c r="P20" s="4"/>
    </row>
    <row r="21" spans="2:16" ht="14.25" customHeight="1" x14ac:dyDescent="0.35">
      <c r="F21" s="9"/>
      <c r="O21" s="4"/>
      <c r="P21" s="4"/>
    </row>
    <row r="22" spans="2:16" ht="14.25" customHeight="1" x14ac:dyDescent="0.35">
      <c r="C22" s="35" t="s">
        <v>38</v>
      </c>
    </row>
    <row r="23" spans="2:16" ht="14.25" customHeight="1" x14ac:dyDescent="0.35"/>
    <row r="24" spans="2:16" ht="14.25" customHeight="1" x14ac:dyDescent="0.35"/>
    <row r="25" spans="2:16" ht="14.25" customHeight="1" x14ac:dyDescent="0.35"/>
    <row r="26" spans="2:16" ht="14.25" customHeight="1" x14ac:dyDescent="0.35"/>
    <row r="27" spans="2:16" ht="14.25" customHeight="1" x14ac:dyDescent="0.35"/>
    <row r="28" spans="2:16" ht="14.25" customHeight="1" x14ac:dyDescent="0.35"/>
    <row r="29" spans="2:16" ht="14.25" customHeight="1" x14ac:dyDescent="0.35"/>
    <row r="30" spans="2:16" ht="14.25" customHeight="1" x14ac:dyDescent="0.35"/>
    <row r="31" spans="2:16" ht="14.25" customHeight="1" x14ac:dyDescent="0.35"/>
    <row r="32" spans="2: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sheetData>
  <mergeCells count="2">
    <mergeCell ref="B9:B14"/>
    <mergeCell ref="B15:B16"/>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C45FA-191A-44FC-B306-169AB48B1B2D}">
  <sheetPr>
    <tabColor theme="8" tint="0.79998168889431442"/>
  </sheetPr>
  <dimension ref="B1:G25"/>
  <sheetViews>
    <sheetView tabSelected="1" topLeftCell="A20" zoomScale="70" zoomScaleNormal="70" zoomScaleSheetLayoutView="100" zoomScalePageLayoutView="41" workbookViewId="0">
      <selection activeCell="E4" sqref="E4:F5"/>
    </sheetView>
  </sheetViews>
  <sheetFormatPr defaultColWidth="8.90625" defaultRowHeight="14" x14ac:dyDescent="0.35"/>
  <cols>
    <col min="1" max="1" width="2.1796875" style="44" customWidth="1"/>
    <col min="2" max="2" width="9.90625" style="44" customWidth="1"/>
    <col min="3" max="3" width="12.453125" style="44" customWidth="1"/>
    <col min="4" max="4" width="26.08984375" style="51" customWidth="1"/>
    <col min="5" max="5" width="9.54296875" style="44" customWidth="1"/>
    <col min="6" max="6" width="25.453125" style="44" customWidth="1"/>
    <col min="7" max="7" width="29.453125" style="44" customWidth="1"/>
    <col min="8" max="16384" width="8.90625" style="44"/>
  </cols>
  <sheetData>
    <row r="1" spans="2:7" ht="48" customHeight="1" x14ac:dyDescent="0.35">
      <c r="B1" s="64"/>
      <c r="C1" s="64"/>
      <c r="D1" s="64"/>
      <c r="E1" s="64"/>
      <c r="F1" s="64"/>
      <c r="G1" s="52" t="s">
        <v>51</v>
      </c>
    </row>
    <row r="2" spans="2:7" ht="49" customHeight="1" x14ac:dyDescent="0.35">
      <c r="B2" s="60" t="s">
        <v>85</v>
      </c>
      <c r="C2" s="60"/>
      <c r="D2" s="60"/>
      <c r="E2" s="60"/>
      <c r="F2" s="60"/>
      <c r="G2" s="60"/>
    </row>
    <row r="3" spans="2:7" ht="16.5" customHeight="1" x14ac:dyDescent="0.35">
      <c r="B3" s="67" t="s">
        <v>52</v>
      </c>
      <c r="C3" s="67"/>
      <c r="D3" s="45" t="s">
        <v>53</v>
      </c>
      <c r="E3" s="68" t="s">
        <v>54</v>
      </c>
      <c r="F3" s="68"/>
      <c r="G3" s="46" t="s">
        <v>55</v>
      </c>
    </row>
    <row r="4" spans="2:7" ht="19.5" customHeight="1" x14ac:dyDescent="0.35">
      <c r="B4" s="67" t="s">
        <v>56</v>
      </c>
      <c r="C4" s="67"/>
      <c r="D4" s="45" t="s">
        <v>57</v>
      </c>
      <c r="E4" s="64"/>
      <c r="F4" s="64"/>
      <c r="G4" s="69"/>
    </row>
    <row r="5" spans="2:7" ht="19.5" customHeight="1" x14ac:dyDescent="0.35">
      <c r="B5" s="67" t="s">
        <v>58</v>
      </c>
      <c r="C5" s="67"/>
      <c r="D5" s="45"/>
      <c r="E5" s="64"/>
      <c r="F5" s="64"/>
      <c r="G5" s="69"/>
    </row>
    <row r="6" spans="2:7" ht="19.5" customHeight="1" x14ac:dyDescent="0.35">
      <c r="B6" s="67" t="s">
        <v>59</v>
      </c>
      <c r="C6" s="67"/>
      <c r="D6" s="47"/>
      <c r="E6" s="70" t="s">
        <v>60</v>
      </c>
      <c r="F6" s="70"/>
      <c r="G6" s="70"/>
    </row>
    <row r="7" spans="2:7" ht="19.5" customHeight="1" x14ac:dyDescent="0.35">
      <c r="B7" s="67" t="s">
        <v>61</v>
      </c>
      <c r="C7" s="67"/>
      <c r="D7" s="48"/>
      <c r="E7" s="70"/>
      <c r="F7" s="70"/>
      <c r="G7" s="70"/>
    </row>
    <row r="8" spans="2:7" ht="5.4" customHeight="1" x14ac:dyDescent="0.35">
      <c r="B8" s="62"/>
      <c r="C8" s="62"/>
      <c r="D8" s="62"/>
      <c r="E8" s="62"/>
      <c r="F8" s="62"/>
      <c r="G8" s="62"/>
    </row>
    <row r="9" spans="2:7" ht="16.5" customHeight="1" x14ac:dyDescent="0.35">
      <c r="B9" s="66" t="s">
        <v>62</v>
      </c>
      <c r="C9" s="66"/>
      <c r="D9" s="66"/>
      <c r="E9" s="66"/>
      <c r="F9" s="66"/>
      <c r="G9" s="66"/>
    </row>
    <row r="10" spans="2:7" ht="19.5" customHeight="1" x14ac:dyDescent="0.35">
      <c r="B10" s="67" t="s">
        <v>63</v>
      </c>
      <c r="C10" s="67"/>
      <c r="D10" s="62" t="s">
        <v>91</v>
      </c>
      <c r="E10" s="62"/>
      <c r="F10" s="62"/>
      <c r="G10" s="62"/>
    </row>
    <row r="11" spans="2:7" ht="19.5" customHeight="1" x14ac:dyDescent="0.35">
      <c r="B11" s="67" t="s">
        <v>64</v>
      </c>
      <c r="C11" s="67"/>
      <c r="D11" s="62"/>
      <c r="E11" s="62"/>
      <c r="F11" s="62"/>
      <c r="G11" s="62"/>
    </row>
    <row r="12" spans="2:7" ht="19.5" customHeight="1" x14ac:dyDescent="0.35">
      <c r="B12" s="67" t="s">
        <v>58</v>
      </c>
      <c r="C12" s="67"/>
      <c r="D12" s="45"/>
      <c r="E12" s="71" t="s">
        <v>59</v>
      </c>
      <c r="F12" s="71"/>
      <c r="G12" s="47"/>
    </row>
    <row r="13" spans="2:7" ht="19.5" customHeight="1" x14ac:dyDescent="0.35">
      <c r="B13" s="67" t="s">
        <v>61</v>
      </c>
      <c r="C13" s="67"/>
      <c r="D13" s="65"/>
      <c r="E13" s="62"/>
      <c r="F13" s="62"/>
      <c r="G13" s="62"/>
    </row>
    <row r="14" spans="2:7" ht="5.4" customHeight="1" x14ac:dyDescent="0.35">
      <c r="B14" s="64"/>
      <c r="C14" s="64"/>
      <c r="D14" s="64"/>
      <c r="E14" s="64"/>
      <c r="F14" s="64"/>
      <c r="G14" s="64"/>
    </row>
    <row r="15" spans="2:7" ht="16.5" customHeight="1" x14ac:dyDescent="0.35">
      <c r="B15" s="57" t="s">
        <v>65</v>
      </c>
      <c r="C15" s="57"/>
      <c r="D15" s="57"/>
      <c r="E15" s="57"/>
      <c r="F15" s="57"/>
      <c r="G15" s="57"/>
    </row>
    <row r="16" spans="2:7" ht="50" customHeight="1" x14ac:dyDescent="0.35">
      <c r="B16" s="58" t="s">
        <v>89</v>
      </c>
      <c r="C16" s="59"/>
      <c r="D16" s="59"/>
      <c r="E16" s="59"/>
      <c r="F16" s="59"/>
      <c r="G16" s="59"/>
    </row>
    <row r="17" spans="2:7" s="49" customFormat="1" ht="16.5" customHeight="1" x14ac:dyDescent="0.35">
      <c r="B17" s="63" t="s">
        <v>66</v>
      </c>
      <c r="C17" s="63" t="s">
        <v>67</v>
      </c>
      <c r="D17" s="63"/>
      <c r="E17" s="63"/>
      <c r="F17" s="63" t="s">
        <v>84</v>
      </c>
      <c r="G17" s="63" t="s">
        <v>68</v>
      </c>
    </row>
    <row r="18" spans="2:7" s="49" customFormat="1" ht="4.25" customHeight="1" x14ac:dyDescent="0.35">
      <c r="B18" s="63"/>
      <c r="C18" s="63"/>
      <c r="D18" s="63"/>
      <c r="E18" s="63"/>
      <c r="F18" s="63"/>
      <c r="G18" s="63"/>
    </row>
    <row r="19" spans="2:7" s="49" customFormat="1" ht="13.75" hidden="1" customHeight="1" x14ac:dyDescent="0.35">
      <c r="B19" s="63"/>
      <c r="C19" s="63"/>
      <c r="D19" s="63"/>
      <c r="E19" s="63"/>
      <c r="F19" s="63"/>
      <c r="G19" s="63"/>
    </row>
    <row r="20" spans="2:7" ht="43" customHeight="1" x14ac:dyDescent="0.35">
      <c r="B20" s="43">
        <v>1</v>
      </c>
      <c r="C20" s="60" t="s">
        <v>87</v>
      </c>
      <c r="D20" s="60"/>
      <c r="E20" s="60"/>
      <c r="F20" s="50" t="s">
        <v>86</v>
      </c>
      <c r="G20" s="53">
        <v>12000</v>
      </c>
    </row>
    <row r="21" spans="2:7" ht="43" customHeight="1" x14ac:dyDescent="0.35">
      <c r="B21" s="43">
        <v>2</v>
      </c>
      <c r="C21" s="60" t="s">
        <v>88</v>
      </c>
      <c r="D21" s="60"/>
      <c r="E21" s="60"/>
      <c r="F21" s="50" t="s">
        <v>69</v>
      </c>
      <c r="G21" s="53">
        <v>700</v>
      </c>
    </row>
    <row r="22" spans="2:7" ht="5.4" customHeight="1" x14ac:dyDescent="0.35">
      <c r="B22" s="64"/>
      <c r="C22" s="64"/>
      <c r="D22" s="64"/>
      <c r="E22" s="64"/>
      <c r="F22" s="64"/>
      <c r="G22" s="64"/>
    </row>
    <row r="23" spans="2:7" ht="16.5" customHeight="1" x14ac:dyDescent="0.35">
      <c r="B23" s="57" t="s">
        <v>70</v>
      </c>
      <c r="C23" s="57"/>
      <c r="D23" s="57"/>
      <c r="E23" s="57"/>
      <c r="F23" s="57"/>
      <c r="G23" s="57"/>
    </row>
    <row r="24" spans="2:7" ht="341" customHeight="1" x14ac:dyDescent="0.35">
      <c r="B24" s="61" t="s">
        <v>90</v>
      </c>
      <c r="C24" s="61"/>
      <c r="D24" s="62"/>
      <c r="E24" s="62"/>
      <c r="F24" s="62"/>
      <c r="G24" s="62"/>
    </row>
    <row r="25" spans="2:7" ht="16.5" customHeight="1" x14ac:dyDescent="0.35">
      <c r="B25" s="57" t="s">
        <v>71</v>
      </c>
      <c r="C25" s="57"/>
      <c r="D25" s="57"/>
      <c r="E25" s="57"/>
      <c r="F25" s="57"/>
      <c r="G25" s="57"/>
    </row>
  </sheetData>
  <mergeCells count="34">
    <mergeCell ref="B1:F1"/>
    <mergeCell ref="B2:G2"/>
    <mergeCell ref="B3:C3"/>
    <mergeCell ref="E3:F3"/>
    <mergeCell ref="B14:G14"/>
    <mergeCell ref="B8:G8"/>
    <mergeCell ref="B4:C4"/>
    <mergeCell ref="E4:F5"/>
    <mergeCell ref="G4:G5"/>
    <mergeCell ref="B5:C5"/>
    <mergeCell ref="B6:C6"/>
    <mergeCell ref="E6:G7"/>
    <mergeCell ref="B7:C7"/>
    <mergeCell ref="B12:C12"/>
    <mergeCell ref="E12:F12"/>
    <mergeCell ref="B13:C13"/>
    <mergeCell ref="D13:G13"/>
    <mergeCell ref="B9:G9"/>
    <mergeCell ref="B10:C10"/>
    <mergeCell ref="D10:G10"/>
    <mergeCell ref="B11:C11"/>
    <mergeCell ref="D11:G11"/>
    <mergeCell ref="B15:G15"/>
    <mergeCell ref="B16:G16"/>
    <mergeCell ref="B25:G25"/>
    <mergeCell ref="C20:E20"/>
    <mergeCell ref="B23:G23"/>
    <mergeCell ref="B24:G24"/>
    <mergeCell ref="B17:B19"/>
    <mergeCell ref="C17:E19"/>
    <mergeCell ref="F17:F19"/>
    <mergeCell ref="G17:G19"/>
    <mergeCell ref="B22:G22"/>
    <mergeCell ref="C21:E21"/>
  </mergeCells>
  <pageMargins left="0.23622047244094491" right="0.23622047244094491" top="0.74803149606299213" bottom="0.74803149606299213" header="0.31496062992125984" footer="0.31496062992125984"/>
  <pageSetup paperSize="9"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E74E-1232-4649-8691-A3D7E20B89FA}">
  <dimension ref="B2:C9"/>
  <sheetViews>
    <sheetView zoomScale="190" zoomScaleNormal="190" workbookViewId="0">
      <selection activeCell="H21" sqref="H21:I21"/>
    </sheetView>
  </sheetViews>
  <sheetFormatPr defaultColWidth="8.90625" defaultRowHeight="14.5" x14ac:dyDescent="0.35"/>
  <cols>
    <col min="1" max="16384" width="8.90625" style="42"/>
  </cols>
  <sheetData>
    <row r="2" spans="2:3" x14ac:dyDescent="0.35">
      <c r="B2" s="42" t="s">
        <v>72</v>
      </c>
    </row>
    <row r="3" spans="2:3" x14ac:dyDescent="0.35">
      <c r="B3" s="42" t="s">
        <v>73</v>
      </c>
    </row>
    <row r="5" spans="2:3" x14ac:dyDescent="0.35">
      <c r="B5" s="42" t="s">
        <v>74</v>
      </c>
      <c r="C5" s="42" t="s">
        <v>75</v>
      </c>
    </row>
    <row r="6" spans="2:3" x14ac:dyDescent="0.35">
      <c r="B6" s="42" t="s">
        <v>76</v>
      </c>
      <c r="C6" s="42" t="s">
        <v>77</v>
      </c>
    </row>
    <row r="7" spans="2:3" x14ac:dyDescent="0.35">
      <c r="B7" s="42" t="s">
        <v>78</v>
      </c>
      <c r="C7" s="42" t="s">
        <v>79</v>
      </c>
    </row>
    <row r="8" spans="2:3" x14ac:dyDescent="0.35">
      <c r="B8" s="42" t="s">
        <v>80</v>
      </c>
      <c r="C8" s="42" t="s">
        <v>81</v>
      </c>
    </row>
    <row r="9" spans="2:3" x14ac:dyDescent="0.35">
      <c r="B9" s="42" t="s">
        <v>82</v>
      </c>
      <c r="C9" s="42" t="s">
        <v>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3761-8447-4C7D-A9F4-44F8F1A3B39B}">
  <dimension ref="G8:K14"/>
  <sheetViews>
    <sheetView workbookViewId="0">
      <selection activeCell="M14" sqref="M14"/>
    </sheetView>
  </sheetViews>
  <sheetFormatPr defaultRowHeight="14.5" x14ac:dyDescent="0.35"/>
  <cols>
    <col min="6" max="6" width="8.81640625" customWidth="1"/>
    <col min="7" max="7" width="2.1796875" hidden="1" customWidth="1"/>
    <col min="8" max="8" width="23.453125" customWidth="1"/>
    <col min="9" max="9" width="14.08984375" customWidth="1"/>
    <col min="10" max="10" width="15.1796875" bestFit="1" customWidth="1"/>
    <col min="11" max="11" width="17.90625" customWidth="1"/>
  </cols>
  <sheetData>
    <row r="8" spans="8:11" x14ac:dyDescent="0.35">
      <c r="H8" s="41" t="s">
        <v>49</v>
      </c>
      <c r="I8" s="41" t="s">
        <v>42</v>
      </c>
      <c r="J8" s="41" t="s">
        <v>46</v>
      </c>
      <c r="K8" s="41" t="s">
        <v>43</v>
      </c>
    </row>
    <row r="9" spans="8:11" x14ac:dyDescent="0.35">
      <c r="H9" s="41" t="s">
        <v>47</v>
      </c>
      <c r="I9">
        <v>31700</v>
      </c>
      <c r="J9">
        <v>600</v>
      </c>
      <c r="K9">
        <v>2100</v>
      </c>
    </row>
    <row r="10" spans="8:11" x14ac:dyDescent="0.35">
      <c r="H10" s="41" t="s">
        <v>48</v>
      </c>
      <c r="I10">
        <v>42300</v>
      </c>
      <c r="J10">
        <v>650</v>
      </c>
      <c r="K10">
        <v>2600</v>
      </c>
    </row>
    <row r="11" spans="8:11" x14ac:dyDescent="0.35">
      <c r="H11" s="41" t="s">
        <v>44</v>
      </c>
      <c r="K11">
        <v>900</v>
      </c>
    </row>
    <row r="12" spans="8:11" x14ac:dyDescent="0.35">
      <c r="H12" s="41" t="s">
        <v>45</v>
      </c>
      <c r="K12">
        <v>1250</v>
      </c>
    </row>
    <row r="14" spans="8:11" x14ac:dyDescent="0.35">
      <c r="H14" s="72" t="s">
        <v>50</v>
      </c>
      <c r="I14" s="72"/>
      <c r="J14" s="72"/>
      <c r="K14" s="72"/>
    </row>
  </sheetData>
  <mergeCells count="1">
    <mergeCell ref="H14:K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CAPEX</vt:lpstr>
      <vt:lpstr>Quotation</vt:lpstr>
      <vt:lpstr>Quote Nomeclature</vt:lpstr>
      <vt:lpstr>Sheet1</vt:lpstr>
      <vt:lpstr>Quotation!Print_Area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dc:creator>
  <cp:lastModifiedBy>lenovo</cp:lastModifiedBy>
  <cp:lastPrinted>2025-12-11T07:41:42Z</cp:lastPrinted>
  <dcterms:created xsi:type="dcterms:W3CDTF">2020-09-10T12:28:26Z</dcterms:created>
  <dcterms:modified xsi:type="dcterms:W3CDTF">2025-12-11T07:48:37Z</dcterms:modified>
</cp:coreProperties>
</file>