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Proposals\ABG Port\Estimate\"/>
    </mc:Choice>
  </mc:AlternateContent>
  <xr:revisionPtr revIDLastSave="0" documentId="13_ncr:1_{0D75E0E2-64A2-44BB-9234-24A951767B49}" xr6:coauthVersionLast="47" xr6:coauthVersionMax="47" xr10:uidLastSave="{00000000-0000-0000-0000-000000000000}"/>
  <bookViews>
    <workbookView xWindow="-108" yWindow="-108" windowWidth="23256" windowHeight="12456" tabRatio="757" xr2:uid="{49B73D68-D680-4076-B8B3-1D5CB70C91AA}"/>
  </bookViews>
  <sheets>
    <sheet name="Quotation" sheetId="22" r:id="rId1"/>
    <sheet name="Commercials (C)" sheetId="21" r:id="rId2"/>
    <sheet name="Manpower-PM Cost" sheetId="25" r:id="rId3"/>
    <sheet name="Master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5" l="1"/>
  <c r="Q7" i="25"/>
  <c r="J7" i="25"/>
  <c r="I20" i="25"/>
  <c r="I21" i="25" s="1"/>
  <c r="F13" i="21"/>
  <c r="H13" i="21" s="1"/>
  <c r="G27" i="25"/>
  <c r="G28" i="25" s="1"/>
  <c r="F14" i="21" s="1"/>
  <c r="G29" i="25" l="1"/>
  <c r="I22" i="25"/>
  <c r="F15" i="21" s="1"/>
  <c r="H15" i="21" s="1"/>
  <c r="K15" i="21" s="1"/>
  <c r="J14" i="21"/>
  <c r="H14" i="21"/>
  <c r="K14" i="21" s="1"/>
  <c r="X6" i="25"/>
  <c r="X5" i="25"/>
  <c r="W7" i="25"/>
  <c r="N6" i="25"/>
  <c r="G6" i="25"/>
  <c r="K16" i="25"/>
  <c r="K15" i="25"/>
  <c r="K14" i="25"/>
  <c r="K13" i="25"/>
  <c r="L13" i="25"/>
  <c r="E13" i="25"/>
  <c r="K12" i="25"/>
  <c r="L12" i="25"/>
  <c r="E12" i="25"/>
  <c r="K11" i="25"/>
  <c r="L11" i="25"/>
  <c r="E11" i="25"/>
  <c r="N5" i="25"/>
  <c r="G5" i="25"/>
  <c r="J15" i="21" l="1"/>
  <c r="X7" i="25"/>
  <c r="L14" i="25"/>
  <c r="L15" i="25" s="1"/>
  <c r="L16" i="25" s="1"/>
  <c r="G7" i="25"/>
  <c r="E14" i="25"/>
  <c r="E15" i="25" s="1"/>
  <c r="E16" i="25" s="1"/>
  <c r="N7" i="25"/>
  <c r="H9" i="21" l="1"/>
  <c r="H10" i="21"/>
  <c r="J10" i="21" s="1"/>
  <c r="D3" i="21"/>
  <c r="E5" i="22"/>
  <c r="J13" i="21" l="1"/>
  <c r="K10" i="21"/>
  <c r="J16" i="21" l="1"/>
  <c r="J17" i="21" l="1"/>
  <c r="K13" i="21"/>
  <c r="K16" i="21" s="1"/>
  <c r="H16" i="21"/>
  <c r="H11" i="21" l="1"/>
  <c r="H12" i="21" s="1"/>
  <c r="H17" i="21" s="1"/>
  <c r="J9" i="21"/>
  <c r="J11" i="21" s="1"/>
  <c r="K9" i="21"/>
  <c r="J12" i="21" l="1"/>
  <c r="K11" i="21"/>
  <c r="K12" i="21" s="1"/>
  <c r="K17" i="21" s="1"/>
</calcChain>
</file>

<file path=xl/sharedStrings.xml><?xml version="1.0" encoding="utf-8"?>
<sst xmlns="http://schemas.openxmlformats.org/spreadsheetml/2006/main" count="169" uniqueCount="120">
  <si>
    <t>Total</t>
  </si>
  <si>
    <t>Type of Manpower</t>
  </si>
  <si>
    <t>Travel Allowance</t>
  </si>
  <si>
    <t>Days per trip</t>
  </si>
  <si>
    <t>Project Coordinator</t>
  </si>
  <si>
    <t>Misc Travel</t>
  </si>
  <si>
    <t>Per Month</t>
  </si>
  <si>
    <t>One Time</t>
  </si>
  <si>
    <t xml:space="preserve">Customer </t>
  </si>
  <si>
    <t xml:space="preserve">Date </t>
  </si>
  <si>
    <t>Stay Cost per Day</t>
  </si>
  <si>
    <t xml:space="preserve">Contract Year </t>
  </si>
  <si>
    <t>Platform Subscription Fee</t>
  </si>
  <si>
    <t>Unit Price</t>
  </si>
  <si>
    <t>Count per shift</t>
  </si>
  <si>
    <t>Nos. of shifts</t>
  </si>
  <si>
    <t>Duration in Months</t>
  </si>
  <si>
    <t>One Time Cost</t>
  </si>
  <si>
    <t>Type</t>
  </si>
  <si>
    <t>Per Year</t>
  </si>
  <si>
    <t>Items</t>
  </si>
  <si>
    <t>Details</t>
  </si>
  <si>
    <t>Unit Cost</t>
  </si>
  <si>
    <t>Nos. of years</t>
  </si>
  <si>
    <t>Software Subscription cost per month</t>
  </si>
  <si>
    <t>Annual Subscription fee</t>
  </si>
  <si>
    <t>Equipment</t>
  </si>
  <si>
    <t>Cost</t>
  </si>
  <si>
    <t>Model</t>
  </si>
  <si>
    <t>Margin</t>
  </si>
  <si>
    <t>Count</t>
  </si>
  <si>
    <t>Gate In</t>
  </si>
  <si>
    <t>Gate Out</t>
  </si>
  <si>
    <t>Other</t>
  </si>
  <si>
    <t>Location</t>
  </si>
  <si>
    <t>ERP Integration</t>
  </si>
  <si>
    <t>Implementation Cost</t>
  </si>
  <si>
    <t>Total Cost to Axestrack</t>
  </si>
  <si>
    <t>Cost for Customer</t>
  </si>
  <si>
    <t>Travel Cost</t>
  </si>
  <si>
    <t>Subscription Fee</t>
  </si>
  <si>
    <t>Quotation</t>
  </si>
  <si>
    <t>QUOTE #</t>
  </si>
  <si>
    <t>DATE</t>
  </si>
  <si>
    <t>CUSTOMER INFO</t>
  </si>
  <si>
    <t>DESCRIPTION OF WORK</t>
  </si>
  <si>
    <t>S.No.</t>
  </si>
  <si>
    <t>Terms &amp; Conditions</t>
  </si>
  <si>
    <t>Unit price on Margin</t>
  </si>
  <si>
    <t>GSTIN</t>
  </si>
  <si>
    <t>08AACCH0299P1Z1</t>
  </si>
  <si>
    <t>MSME No</t>
  </si>
  <si>
    <t>UDYAM-RJ-17-0051921</t>
  </si>
  <si>
    <t>Contact</t>
  </si>
  <si>
    <t>Quote Validity : 15 days from submitted date</t>
  </si>
  <si>
    <t>Phone</t>
  </si>
  <si>
    <t>Email Id</t>
  </si>
  <si>
    <t>Name</t>
  </si>
  <si>
    <t>Mid-Sea Transfer</t>
  </si>
  <si>
    <t>Discharge at Berth/ Jetty</t>
  </si>
  <si>
    <t>Unloading at Stock Yard/ Plot</t>
  </si>
  <si>
    <t>Loading at Stock Yard/ Plot</t>
  </si>
  <si>
    <t>Tare Weight</t>
  </si>
  <si>
    <t>Gross Weight</t>
  </si>
  <si>
    <t>Cost per Resource per month</t>
  </si>
  <si>
    <t>Software Engineers</t>
  </si>
  <si>
    <t>Current Equipments</t>
  </si>
  <si>
    <t>Productivity per resource</t>
  </si>
  <si>
    <t>Resources Required</t>
  </si>
  <si>
    <t>Planned Equipments</t>
  </si>
  <si>
    <t>Machines</t>
  </si>
  <si>
    <t>Gate Lanes</t>
  </si>
  <si>
    <t>Vehicles</t>
  </si>
  <si>
    <t>Onsite</t>
  </si>
  <si>
    <t>MIS</t>
  </si>
  <si>
    <t>Project Management Cost (c)</t>
  </si>
  <si>
    <t>Frequency
(Annually)</t>
  </si>
  <si>
    <t>This is formula driven sheet.</t>
  </si>
  <si>
    <t xml:space="preserve">Please update the - </t>
  </si>
  <si>
    <t xml:space="preserve">(a) Installation, Training &amp; Configuration Cost </t>
  </si>
  <si>
    <t xml:space="preserve">(b) Onsite Manpower, Support &amp; Maintenance Cost </t>
  </si>
  <si>
    <t>(c) Project Management Cost</t>
  </si>
  <si>
    <t>Development &amp; Implementation  (a)</t>
  </si>
  <si>
    <t>W1 to W2</t>
  </si>
  <si>
    <t>Training, Configuration &amp; Testing</t>
  </si>
  <si>
    <t>W3 to W4</t>
  </si>
  <si>
    <t>W5 to W8</t>
  </si>
  <si>
    <t>W9</t>
  </si>
  <si>
    <t>W10</t>
  </si>
  <si>
    <t>W11</t>
  </si>
  <si>
    <t>W12</t>
  </si>
  <si>
    <t>Hypercare</t>
  </si>
  <si>
    <t>ABGT</t>
  </si>
  <si>
    <t>Development, Configuration, Testing &amp; Training Cost</t>
  </si>
  <si>
    <t>PMO Cost</t>
  </si>
  <si>
    <t>Total One Time Cost</t>
  </si>
  <si>
    <t>Total Subscription &amp; PMO Cost</t>
  </si>
  <si>
    <t>Total Cost of the Project</t>
  </si>
  <si>
    <t>Deepak Kumar Rout</t>
  </si>
  <si>
    <t xml:space="preserve">deepak.rout@axestrack.com </t>
  </si>
  <si>
    <t>+91 8306789427</t>
  </si>
  <si>
    <t xml:space="preserve">Mr. Ishan Wadhwa </t>
  </si>
  <si>
    <t>ishan.wadhwa@abgtradingindia.com</t>
  </si>
  <si>
    <t>Aditya Birla Global Trading</t>
  </si>
  <si>
    <t>Commercials for the proposed solution aim to provide the digital layer for goods visibility, utilizing cutting-edge technology under the Connected Port Logistics initiative, this solution will enhance efficiency, transparency, and coordination within the port operations</t>
  </si>
  <si>
    <t>Thanks for business with Axestrack Software Solution Pvt. Ltd.</t>
  </si>
  <si>
    <t>Total Setup, Training &amp; Integration Cost</t>
  </si>
  <si>
    <t>Tablet (Industrial Grade)</t>
  </si>
  <si>
    <t>Support</t>
  </si>
  <si>
    <t>Support Cost</t>
  </si>
  <si>
    <t>Total per month</t>
  </si>
  <si>
    <t>Subscription Fee per port</t>
  </si>
  <si>
    <t>Monthky Support Cost (d)</t>
  </si>
  <si>
    <t>Support Engineer (Offshore)</t>
  </si>
  <si>
    <t>Implementation &amp; Training Cost
(per port)</t>
  </si>
  <si>
    <t>+91 9560035056</t>
  </si>
  <si>
    <t>Gurugram</t>
  </si>
  <si>
    <r>
      <rPr>
        <b/>
        <sz val="11"/>
        <color theme="1"/>
        <rFont val="Arial"/>
        <family val="2"/>
      </rPr>
      <t xml:space="preserve">Address </t>
    </r>
    <r>
      <rPr>
        <sz val="11"/>
        <color theme="1"/>
        <rFont val="Arial"/>
        <family val="2"/>
      </rPr>
      <t>- Corporate HQ : 
Axestrack Software Solutions Pvt. Ltd., Office No.-19, 6th Floor, Jaipur Electronic Market, 
Near Riddhi Siddhi, Gopalpura bypass, Jaipur - 302018 , Rajasthan, India</t>
    </r>
  </si>
  <si>
    <t>•	Payment will be on milestone basis
       •	Milestone 1: 100% of implementation cost at the time of project kick-off.
•	Post Go-live, the billing will be in advance for 1 year on pro-rata basis. 
•	100% payments to be made within 30 days from the date of receipt of original or digitally signed invoice. In case of further delay, overdue charges of 1.5% per month will be charged
•	Billing validation/certification to be made within 7 days from the date of provisional bill submission. 
•	All the prices mentioned in proposal are in rupees and exclusive of GST. Taxes as per applicable.
•	Minimum contract period is for 3 Years post Go-Live.
.</t>
  </si>
  <si>
    <t>ABGT/DR/250111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</si>
</sst>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&gt;99999]##\,##\,##0.00;[&lt;-99999.99]\-##\,##\,##0.00;##,##0.00"/>
    <numFmt numFmtId="166" formatCode="_(* #,##0_);_(* \(#,##0\);_(* &quot;-&quot;??_);_(@_)"/>
    <numFmt numFmtId="167" formatCode="[$-F800]dddd\,\ mmmm\ dd\,\ yyyy"/>
    <numFmt numFmtId="168" formatCode="0.00000000_);\(0.00000000\)"/>
    <numFmt numFmtId="169" formatCode="0.0000%"/>
    <numFmt numFmtId="170" formatCode="[$-14009]dd\ mmmm\ yy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4"/>
      <color theme="5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4"/>
      <name val="Arial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rgb="FFD4D4D4"/>
      </patternFill>
    </fill>
    <fill>
      <patternFill patternType="solid">
        <fgColor theme="4"/>
        <bgColor rgb="FFD4D4D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D4D4D4"/>
      </patternFill>
    </fill>
    <fill>
      <patternFill patternType="solid">
        <fgColor theme="2"/>
        <bgColor rgb="FFD4D4D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32">
    <xf numFmtId="0" fontId="0" fillId="0" borderId="0" xfId="0"/>
    <xf numFmtId="0" fontId="2" fillId="0" borderId="1" xfId="0" applyFont="1" applyBorder="1" applyAlignment="1">
      <alignment horizontal="left" wrapText="1" readingOrder="1"/>
    </xf>
    <xf numFmtId="0" fontId="0" fillId="0" borderId="1" xfId="0" applyBorder="1"/>
    <xf numFmtId="0" fontId="6" fillId="0" borderId="1" xfId="0" applyFont="1" applyBorder="1" applyAlignment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166" fontId="6" fillId="0" borderId="1" xfId="1" applyNumberFormat="1" applyFont="1" applyFill="1" applyBorder="1"/>
    <xf numFmtId="0" fontId="6" fillId="0" borderId="1" xfId="0" applyFont="1" applyBorder="1" applyAlignment="1">
      <alignment horizontal="center" vertical="center"/>
    </xf>
    <xf numFmtId="0" fontId="4" fillId="2" borderId="1" xfId="0" applyFont="1" applyFill="1" applyBorder="1"/>
    <xf numFmtId="0" fontId="4" fillId="2" borderId="0" xfId="0" applyFont="1" applyFill="1"/>
    <xf numFmtId="0" fontId="0" fillId="4" borderId="1" xfId="0" applyFill="1" applyBorder="1"/>
    <xf numFmtId="0" fontId="8" fillId="0" borderId="0" xfId="0" applyFont="1" applyAlignment="1">
      <alignment horizontal="left" readingOrder="1"/>
    </xf>
    <xf numFmtId="0" fontId="8" fillId="0" borderId="0" xfId="0" applyFont="1"/>
    <xf numFmtId="9" fontId="6" fillId="3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0" borderId="0" xfId="0" applyFont="1"/>
    <xf numFmtId="0" fontId="6" fillId="5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65" fontId="0" fillId="0" borderId="0" xfId="0" applyNumberFormat="1"/>
    <xf numFmtId="0" fontId="11" fillId="0" borderId="3" xfId="0" applyFont="1" applyBorder="1" applyAlignment="1">
      <alignment horizontal="center"/>
    </xf>
    <xf numFmtId="0" fontId="11" fillId="0" borderId="0" xfId="0" applyFont="1"/>
    <xf numFmtId="0" fontId="11" fillId="0" borderId="7" xfId="0" applyFont="1" applyBorder="1" applyAlignment="1">
      <alignment horizontal="center"/>
    </xf>
    <xf numFmtId="3" fontId="11" fillId="0" borderId="11" xfId="0" applyNumberFormat="1" applyFont="1" applyBorder="1" applyAlignment="1">
      <alignment horizontal="center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167" fontId="11" fillId="0" borderId="7" xfId="0" applyNumberFormat="1" applyFont="1" applyBorder="1" applyAlignment="1">
      <alignment horizontal="center"/>
    </xf>
    <xf numFmtId="168" fontId="0" fillId="0" borderId="0" xfId="0" applyNumberFormat="1"/>
    <xf numFmtId="169" fontId="0" fillId="0" borderId="0" xfId="2" applyNumberFormat="1" applyFont="1"/>
    <xf numFmtId="169" fontId="0" fillId="0" borderId="0" xfId="0" applyNumberFormat="1"/>
    <xf numFmtId="10" fontId="6" fillId="5" borderId="2" xfId="0" applyNumberFormat="1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 wrapText="1"/>
    </xf>
    <xf numFmtId="166" fontId="2" fillId="0" borderId="1" xfId="1" applyNumberFormat="1" applyFont="1" applyFill="1" applyBorder="1" applyAlignment="1">
      <alignment horizontal="right" wrapText="1" readingOrder="1"/>
    </xf>
    <xf numFmtId="166" fontId="2" fillId="0" borderId="1" xfId="1" applyNumberFormat="1" applyFont="1" applyFill="1" applyBorder="1" applyAlignment="1">
      <alignment horizontal="right" vertical="center" wrapText="1" readingOrder="1"/>
    </xf>
    <xf numFmtId="166" fontId="3" fillId="4" borderId="1" xfId="1" applyNumberFormat="1" applyFont="1" applyFill="1" applyBorder="1" applyAlignment="1">
      <alignment horizontal="right" vertical="center" wrapText="1" readingOrder="1"/>
    </xf>
    <xf numFmtId="166" fontId="3" fillId="6" borderId="1" xfId="1" applyNumberFormat="1" applyFont="1" applyFill="1" applyBorder="1" applyAlignment="1">
      <alignment horizontal="right" vertical="center" wrapText="1" readingOrder="1"/>
    </xf>
    <xf numFmtId="166" fontId="10" fillId="10" borderId="2" xfId="1" applyNumberFormat="1" applyFont="1" applyFill="1" applyBorder="1" applyAlignment="1">
      <alignment horizontal="right" vertical="center" wrapText="1" readingOrder="1"/>
    </xf>
    <xf numFmtId="166" fontId="2" fillId="0" borderId="7" xfId="1" applyNumberFormat="1" applyFont="1" applyFill="1" applyBorder="1" applyAlignment="1">
      <alignment horizontal="right" vertical="center" wrapText="1" readingOrder="1"/>
    </xf>
    <xf numFmtId="166" fontId="3" fillId="4" borderId="7" xfId="1" applyNumberFormat="1" applyFont="1" applyFill="1" applyBorder="1" applyAlignment="1">
      <alignment horizontal="right" vertical="center" wrapText="1" readingOrder="1"/>
    </xf>
    <xf numFmtId="166" fontId="3" fillId="6" borderId="7" xfId="1" applyNumberFormat="1" applyFont="1" applyFill="1" applyBorder="1" applyAlignment="1">
      <alignment horizontal="right" vertical="center" wrapText="1" readingOrder="1"/>
    </xf>
    <xf numFmtId="166" fontId="6" fillId="3" borderId="24" xfId="1" applyNumberFormat="1" applyFont="1" applyFill="1" applyBorder="1" applyAlignment="1">
      <alignment horizontal="center" vertical="center"/>
    </xf>
    <xf numFmtId="164" fontId="0" fillId="0" borderId="0" xfId="0" applyNumberFormat="1"/>
    <xf numFmtId="0" fontId="14" fillId="0" borderId="0" xfId="0" applyFont="1"/>
    <xf numFmtId="0" fontId="4" fillId="4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17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166" fontId="3" fillId="8" borderId="1" xfId="1" applyNumberFormat="1" applyFont="1" applyFill="1" applyBorder="1" applyAlignment="1">
      <alignment horizontal="right" wrapText="1" readingOrder="1"/>
    </xf>
    <xf numFmtId="166" fontId="6" fillId="0" borderId="1" xfId="0" applyNumberFormat="1" applyFont="1" applyBorder="1" applyAlignment="1">
      <alignment horizontal="center"/>
    </xf>
    <xf numFmtId="0" fontId="13" fillId="0" borderId="0" xfId="0" applyFont="1"/>
    <xf numFmtId="0" fontId="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4" fillId="0" borderId="1" xfId="0" applyFont="1" applyBorder="1"/>
    <xf numFmtId="0" fontId="0" fillId="0" borderId="25" xfId="0" applyBorder="1"/>
    <xf numFmtId="0" fontId="0" fillId="0" borderId="1" xfId="0" applyBorder="1" applyAlignment="1">
      <alignment horizontal="right"/>
    </xf>
    <xf numFmtId="0" fontId="4" fillId="17" borderId="1" xfId="0" applyFont="1" applyFill="1" applyBorder="1"/>
    <xf numFmtId="0" fontId="15" fillId="0" borderId="1" xfId="0" applyFont="1" applyBorder="1"/>
    <xf numFmtId="0" fontId="0" fillId="17" borderId="1" xfId="0" applyFill="1" applyBorder="1"/>
    <xf numFmtId="0" fontId="4" fillId="0" borderId="25" xfId="0" applyFont="1" applyBorder="1" applyAlignment="1">
      <alignment horizontal="right"/>
    </xf>
    <xf numFmtId="0" fontId="4" fillId="17" borderId="25" xfId="0" applyFont="1" applyFill="1" applyBorder="1"/>
    <xf numFmtId="0" fontId="14" fillId="0" borderId="25" xfId="0" applyFont="1" applyBorder="1"/>
    <xf numFmtId="0" fontId="15" fillId="0" borderId="25" xfId="0" applyFont="1" applyBorder="1"/>
    <xf numFmtId="0" fontId="5" fillId="4" borderId="1" xfId="0" applyFont="1" applyFill="1" applyBorder="1" applyAlignment="1">
      <alignment vertical="center" wrapText="1"/>
    </xf>
    <xf numFmtId="1" fontId="0" fillId="0" borderId="1" xfId="0" applyNumberFormat="1" applyBorder="1"/>
    <xf numFmtId="166" fontId="2" fillId="0" borderId="16" xfId="1" applyNumberFormat="1" applyFont="1" applyFill="1" applyBorder="1" applyAlignment="1">
      <alignment horizontal="right" vertical="center" wrapText="1" readingOrder="1"/>
    </xf>
    <xf numFmtId="166" fontId="0" fillId="0" borderId="0" xfId="0" applyNumberFormat="1"/>
    <xf numFmtId="1" fontId="0" fillId="0" borderId="0" xfId="0" applyNumberFormat="1"/>
    <xf numFmtId="0" fontId="5" fillId="8" borderId="0" xfId="0" applyFont="1" applyFill="1" applyAlignment="1">
      <alignment horizontal="center"/>
    </xf>
    <xf numFmtId="166" fontId="3" fillId="8" borderId="0" xfId="1" applyNumberFormat="1" applyFont="1" applyFill="1" applyBorder="1" applyAlignment="1">
      <alignment horizontal="right" wrapText="1" readingOrder="1"/>
    </xf>
    <xf numFmtId="0" fontId="6" fillId="0" borderId="0" xfId="0" applyFont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/>
    <xf numFmtId="0" fontId="18" fillId="9" borderId="1" xfId="0" applyFont="1" applyFill="1" applyBorder="1" applyAlignment="1">
      <alignment vertical="center"/>
    </xf>
    <xf numFmtId="0" fontId="17" fillId="0" borderId="1" xfId="0" applyFont="1" applyBorder="1" applyAlignment="1">
      <alignment horizontal="left" vertical="center"/>
    </xf>
    <xf numFmtId="0" fontId="18" fillId="14" borderId="1" xfId="0" applyFont="1" applyFill="1" applyBorder="1" applyAlignment="1">
      <alignment horizontal="center" vertical="center"/>
    </xf>
    <xf numFmtId="170" fontId="17" fillId="0" borderId="1" xfId="0" applyNumberFormat="1" applyFont="1" applyBorder="1" applyAlignment="1">
      <alignment horizontal="center" vertical="center"/>
    </xf>
    <xf numFmtId="0" fontId="17" fillId="0" borderId="1" xfId="0" quotePrefix="1" applyFont="1" applyBorder="1" applyAlignment="1">
      <alignment horizontal="left" vertical="center"/>
    </xf>
    <xf numFmtId="0" fontId="16" fillId="0" borderId="1" xfId="3" applyBorder="1" applyAlignment="1">
      <alignment horizontal="left" vertical="center"/>
    </xf>
    <xf numFmtId="0" fontId="18" fillId="15" borderId="1" xfId="0" applyFont="1" applyFill="1" applyBorder="1" applyAlignment="1">
      <alignment horizontal="left" vertical="center"/>
    </xf>
    <xf numFmtId="0" fontId="18" fillId="15" borderId="1" xfId="0" applyFont="1" applyFill="1" applyBorder="1" applyAlignment="1">
      <alignment vertical="center"/>
    </xf>
    <xf numFmtId="0" fontId="17" fillId="0" borderId="0" xfId="0" applyFont="1" applyAlignment="1">
      <alignment wrapText="1"/>
    </xf>
    <xf numFmtId="0" fontId="21" fillId="12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vertical="center"/>
    </xf>
    <xf numFmtId="166" fontId="20" fillId="0" borderId="1" xfId="1" applyNumberFormat="1" applyFont="1" applyFill="1" applyBorder="1" applyAlignment="1">
      <alignment horizontal="right" vertical="center" wrapText="1" readingOrder="1"/>
    </xf>
    <xf numFmtId="166" fontId="17" fillId="0" borderId="0" xfId="0" applyNumberFormat="1" applyFont="1"/>
    <xf numFmtId="0" fontId="17" fillId="0" borderId="1" xfId="0" quotePrefix="1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/>
    </xf>
    <xf numFmtId="0" fontId="18" fillId="13" borderId="1" xfId="0" applyFont="1" applyFill="1" applyBorder="1" applyAlignment="1">
      <alignment horizontal="center" vertical="top"/>
    </xf>
    <xf numFmtId="0" fontId="21" fillId="0" borderId="1" xfId="0" applyFont="1" applyBorder="1" applyAlignment="1">
      <alignment horizontal="center" vertical="center"/>
    </xf>
    <xf numFmtId="0" fontId="18" fillId="14" borderId="1" xfId="0" applyFont="1" applyFill="1" applyBorder="1" applyAlignment="1">
      <alignment horizontal="left" vertical="center"/>
    </xf>
    <xf numFmtId="0" fontId="20" fillId="0" borderId="1" xfId="0" applyFont="1" applyBorder="1" applyAlignment="1">
      <alignment horizontal="left" vertical="center" wrapText="1"/>
    </xf>
    <xf numFmtId="0" fontId="18" fillId="11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6" fillId="0" borderId="1" xfId="3" applyBorder="1" applyAlignment="1">
      <alignment horizontal="left" vertical="center"/>
    </xf>
    <xf numFmtId="0" fontId="17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/>
    </xf>
    <xf numFmtId="0" fontId="9" fillId="10" borderId="19" xfId="0" applyFont="1" applyFill="1" applyBorder="1" applyAlignment="1">
      <alignment horizontal="right" vertical="center"/>
    </xf>
    <xf numFmtId="0" fontId="9" fillId="10" borderId="12" xfId="0" applyFont="1" applyFill="1" applyBorder="1" applyAlignment="1">
      <alignment horizontal="right" vertical="center"/>
    </xf>
    <xf numFmtId="0" fontId="9" fillId="10" borderId="10" xfId="0" applyFont="1" applyFill="1" applyBorder="1" applyAlignment="1">
      <alignment horizontal="right" vertical="center"/>
    </xf>
    <xf numFmtId="0" fontId="5" fillId="0" borderId="1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6" borderId="15" xfId="0" applyFont="1" applyFill="1" applyBorder="1" applyAlignment="1">
      <alignment horizontal="right" vertical="center"/>
    </xf>
    <xf numFmtId="0" fontId="5" fillId="6" borderId="16" xfId="0" applyFont="1" applyFill="1" applyBorder="1" applyAlignment="1">
      <alignment horizontal="right" vertical="center"/>
    </xf>
    <xf numFmtId="0" fontId="5" fillId="6" borderId="9" xfId="0" applyFont="1" applyFill="1" applyBorder="1" applyAlignment="1">
      <alignment horizontal="right" vertical="center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9" fillId="4" borderId="17" xfId="0" applyFont="1" applyFill="1" applyBorder="1" applyAlignment="1">
      <alignment horizontal="left"/>
    </xf>
    <xf numFmtId="0" fontId="9" fillId="4" borderId="2" xfId="0" applyFont="1" applyFill="1" applyBorder="1" applyAlignment="1">
      <alignment horizontal="left"/>
    </xf>
    <xf numFmtId="0" fontId="9" fillId="4" borderId="13" xfId="0" applyFont="1" applyFill="1" applyBorder="1" applyAlignment="1">
      <alignment horizontal="left"/>
    </xf>
    <xf numFmtId="0" fontId="9" fillId="4" borderId="8" xfId="0" applyFont="1" applyFill="1" applyBorder="1" applyAlignment="1">
      <alignment horizontal="left"/>
    </xf>
    <xf numFmtId="0" fontId="9" fillId="4" borderId="14" xfId="0" applyFont="1" applyFill="1" applyBorder="1" applyAlignment="1">
      <alignment horizontal="left"/>
    </xf>
    <xf numFmtId="0" fontId="9" fillId="4" borderId="1" xfId="0" applyFont="1" applyFill="1" applyBorder="1" applyAlignment="1">
      <alignment horizontal="left"/>
    </xf>
    <xf numFmtId="0" fontId="9" fillId="4" borderId="20" xfId="0" applyFont="1" applyFill="1" applyBorder="1" applyAlignment="1">
      <alignment horizontal="left"/>
    </xf>
    <xf numFmtId="0" fontId="9" fillId="4" borderId="9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center" vertical="center"/>
    </xf>
    <xf numFmtId="0" fontId="7" fillId="16" borderId="15" xfId="0" applyFont="1" applyFill="1" applyBorder="1" applyAlignment="1">
      <alignment horizontal="center" vertical="center" wrapText="1"/>
    </xf>
    <xf numFmtId="0" fontId="7" fillId="16" borderId="16" xfId="0" applyFont="1" applyFill="1" applyBorder="1" applyAlignment="1">
      <alignment horizontal="center" vertical="center" wrapText="1"/>
    </xf>
    <xf numFmtId="0" fontId="7" fillId="16" borderId="9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5" fillId="7" borderId="15" xfId="0" applyFont="1" applyFill="1" applyBorder="1" applyAlignment="1">
      <alignment horizontal="center" vertical="center"/>
    </xf>
    <xf numFmtId="0" fontId="5" fillId="7" borderId="16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226380</xdr:colOff>
      <xdr:row>1</xdr:row>
      <xdr:rowOff>7651</xdr:rowOff>
    </xdr:from>
    <xdr:to>
      <xdr:col>2</xdr:col>
      <xdr:colOff>1808766</xdr:colOff>
      <xdr:row>1</xdr:row>
      <xdr:rowOff>564592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A6FD76-AC13-4AB3-A485-C8B366C73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8780" y="177636"/>
          <a:ext cx="2373694" cy="5569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shan.wadhwa@abgtradingindia.com" TargetMode="External"/><Relationship Id="rId1" Type="http://schemas.openxmlformats.org/officeDocument/2006/relationships/hyperlink" Target="mailto:deepak.rout@axestrack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CBBEF-F4A1-46A1-A8A1-CF8780E683E5}">
  <sheetPr codeName="Sheet1">
    <tabColor theme="9"/>
  </sheetPr>
  <dimension ref="B2:F25"/>
  <sheetViews>
    <sheetView tabSelected="1" zoomScaleNormal="100" workbookViewId="0">
      <selection activeCell="B24" sqref="B24:E24"/>
    </sheetView>
  </sheetViews>
  <sheetFormatPr defaultRowHeight="13.8" x14ac:dyDescent="0.25"/>
  <cols>
    <col min="1" max="1" width="2.21875" style="74" customWidth="1"/>
    <col min="2" max="2" width="11.5546875" style="74" customWidth="1"/>
    <col min="3" max="3" width="40.109375" style="83" customWidth="1"/>
    <col min="4" max="5" width="21.33203125" style="74" customWidth="1"/>
    <col min="6" max="16384" width="8.88671875" style="74"/>
  </cols>
  <sheetData>
    <row r="2" spans="2:5" ht="51.6" customHeight="1" x14ac:dyDescent="0.25">
      <c r="B2" s="96"/>
      <c r="C2" s="96"/>
      <c r="D2" s="98" t="s">
        <v>41</v>
      </c>
      <c r="E2" s="98"/>
    </row>
    <row r="3" spans="2:5" ht="57.6" customHeight="1" x14ac:dyDescent="0.25">
      <c r="B3" s="100" t="s">
        <v>117</v>
      </c>
      <c r="C3" s="100"/>
      <c r="D3" s="100"/>
      <c r="E3" s="100"/>
    </row>
    <row r="4" spans="2:5" ht="16.2" customHeight="1" x14ac:dyDescent="0.25">
      <c r="B4" s="75" t="s">
        <v>49</v>
      </c>
      <c r="C4" s="76" t="s">
        <v>50</v>
      </c>
      <c r="D4" s="77" t="s">
        <v>42</v>
      </c>
      <c r="E4" s="77" t="s">
        <v>43</v>
      </c>
    </row>
    <row r="5" spans="2:5" ht="16.2" customHeight="1" x14ac:dyDescent="0.25">
      <c r="B5" s="75" t="s">
        <v>51</v>
      </c>
      <c r="C5" s="76" t="s">
        <v>52</v>
      </c>
      <c r="D5" s="73" t="s">
        <v>119</v>
      </c>
      <c r="E5" s="78">
        <f ca="1">TODAY()</f>
        <v>45667</v>
      </c>
    </row>
    <row r="6" spans="2:5" ht="16.2" customHeight="1" x14ac:dyDescent="0.25">
      <c r="B6" s="75" t="s">
        <v>53</v>
      </c>
      <c r="C6" s="76" t="s">
        <v>98</v>
      </c>
      <c r="D6" s="97" t="s">
        <v>54</v>
      </c>
      <c r="E6" s="97"/>
    </row>
    <row r="7" spans="2:5" ht="16.2" customHeight="1" x14ac:dyDescent="0.25">
      <c r="B7" s="75" t="s">
        <v>55</v>
      </c>
      <c r="C7" s="79" t="s">
        <v>100</v>
      </c>
      <c r="D7" s="97"/>
      <c r="E7" s="97"/>
    </row>
    <row r="8" spans="2:5" ht="16.2" customHeight="1" x14ac:dyDescent="0.25">
      <c r="B8" s="75" t="s">
        <v>56</v>
      </c>
      <c r="C8" s="80" t="s">
        <v>99</v>
      </c>
      <c r="D8" s="97"/>
      <c r="E8" s="97"/>
    </row>
    <row r="9" spans="2:5" ht="11.4" customHeight="1" x14ac:dyDescent="0.25">
      <c r="B9" s="96"/>
      <c r="C9" s="96"/>
      <c r="D9" s="96"/>
      <c r="E9" s="96"/>
    </row>
    <row r="10" spans="2:5" ht="16.2" customHeight="1" x14ac:dyDescent="0.25">
      <c r="B10" s="93" t="s">
        <v>44</v>
      </c>
      <c r="C10" s="93"/>
      <c r="D10" s="93"/>
      <c r="E10" s="93"/>
    </row>
    <row r="11" spans="2:5" ht="16.2" customHeight="1" x14ac:dyDescent="0.25">
      <c r="B11" s="81" t="s">
        <v>57</v>
      </c>
      <c r="C11" s="90" t="s">
        <v>103</v>
      </c>
      <c r="D11" s="90"/>
      <c r="E11" s="90"/>
    </row>
    <row r="12" spans="2:5" ht="16.2" customHeight="1" x14ac:dyDescent="0.25">
      <c r="B12" s="81" t="s">
        <v>34</v>
      </c>
      <c r="C12" s="101" t="s">
        <v>116</v>
      </c>
      <c r="D12" s="101"/>
      <c r="E12" s="101"/>
    </row>
    <row r="13" spans="2:5" ht="16.2" customHeight="1" x14ac:dyDescent="0.25">
      <c r="B13" s="81" t="s">
        <v>53</v>
      </c>
      <c r="C13" s="76" t="s">
        <v>101</v>
      </c>
      <c r="D13" s="82" t="s">
        <v>55</v>
      </c>
      <c r="E13" s="79" t="s">
        <v>115</v>
      </c>
    </row>
    <row r="14" spans="2:5" ht="16.2" customHeight="1" x14ac:dyDescent="0.25">
      <c r="B14" s="81" t="s">
        <v>56</v>
      </c>
      <c r="C14" s="99" t="s">
        <v>102</v>
      </c>
      <c r="D14" s="90"/>
      <c r="E14" s="90"/>
    </row>
    <row r="15" spans="2:5" ht="11.4" customHeight="1" x14ac:dyDescent="0.25">
      <c r="B15" s="96"/>
      <c r="C15" s="96"/>
      <c r="D15" s="96"/>
      <c r="E15" s="96"/>
    </row>
    <row r="16" spans="2:5" x14ac:dyDescent="0.25">
      <c r="B16" s="95" t="s">
        <v>45</v>
      </c>
      <c r="C16" s="95"/>
      <c r="D16" s="95"/>
      <c r="E16" s="95"/>
    </row>
    <row r="17" spans="2:6" ht="52.2" customHeight="1" x14ac:dyDescent="0.25">
      <c r="B17" s="94" t="s">
        <v>104</v>
      </c>
      <c r="C17" s="94"/>
      <c r="D17" s="94"/>
      <c r="E17" s="94"/>
    </row>
    <row r="18" spans="2:6" ht="4.2" customHeight="1" x14ac:dyDescent="0.25">
      <c r="B18" s="96"/>
      <c r="C18" s="96"/>
      <c r="D18" s="96"/>
      <c r="E18" s="96"/>
    </row>
    <row r="19" spans="2:6" s="83" customFormat="1" ht="16.2" customHeight="1" x14ac:dyDescent="0.25">
      <c r="B19" s="84" t="s">
        <v>46</v>
      </c>
      <c r="C19" s="84" t="s">
        <v>20</v>
      </c>
      <c r="D19" s="84" t="s">
        <v>18</v>
      </c>
      <c r="E19" s="84" t="s">
        <v>13</v>
      </c>
    </row>
    <row r="20" spans="2:6" ht="30.6" customHeight="1" x14ac:dyDescent="0.25">
      <c r="B20" s="73">
        <v>1</v>
      </c>
      <c r="C20" s="85" t="s">
        <v>114</v>
      </c>
      <c r="D20" s="86" t="s">
        <v>7</v>
      </c>
      <c r="E20" s="87">
        <v>450000</v>
      </c>
    </row>
    <row r="21" spans="2:6" ht="30.6" customHeight="1" x14ac:dyDescent="0.25">
      <c r="B21" s="73">
        <v>2</v>
      </c>
      <c r="C21" s="85" t="s">
        <v>111</v>
      </c>
      <c r="D21" s="86" t="s">
        <v>6</v>
      </c>
      <c r="E21" s="87">
        <v>79999</v>
      </c>
      <c r="F21" s="88"/>
    </row>
    <row r="22" spans="2:6" ht="11.4" customHeight="1" x14ac:dyDescent="0.25">
      <c r="B22" s="92"/>
      <c r="C22" s="92"/>
      <c r="D22" s="92"/>
      <c r="E22" s="92"/>
    </row>
    <row r="23" spans="2:6" ht="16.2" customHeight="1" x14ac:dyDescent="0.25">
      <c r="B23" s="91" t="s">
        <v>47</v>
      </c>
      <c r="C23" s="91"/>
      <c r="D23" s="91"/>
      <c r="E23" s="91"/>
    </row>
    <row r="24" spans="2:6" ht="192" customHeight="1" x14ac:dyDescent="0.25">
      <c r="B24" s="89" t="s">
        <v>118</v>
      </c>
      <c r="C24" s="90"/>
      <c r="D24" s="90"/>
      <c r="E24" s="90"/>
    </row>
    <row r="25" spans="2:6" ht="16.2" customHeight="1" x14ac:dyDescent="0.25">
      <c r="B25" s="91" t="s">
        <v>105</v>
      </c>
      <c r="C25" s="91"/>
      <c r="D25" s="91"/>
      <c r="E25" s="91"/>
    </row>
  </sheetData>
  <mergeCells count="17">
    <mergeCell ref="B25:E25"/>
    <mergeCell ref="D6:E8"/>
    <mergeCell ref="B2:C2"/>
    <mergeCell ref="D2:E2"/>
    <mergeCell ref="B15:E15"/>
    <mergeCell ref="B9:E9"/>
    <mergeCell ref="C14:E14"/>
    <mergeCell ref="B3:E3"/>
    <mergeCell ref="C11:E11"/>
    <mergeCell ref="C12:E12"/>
    <mergeCell ref="B24:E24"/>
    <mergeCell ref="B23:E23"/>
    <mergeCell ref="B22:E22"/>
    <mergeCell ref="B10:E10"/>
    <mergeCell ref="B17:E17"/>
    <mergeCell ref="B16:E16"/>
    <mergeCell ref="B18:E18"/>
  </mergeCells>
  <hyperlinks>
    <hyperlink ref="C8" r:id="rId1" xr:uid="{9FE68646-6827-4C86-B333-1A9AE98EBBBF}"/>
    <hyperlink ref="C14" r:id="rId2" xr:uid="{F5DFAF15-60DC-45A0-BB24-42CC215FB2E7}"/>
  </hyperlinks>
  <pageMargins left="0.25" right="0.25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4A461-A342-4281-B5A7-98045F47E18A}">
  <sheetPr codeName="Sheet3">
    <tabColor theme="9" tint="0.39997558519241921"/>
  </sheetPr>
  <dimension ref="B1:M22"/>
  <sheetViews>
    <sheetView zoomScale="70" zoomScaleNormal="70" workbookViewId="0">
      <selection activeCell="K10" sqref="K10"/>
    </sheetView>
  </sheetViews>
  <sheetFormatPr defaultRowHeight="14.4" x14ac:dyDescent="0.3"/>
  <cols>
    <col min="1" max="1" width="3.44140625" customWidth="1"/>
    <col min="2" max="2" width="15.44140625" customWidth="1"/>
    <col min="3" max="3" width="33.77734375" customWidth="1"/>
    <col min="4" max="4" width="62.33203125" customWidth="1"/>
    <col min="5" max="5" width="13.21875" customWidth="1"/>
    <col min="6" max="6" width="21" customWidth="1"/>
    <col min="7" max="7" width="12.88671875" customWidth="1"/>
    <col min="8" max="8" width="31.6640625" customWidth="1"/>
    <col min="9" max="9" width="11.5546875" customWidth="1"/>
    <col min="10" max="10" width="32.33203125" customWidth="1"/>
    <col min="11" max="11" width="28.109375" customWidth="1"/>
    <col min="12" max="12" width="18" bestFit="1" customWidth="1"/>
    <col min="13" max="13" width="10.5546875" bestFit="1" customWidth="1"/>
  </cols>
  <sheetData>
    <row r="1" spans="2:13" ht="15" thickBot="1" x14ac:dyDescent="0.35"/>
    <row r="2" spans="2:13" ht="18" x14ac:dyDescent="0.35">
      <c r="B2" s="118" t="s">
        <v>8</v>
      </c>
      <c r="C2" s="119"/>
      <c r="D2" s="22" t="s">
        <v>92</v>
      </c>
      <c r="E2" s="23"/>
      <c r="F2" s="23"/>
      <c r="G2" s="15"/>
      <c r="H2" s="15"/>
      <c r="I2" s="15"/>
      <c r="J2" s="15"/>
      <c r="K2" s="15"/>
    </row>
    <row r="3" spans="2:13" ht="18" x14ac:dyDescent="0.35">
      <c r="B3" s="120" t="s">
        <v>9</v>
      </c>
      <c r="C3" s="121"/>
      <c r="D3" s="29">
        <f ca="1">TODAY()</f>
        <v>45667</v>
      </c>
      <c r="G3" s="15"/>
      <c r="H3" s="15"/>
      <c r="I3" s="15"/>
      <c r="J3" s="15"/>
      <c r="K3" s="15"/>
    </row>
    <row r="4" spans="2:13" ht="18" x14ac:dyDescent="0.35">
      <c r="B4" s="120" t="s">
        <v>11</v>
      </c>
      <c r="C4" s="121"/>
      <c r="D4" s="24">
        <v>3</v>
      </c>
      <c r="E4" s="23"/>
      <c r="F4" s="23"/>
      <c r="G4" s="15"/>
      <c r="H4" s="15"/>
      <c r="I4" s="15"/>
      <c r="J4" s="15"/>
      <c r="K4" s="15"/>
    </row>
    <row r="5" spans="2:13" ht="18.600000000000001" thickBot="1" x14ac:dyDescent="0.4">
      <c r="B5" s="122" t="s">
        <v>35</v>
      </c>
      <c r="C5" s="123"/>
      <c r="D5" s="25">
        <v>100000</v>
      </c>
      <c r="E5" s="23"/>
      <c r="F5" s="23"/>
      <c r="G5" s="15"/>
      <c r="H5" s="15"/>
      <c r="I5" s="15"/>
      <c r="J5" s="15"/>
      <c r="K5" s="15"/>
    </row>
    <row r="6" spans="2:13" ht="18.600000000000001" thickBot="1" x14ac:dyDescent="0.4">
      <c r="B6" s="116" t="s">
        <v>24</v>
      </c>
      <c r="C6" s="117"/>
      <c r="D6" s="25">
        <v>50000</v>
      </c>
      <c r="E6" s="23"/>
      <c r="F6" s="23"/>
      <c r="G6" s="15"/>
      <c r="H6" s="15"/>
      <c r="I6" s="15"/>
      <c r="J6" s="15"/>
      <c r="K6" s="15"/>
    </row>
    <row r="7" spans="2:13" ht="16.2" thickBot="1" x14ac:dyDescent="0.35">
      <c r="B7" s="15"/>
      <c r="C7" s="15"/>
      <c r="D7" s="15"/>
      <c r="E7" s="15"/>
      <c r="F7" s="15"/>
      <c r="G7" s="15"/>
      <c r="H7" s="15"/>
      <c r="I7" s="15"/>
      <c r="J7" s="15"/>
      <c r="K7" s="15"/>
    </row>
    <row r="8" spans="2:13" ht="36.6" thickBot="1" x14ac:dyDescent="0.35">
      <c r="B8" s="26" t="s">
        <v>28</v>
      </c>
      <c r="C8" s="27" t="s">
        <v>20</v>
      </c>
      <c r="D8" s="27" t="s">
        <v>21</v>
      </c>
      <c r="E8" s="27" t="s">
        <v>18</v>
      </c>
      <c r="F8" s="27" t="s">
        <v>22</v>
      </c>
      <c r="G8" s="27" t="s">
        <v>23</v>
      </c>
      <c r="H8" s="27" t="s">
        <v>37</v>
      </c>
      <c r="I8" s="27" t="s">
        <v>29</v>
      </c>
      <c r="J8" s="34" t="s">
        <v>48</v>
      </c>
      <c r="K8" s="28" t="s">
        <v>38</v>
      </c>
    </row>
    <row r="9" spans="2:13" ht="15.6" x14ac:dyDescent="0.3">
      <c r="B9" s="105" t="s">
        <v>17</v>
      </c>
      <c r="C9" s="106" t="s">
        <v>36</v>
      </c>
      <c r="D9" s="17" t="s">
        <v>93</v>
      </c>
      <c r="E9" s="17" t="s">
        <v>7</v>
      </c>
      <c r="F9" s="16"/>
      <c r="G9" s="16"/>
      <c r="H9" s="36">
        <f>'Manpower-PM Cost'!G7+'Manpower-PM Cost'!N7+'Manpower-PM Cost'!X7</f>
        <v>260000</v>
      </c>
      <c r="I9" s="13">
        <v>0.2</v>
      </c>
      <c r="J9" s="43">
        <f>H9/(1-I9)</f>
        <v>325000</v>
      </c>
      <c r="K9" s="40">
        <f t="shared" ref="K9:K10" si="0">H9/(1-I9)</f>
        <v>325000</v>
      </c>
    </row>
    <row r="10" spans="2:13" ht="15.6" x14ac:dyDescent="0.3">
      <c r="B10" s="105"/>
      <c r="C10" s="106"/>
      <c r="D10" s="3" t="s">
        <v>35</v>
      </c>
      <c r="E10" s="3" t="s">
        <v>7</v>
      </c>
      <c r="F10" s="16"/>
      <c r="G10" s="16"/>
      <c r="H10" s="36">
        <f>D5</f>
        <v>100000</v>
      </c>
      <c r="I10" s="13">
        <v>0.2</v>
      </c>
      <c r="J10" s="43">
        <f>H10/(1-I10)</f>
        <v>125000</v>
      </c>
      <c r="K10" s="40">
        <f t="shared" si="0"/>
        <v>125000</v>
      </c>
    </row>
    <row r="11" spans="2:13" ht="15.6" x14ac:dyDescent="0.3">
      <c r="B11" s="105"/>
      <c r="C11" s="106"/>
      <c r="D11" s="18" t="s">
        <v>106</v>
      </c>
      <c r="E11" s="18"/>
      <c r="F11" s="18"/>
      <c r="G11" s="18"/>
      <c r="H11" s="37">
        <f>SUM(H9:H10)</f>
        <v>360000</v>
      </c>
      <c r="I11" s="19"/>
      <c r="J11" s="37">
        <f>SUM(J9:J10)</f>
        <v>450000</v>
      </c>
      <c r="K11" s="41">
        <f>SUM(K9:K10)</f>
        <v>450000</v>
      </c>
    </row>
    <row r="12" spans="2:13" ht="15.6" x14ac:dyDescent="0.3">
      <c r="B12" s="105"/>
      <c r="C12" s="107" t="s">
        <v>95</v>
      </c>
      <c r="D12" s="108"/>
      <c r="E12" s="108"/>
      <c r="F12" s="108"/>
      <c r="G12" s="109"/>
      <c r="H12" s="38">
        <f>H11</f>
        <v>360000</v>
      </c>
      <c r="I12" s="14"/>
      <c r="J12" s="38">
        <f>J11</f>
        <v>450000</v>
      </c>
      <c r="K12" s="38">
        <f>K11</f>
        <v>450000</v>
      </c>
    </row>
    <row r="13" spans="2:13" ht="15.6" x14ac:dyDescent="0.3">
      <c r="B13" s="110" t="s">
        <v>40</v>
      </c>
      <c r="C13" s="113" t="s">
        <v>25</v>
      </c>
      <c r="D13" s="3" t="s">
        <v>12</v>
      </c>
      <c r="E13" s="3" t="s">
        <v>6</v>
      </c>
      <c r="F13" s="36">
        <f>D6</f>
        <v>50000</v>
      </c>
      <c r="G13" s="20">
        <v>3</v>
      </c>
      <c r="H13" s="36">
        <f>F13*(G13*12)</f>
        <v>1800000</v>
      </c>
      <c r="I13" s="13">
        <v>0</v>
      </c>
      <c r="J13" s="43">
        <f>F13/(1-I13)</f>
        <v>50000</v>
      </c>
      <c r="K13" s="40">
        <f t="shared" ref="K13:K15" si="1">H13/(1-I13)</f>
        <v>1800000</v>
      </c>
      <c r="L13" s="68"/>
    </row>
    <row r="14" spans="2:13" ht="15.6" x14ac:dyDescent="0.3">
      <c r="B14" s="111"/>
      <c r="C14" s="114"/>
      <c r="D14" s="3" t="s">
        <v>109</v>
      </c>
      <c r="E14" s="3" t="s">
        <v>6</v>
      </c>
      <c r="F14" s="67">
        <f>'Manpower-PM Cost'!G28</f>
        <v>20000</v>
      </c>
      <c r="G14" s="20">
        <v>3</v>
      </c>
      <c r="H14" s="36">
        <f>F14*(G14*12)</f>
        <v>720000</v>
      </c>
      <c r="I14" s="13">
        <v>0.2</v>
      </c>
      <c r="J14" s="43">
        <f>F14/(1-I14)</f>
        <v>25000</v>
      </c>
      <c r="K14" s="40">
        <f t="shared" si="1"/>
        <v>900000</v>
      </c>
      <c r="L14" s="68"/>
    </row>
    <row r="15" spans="2:13" ht="15.6" x14ac:dyDescent="0.3">
      <c r="B15" s="111"/>
      <c r="C15" s="115"/>
      <c r="D15" s="3" t="s">
        <v>94</v>
      </c>
      <c r="E15" s="3" t="s">
        <v>6</v>
      </c>
      <c r="F15" s="67">
        <f>'Manpower-PM Cost'!I22</f>
        <v>3750</v>
      </c>
      <c r="G15" s="20">
        <v>3</v>
      </c>
      <c r="H15" s="36">
        <f>F15*(G15*12)</f>
        <v>135000</v>
      </c>
      <c r="I15" s="13">
        <v>0.2</v>
      </c>
      <c r="J15" s="43">
        <f>F15/(1-I15)</f>
        <v>4687.5</v>
      </c>
      <c r="K15" s="40">
        <f t="shared" si="1"/>
        <v>168750</v>
      </c>
      <c r="L15" s="68"/>
    </row>
    <row r="16" spans="2:13" ht="15.6" x14ac:dyDescent="0.3">
      <c r="B16" s="112"/>
      <c r="C16" s="107" t="s">
        <v>96</v>
      </c>
      <c r="D16" s="108"/>
      <c r="E16" s="108"/>
      <c r="F16" s="108"/>
      <c r="G16" s="109"/>
      <c r="H16" s="38">
        <f>SUM(H13:H15)</f>
        <v>2655000</v>
      </c>
      <c r="I16" s="14"/>
      <c r="J16" s="38">
        <f>SUM(J13:J15)</f>
        <v>79687.5</v>
      </c>
      <c r="K16" s="42">
        <f>SUM(K13:K15)</f>
        <v>2868750</v>
      </c>
      <c r="L16" s="30"/>
      <c r="M16" s="44"/>
    </row>
    <row r="17" spans="2:11" ht="18.600000000000001" thickBot="1" x14ac:dyDescent="0.35">
      <c r="B17" s="102" t="s">
        <v>97</v>
      </c>
      <c r="C17" s="103"/>
      <c r="D17" s="103"/>
      <c r="E17" s="103"/>
      <c r="F17" s="103"/>
      <c r="G17" s="104"/>
      <c r="H17" s="39">
        <f>H12+H16</f>
        <v>3015000</v>
      </c>
      <c r="I17" s="33"/>
      <c r="J17" s="38">
        <f>J16</f>
        <v>79687.5</v>
      </c>
      <c r="K17" s="39">
        <f>K12+K16</f>
        <v>3318750</v>
      </c>
    </row>
    <row r="18" spans="2:11" x14ac:dyDescent="0.3">
      <c r="I18" s="31"/>
      <c r="J18" s="31"/>
    </row>
    <row r="19" spans="2:11" x14ac:dyDescent="0.3">
      <c r="I19" s="32"/>
      <c r="J19" s="32"/>
    </row>
    <row r="22" spans="2:11" x14ac:dyDescent="0.3">
      <c r="H22" s="21"/>
    </row>
  </sheetData>
  <mergeCells count="12">
    <mergeCell ref="B6:C6"/>
    <mergeCell ref="B2:C2"/>
    <mergeCell ref="B3:C3"/>
    <mergeCell ref="B4:C4"/>
    <mergeCell ref="B5:C5"/>
    <mergeCell ref="B17:G17"/>
    <mergeCell ref="B9:B12"/>
    <mergeCell ref="C9:C11"/>
    <mergeCell ref="C12:G12"/>
    <mergeCell ref="B13:B16"/>
    <mergeCell ref="C16:G16"/>
    <mergeCell ref="C13:C1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15EC2-B654-4CA9-AD86-25F3E40BCAA6}">
  <sheetPr codeName="Sheet5">
    <tabColor theme="8" tint="0.79998168889431442"/>
  </sheetPr>
  <dimension ref="B2:X33"/>
  <sheetViews>
    <sheetView topLeftCell="A29" zoomScaleNormal="100" workbookViewId="0">
      <selection activeCell="X7" sqref="X7"/>
    </sheetView>
  </sheetViews>
  <sheetFormatPr defaultRowHeight="14.4" x14ac:dyDescent="0.3"/>
  <cols>
    <col min="2" max="2" width="24.21875" customWidth="1"/>
    <col min="3" max="6" width="10.77734375" customWidth="1"/>
    <col min="7" max="7" width="15.6640625" customWidth="1"/>
    <col min="8" max="8" width="17" customWidth="1"/>
    <col min="9" max="9" width="24.21875" customWidth="1"/>
    <col min="10" max="14" width="10.77734375" customWidth="1"/>
    <col min="15" max="15" width="2.88671875" customWidth="1"/>
    <col min="16" max="16" width="24.21875" customWidth="1"/>
    <col min="17" max="18" width="15.21875" customWidth="1"/>
    <col min="19" max="19" width="15.6640625" customWidth="1"/>
    <col min="20" max="24" width="10.77734375" customWidth="1"/>
    <col min="25" max="25" width="2.88671875" customWidth="1"/>
    <col min="26" max="26" width="24.21875" customWidth="1"/>
    <col min="27" max="30" width="10.77734375" customWidth="1"/>
    <col min="31" max="31" width="15.6640625" customWidth="1"/>
  </cols>
  <sheetData>
    <row r="2" spans="2:24" ht="25.2" customHeight="1" x14ac:dyDescent="0.3">
      <c r="B2" s="125" t="s">
        <v>83</v>
      </c>
      <c r="C2" s="126"/>
      <c r="D2" s="126"/>
      <c r="E2" s="126"/>
      <c r="F2" s="126"/>
      <c r="G2" s="127"/>
      <c r="I2" s="125" t="s">
        <v>85</v>
      </c>
      <c r="J2" s="126"/>
      <c r="K2" s="126"/>
      <c r="L2" s="126"/>
      <c r="M2" s="126"/>
      <c r="N2" s="127"/>
      <c r="O2" s="45"/>
      <c r="P2" s="128" t="s">
        <v>86</v>
      </c>
      <c r="Q2" s="128"/>
      <c r="R2" s="128"/>
      <c r="S2" s="128"/>
      <c r="T2" s="128"/>
      <c r="U2" s="128"/>
      <c r="V2" s="128"/>
      <c r="W2" s="128"/>
      <c r="X2" s="128"/>
    </row>
    <row r="3" spans="2:24" ht="29.4" customHeight="1" x14ac:dyDescent="0.3">
      <c r="B3" s="124" t="s">
        <v>82</v>
      </c>
      <c r="C3" s="124"/>
      <c r="D3" s="124"/>
      <c r="E3" s="124"/>
      <c r="F3" s="124"/>
      <c r="G3" s="124"/>
      <c r="I3" s="124" t="s">
        <v>84</v>
      </c>
      <c r="J3" s="124"/>
      <c r="K3" s="124"/>
      <c r="L3" s="124"/>
      <c r="M3" s="124"/>
      <c r="N3" s="124"/>
      <c r="O3" s="45"/>
      <c r="P3" s="124" t="s">
        <v>91</v>
      </c>
      <c r="Q3" s="124"/>
      <c r="R3" s="124"/>
      <c r="S3" s="124"/>
      <c r="T3" s="124"/>
      <c r="U3" s="124"/>
      <c r="V3" s="124"/>
      <c r="W3" s="124"/>
      <c r="X3" s="124"/>
    </row>
    <row r="4" spans="2:24" ht="62.4" x14ac:dyDescent="0.3">
      <c r="B4" s="46" t="s">
        <v>1</v>
      </c>
      <c r="C4" s="4" t="s">
        <v>14</v>
      </c>
      <c r="D4" s="4" t="s">
        <v>15</v>
      </c>
      <c r="E4" s="4" t="s">
        <v>64</v>
      </c>
      <c r="F4" s="4" t="s">
        <v>16</v>
      </c>
      <c r="G4" s="4" t="s">
        <v>0</v>
      </c>
      <c r="I4" s="46" t="s">
        <v>1</v>
      </c>
      <c r="J4" s="4" t="s">
        <v>14</v>
      </c>
      <c r="K4" s="4" t="s">
        <v>15</v>
      </c>
      <c r="L4" s="4" t="s">
        <v>64</v>
      </c>
      <c r="M4" s="4" t="s">
        <v>16</v>
      </c>
      <c r="N4" s="4" t="s">
        <v>0</v>
      </c>
      <c r="O4" s="45"/>
      <c r="P4" s="46" t="s">
        <v>1</v>
      </c>
      <c r="Q4" s="4" t="s">
        <v>14</v>
      </c>
      <c r="R4" s="4" t="s">
        <v>15</v>
      </c>
      <c r="S4" s="4" t="s">
        <v>64</v>
      </c>
      <c r="T4" s="4" t="s">
        <v>87</v>
      </c>
      <c r="U4" s="4" t="s">
        <v>88</v>
      </c>
      <c r="V4" s="4" t="s">
        <v>89</v>
      </c>
      <c r="W4" s="4" t="s">
        <v>90</v>
      </c>
      <c r="X4" s="4" t="s">
        <v>0</v>
      </c>
    </row>
    <row r="5" spans="2:24" ht="15.6" x14ac:dyDescent="0.3">
      <c r="B5" s="47" t="s">
        <v>4</v>
      </c>
      <c r="C5" s="5">
        <v>1</v>
      </c>
      <c r="D5" s="5">
        <v>1</v>
      </c>
      <c r="E5" s="35">
        <v>80000</v>
      </c>
      <c r="F5" s="5">
        <v>0.5</v>
      </c>
      <c r="G5" s="35">
        <f>C5*D5*E5*F5</f>
        <v>40000</v>
      </c>
      <c r="I5" s="47" t="s">
        <v>4</v>
      </c>
      <c r="J5" s="5">
        <v>1</v>
      </c>
      <c r="K5" s="5">
        <v>1</v>
      </c>
      <c r="L5" s="35">
        <v>80000</v>
      </c>
      <c r="M5" s="5">
        <v>0.5</v>
      </c>
      <c r="N5" s="35">
        <f>J5*K5*L5*M5</f>
        <v>40000</v>
      </c>
      <c r="O5" s="45"/>
      <c r="P5" s="47" t="s">
        <v>4</v>
      </c>
      <c r="Q5" s="5">
        <v>1</v>
      </c>
      <c r="R5" s="5">
        <v>1</v>
      </c>
      <c r="S5" s="35">
        <v>80000</v>
      </c>
      <c r="T5" s="5"/>
      <c r="U5" s="5"/>
      <c r="V5" s="5"/>
      <c r="W5" s="5"/>
      <c r="X5" s="35">
        <f>SUM(T5:W5)*S5</f>
        <v>0</v>
      </c>
    </row>
    <row r="6" spans="2:24" ht="15.6" x14ac:dyDescent="0.3">
      <c r="B6" s="47" t="s">
        <v>65</v>
      </c>
      <c r="C6" s="5">
        <v>2</v>
      </c>
      <c r="D6" s="5">
        <v>1</v>
      </c>
      <c r="E6" s="35">
        <v>60000</v>
      </c>
      <c r="F6" s="5">
        <v>0.5</v>
      </c>
      <c r="G6" s="35">
        <f>C6*D6*E6*F6</f>
        <v>60000</v>
      </c>
      <c r="I6" s="47" t="s">
        <v>65</v>
      </c>
      <c r="J6" s="5">
        <v>2</v>
      </c>
      <c r="K6" s="5">
        <v>1</v>
      </c>
      <c r="L6" s="35">
        <v>60000</v>
      </c>
      <c r="M6" s="5">
        <v>0.5</v>
      </c>
      <c r="N6" s="35">
        <f>J6*K6*L6*M6</f>
        <v>60000</v>
      </c>
      <c r="O6" s="45"/>
      <c r="P6" s="47" t="s">
        <v>65</v>
      </c>
      <c r="Q6" s="5">
        <v>1</v>
      </c>
      <c r="R6" s="5">
        <v>1</v>
      </c>
      <c r="S6" s="35">
        <v>60000</v>
      </c>
      <c r="T6" s="5">
        <v>0.25</v>
      </c>
      <c r="U6" s="5">
        <v>0.25</v>
      </c>
      <c r="V6" s="5">
        <v>0.25</v>
      </c>
      <c r="W6" s="5">
        <v>0.25</v>
      </c>
      <c r="X6" s="35">
        <f>SUM(T6:W6)*S6</f>
        <v>60000</v>
      </c>
    </row>
    <row r="7" spans="2:24" ht="15.6" x14ac:dyDescent="0.3">
      <c r="B7" s="47"/>
      <c r="C7" s="48">
        <f>C5*D5+C6*D6</f>
        <v>3</v>
      </c>
      <c r="D7" s="5"/>
      <c r="E7" s="5"/>
      <c r="F7" s="49" t="s">
        <v>0</v>
      </c>
      <c r="G7" s="50">
        <f>SUM(G5:G6)</f>
        <v>100000</v>
      </c>
      <c r="I7" s="47"/>
      <c r="J7" s="48">
        <f>J5*K5+J6*K6</f>
        <v>3</v>
      </c>
      <c r="K7" s="5"/>
      <c r="L7" s="5"/>
      <c r="M7" s="49" t="s">
        <v>0</v>
      </c>
      <c r="N7" s="50">
        <f>SUM(N5:N6)</f>
        <v>100000</v>
      </c>
      <c r="O7" s="45"/>
      <c r="P7" s="47"/>
      <c r="Q7" s="48">
        <f>Q5*R5+Q6*R6</f>
        <v>2</v>
      </c>
      <c r="R7" s="2"/>
      <c r="S7" s="5"/>
      <c r="T7" s="51"/>
      <c r="U7" s="51"/>
      <c r="V7" s="49" t="s">
        <v>0</v>
      </c>
      <c r="W7" s="50">
        <f>SUM(W5:W6)</f>
        <v>0.25</v>
      </c>
      <c r="X7" s="50">
        <f>SUM(X5:X6)</f>
        <v>60000</v>
      </c>
    </row>
    <row r="8" spans="2:24" x14ac:dyDescent="0.3">
      <c r="I8" s="45"/>
      <c r="J8" s="45"/>
      <c r="K8" s="45"/>
      <c r="L8" s="45"/>
      <c r="M8" s="45"/>
      <c r="N8" s="45"/>
      <c r="O8" s="45"/>
      <c r="P8" s="52"/>
      <c r="Q8" s="52"/>
      <c r="R8" s="52"/>
    </row>
    <row r="9" spans="2:24" hidden="1" x14ac:dyDescent="0.3">
      <c r="I9" s="45"/>
      <c r="J9" s="45"/>
      <c r="K9" s="45"/>
      <c r="L9" s="45"/>
      <c r="M9" s="45"/>
      <c r="N9" s="45"/>
      <c r="O9" s="45"/>
      <c r="P9" s="52"/>
      <c r="Q9" s="52"/>
      <c r="R9" s="52"/>
    </row>
    <row r="10" spans="2:24" hidden="1" x14ac:dyDescent="0.3">
      <c r="B10" s="53" t="s">
        <v>66</v>
      </c>
      <c r="C10" s="53" t="s">
        <v>30</v>
      </c>
      <c r="D10" s="53" t="s">
        <v>67</v>
      </c>
      <c r="E10" s="53" t="s">
        <v>68</v>
      </c>
      <c r="I10" s="54" t="s">
        <v>69</v>
      </c>
      <c r="J10" s="54" t="s">
        <v>30</v>
      </c>
      <c r="K10" s="54" t="s">
        <v>67</v>
      </c>
      <c r="L10" s="54" t="s">
        <v>68</v>
      </c>
      <c r="M10" s="45"/>
      <c r="N10" s="45"/>
      <c r="O10" s="45"/>
      <c r="P10" s="52"/>
      <c r="Q10" s="52"/>
      <c r="R10" s="52"/>
    </row>
    <row r="11" spans="2:24" hidden="1" x14ac:dyDescent="0.3">
      <c r="B11" s="2" t="s">
        <v>70</v>
      </c>
      <c r="C11" s="2">
        <v>47</v>
      </c>
      <c r="D11" s="2">
        <v>6</v>
      </c>
      <c r="E11" s="2">
        <f>ROUND(C11/D11,0)</f>
        <v>8</v>
      </c>
      <c r="I11" s="55" t="s">
        <v>70</v>
      </c>
      <c r="J11" s="55">
        <v>0</v>
      </c>
      <c r="K11" s="55">
        <f>$D11</f>
        <v>6</v>
      </c>
      <c r="L11" s="55">
        <f>ROUND(J11/$D$11,0)</f>
        <v>0</v>
      </c>
      <c r="M11" s="45"/>
      <c r="N11" s="45"/>
      <c r="O11" s="45"/>
      <c r="P11" s="52"/>
      <c r="Q11" s="52"/>
      <c r="R11" s="52"/>
    </row>
    <row r="12" spans="2:24" hidden="1" x14ac:dyDescent="0.3">
      <c r="B12" s="2" t="s">
        <v>71</v>
      </c>
      <c r="C12" s="2">
        <v>40</v>
      </c>
      <c r="D12" s="2">
        <v>7</v>
      </c>
      <c r="E12" s="2">
        <f>ROUND(C12/D12,0)</f>
        <v>6</v>
      </c>
      <c r="I12" s="55" t="s">
        <v>71</v>
      </c>
      <c r="J12" s="55">
        <v>0</v>
      </c>
      <c r="K12" s="55">
        <f t="shared" ref="K12:K16" si="0">$D12</f>
        <v>7</v>
      </c>
      <c r="L12" s="55">
        <f>ROUND(J12/$D$12,0)</f>
        <v>0</v>
      </c>
      <c r="M12" s="45"/>
      <c r="N12" s="45"/>
      <c r="O12" s="45"/>
      <c r="P12" s="52"/>
      <c r="Q12" s="52"/>
      <c r="R12" s="52"/>
    </row>
    <row r="13" spans="2:24" hidden="1" x14ac:dyDescent="0.3">
      <c r="B13" s="2" t="s">
        <v>72</v>
      </c>
      <c r="C13" s="2">
        <v>810</v>
      </c>
      <c r="D13" s="56">
        <v>120</v>
      </c>
      <c r="E13" s="56">
        <f>ROUND(C13/D13,0)</f>
        <v>7</v>
      </c>
      <c r="I13" s="55" t="s">
        <v>72</v>
      </c>
      <c r="J13" s="55">
        <v>0</v>
      </c>
      <c r="K13" s="55">
        <f t="shared" si="0"/>
        <v>120</v>
      </c>
      <c r="L13" s="55">
        <f>ROUND(J13/$D$13,0)</f>
        <v>0</v>
      </c>
      <c r="M13" s="45"/>
      <c r="N13" s="45"/>
      <c r="O13" s="45"/>
      <c r="P13" s="52"/>
      <c r="Q13" s="52"/>
      <c r="R13" s="52"/>
    </row>
    <row r="14" spans="2:24" hidden="1" x14ac:dyDescent="0.3">
      <c r="D14" s="57" t="s">
        <v>73</v>
      </c>
      <c r="E14" s="58">
        <f>SUM(E11:E13)</f>
        <v>21</v>
      </c>
      <c r="I14" s="45"/>
      <c r="J14" s="45"/>
      <c r="K14" s="55" t="str">
        <f t="shared" si="0"/>
        <v>Onsite</v>
      </c>
      <c r="L14" s="59">
        <f>SUM(L11:L13)</f>
        <v>0</v>
      </c>
      <c r="M14" s="45"/>
      <c r="N14" s="45"/>
      <c r="O14" s="45"/>
      <c r="P14" s="52"/>
      <c r="Q14" s="52"/>
      <c r="R14" s="52"/>
    </row>
    <row r="15" spans="2:24" hidden="1" x14ac:dyDescent="0.3">
      <c r="D15" s="57" t="s">
        <v>74</v>
      </c>
      <c r="E15" s="60">
        <f>ROUND(E14/8,0)</f>
        <v>3</v>
      </c>
      <c r="I15" s="45"/>
      <c r="J15" s="45"/>
      <c r="K15" s="55" t="str">
        <f t="shared" si="0"/>
        <v>MIS</v>
      </c>
      <c r="L15" s="55">
        <f>ROUND(L14/8,0)</f>
        <v>0</v>
      </c>
      <c r="M15" s="45"/>
      <c r="N15" s="45"/>
      <c r="O15" s="45"/>
      <c r="P15" s="52"/>
      <c r="Q15" s="52"/>
      <c r="R15" s="52"/>
    </row>
    <row r="16" spans="2:24" hidden="1" x14ac:dyDescent="0.3">
      <c r="D16" s="61" t="s">
        <v>0</v>
      </c>
      <c r="E16" s="62">
        <f>E14+E15</f>
        <v>24</v>
      </c>
      <c r="I16" s="45"/>
      <c r="J16" s="45"/>
      <c r="K16" s="63" t="str">
        <f t="shared" si="0"/>
        <v>Total</v>
      </c>
      <c r="L16" s="64">
        <f>L14+L15</f>
        <v>0</v>
      </c>
      <c r="M16" s="45"/>
      <c r="N16" s="45"/>
      <c r="O16" s="45"/>
      <c r="P16" s="52"/>
      <c r="Q16" s="52"/>
      <c r="R16" s="52"/>
    </row>
    <row r="18" spans="2:11" ht="29.4" customHeight="1" x14ac:dyDescent="0.3">
      <c r="B18" s="129" t="s">
        <v>75</v>
      </c>
      <c r="C18" s="130"/>
      <c r="D18" s="130"/>
      <c r="E18" s="130"/>
      <c r="F18" s="130"/>
      <c r="G18" s="130"/>
      <c r="H18" s="130"/>
      <c r="I18" s="131"/>
    </row>
    <row r="19" spans="2:11" ht="31.2" x14ac:dyDescent="0.3">
      <c r="B19" s="65" t="s">
        <v>1</v>
      </c>
      <c r="C19" s="4" t="s">
        <v>18</v>
      </c>
      <c r="D19" s="4" t="s">
        <v>2</v>
      </c>
      <c r="E19" s="4" t="s">
        <v>39</v>
      </c>
      <c r="F19" s="4" t="s">
        <v>10</v>
      </c>
      <c r="G19" s="4" t="s">
        <v>3</v>
      </c>
      <c r="H19" s="4" t="s">
        <v>76</v>
      </c>
      <c r="I19" s="4" t="s">
        <v>0</v>
      </c>
    </row>
    <row r="20" spans="2:11" ht="15.6" x14ac:dyDescent="0.3">
      <c r="B20" s="47" t="s">
        <v>5</v>
      </c>
      <c r="C20" s="47" t="s">
        <v>19</v>
      </c>
      <c r="D20" s="6">
        <v>2500</v>
      </c>
      <c r="E20" s="6">
        <v>16000</v>
      </c>
      <c r="F20" s="6">
        <v>4000</v>
      </c>
      <c r="G20" s="7">
        <v>1</v>
      </c>
      <c r="H20" s="7">
        <v>2</v>
      </c>
      <c r="I20" s="35">
        <f>(H20*G20*D20)+(E20*H20)+(F20*G20*H20)</f>
        <v>45000</v>
      </c>
    </row>
    <row r="21" spans="2:11" ht="15.6" x14ac:dyDescent="0.3">
      <c r="B21" s="2"/>
      <c r="C21" s="2"/>
      <c r="D21" s="2"/>
      <c r="E21" s="2"/>
      <c r="F21" s="66"/>
      <c r="G21" s="2"/>
      <c r="H21" s="49" t="s">
        <v>0</v>
      </c>
      <c r="I21" s="50">
        <f>SUM(I20:I20)</f>
        <v>45000</v>
      </c>
      <c r="J21" s="68"/>
      <c r="K21" s="68"/>
    </row>
    <row r="22" spans="2:11" ht="15.6" x14ac:dyDescent="0.3">
      <c r="F22" s="69"/>
      <c r="H22" s="70" t="s">
        <v>110</v>
      </c>
      <c r="I22" s="71">
        <f>I21/12</f>
        <v>3750</v>
      </c>
      <c r="J22" s="68"/>
      <c r="K22" s="68"/>
    </row>
    <row r="24" spans="2:11" ht="25.2" customHeight="1" x14ac:dyDescent="0.3">
      <c r="B24" s="125" t="s">
        <v>108</v>
      </c>
      <c r="C24" s="126"/>
      <c r="D24" s="126"/>
      <c r="E24" s="126"/>
      <c r="F24" s="126"/>
      <c r="G24" s="127"/>
    </row>
    <row r="25" spans="2:11" ht="29.4" customHeight="1" x14ac:dyDescent="0.3">
      <c r="B25" s="124" t="s">
        <v>112</v>
      </c>
      <c r="C25" s="124"/>
      <c r="D25" s="124"/>
      <c r="E25" s="124"/>
      <c r="F25" s="124"/>
      <c r="G25" s="124"/>
    </row>
    <row r="26" spans="2:11" ht="62.4" x14ac:dyDescent="0.3">
      <c r="B26" s="46" t="s">
        <v>1</v>
      </c>
      <c r="C26" s="4" t="s">
        <v>14</v>
      </c>
      <c r="D26" s="4" t="s">
        <v>15</v>
      </c>
      <c r="E26" s="4" t="s">
        <v>64</v>
      </c>
      <c r="F26" s="4" t="s">
        <v>16</v>
      </c>
      <c r="G26" s="4" t="s">
        <v>0</v>
      </c>
    </row>
    <row r="27" spans="2:11" ht="15.6" x14ac:dyDescent="0.3">
      <c r="B27" s="47" t="s">
        <v>113</v>
      </c>
      <c r="C27" s="5">
        <v>1</v>
      </c>
      <c r="D27" s="5">
        <v>0.5</v>
      </c>
      <c r="E27" s="35">
        <v>40000</v>
      </c>
      <c r="F27" s="5">
        <v>1</v>
      </c>
      <c r="G27" s="35">
        <f>C27*D27*E27*F27</f>
        <v>20000</v>
      </c>
    </row>
    <row r="28" spans="2:11" ht="15.6" x14ac:dyDescent="0.3">
      <c r="B28" s="47"/>
      <c r="C28" s="48"/>
      <c r="D28" s="5"/>
      <c r="E28" s="5"/>
      <c r="F28" s="49" t="s">
        <v>0</v>
      </c>
      <c r="G28" s="50">
        <f>SUM(G27:G27)</f>
        <v>20000</v>
      </c>
    </row>
    <row r="29" spans="2:11" ht="15.6" x14ac:dyDescent="0.3">
      <c r="B29" s="15"/>
      <c r="C29" s="72"/>
      <c r="D29" s="72"/>
      <c r="E29" s="72"/>
      <c r="F29" s="70" t="s">
        <v>110</v>
      </c>
      <c r="G29" s="71">
        <f>G28</f>
        <v>20000</v>
      </c>
    </row>
    <row r="30" spans="2:11" ht="31.2" x14ac:dyDescent="0.6">
      <c r="B30" s="11" t="s">
        <v>77</v>
      </c>
    </row>
    <row r="31" spans="2:11" ht="31.2" x14ac:dyDescent="0.6">
      <c r="B31" s="12" t="s">
        <v>78</v>
      </c>
      <c r="C31" s="12" t="s">
        <v>79</v>
      </c>
    </row>
    <row r="32" spans="2:11" ht="31.2" x14ac:dyDescent="0.6">
      <c r="C32" s="12" t="s">
        <v>80</v>
      </c>
    </row>
    <row r="33" spans="3:3" ht="31.2" x14ac:dyDescent="0.6">
      <c r="C33" s="12" t="s">
        <v>81</v>
      </c>
    </row>
  </sheetData>
  <mergeCells count="9">
    <mergeCell ref="B25:G25"/>
    <mergeCell ref="B3:G3"/>
    <mergeCell ref="I3:N3"/>
    <mergeCell ref="P3:X3"/>
    <mergeCell ref="B2:G2"/>
    <mergeCell ref="I2:N2"/>
    <mergeCell ref="P2:X2"/>
    <mergeCell ref="B18:I18"/>
    <mergeCell ref="B24:G24"/>
  </mergeCells>
  <conditionalFormatting sqref="E5 I20 G28 G7 N5:N7">
    <cfRule type="cellIs" dxfId="16" priority="42" operator="equal">
      <formula>0</formula>
    </cfRule>
  </conditionalFormatting>
  <conditionalFormatting sqref="G5">
    <cfRule type="cellIs" dxfId="15" priority="41" operator="equal">
      <formula>0</formula>
    </cfRule>
  </conditionalFormatting>
  <conditionalFormatting sqref="I21:I22">
    <cfRule type="cellIs" dxfId="14" priority="36" operator="equal">
      <formula>0</formula>
    </cfRule>
  </conditionalFormatting>
  <conditionalFormatting sqref="E6">
    <cfRule type="cellIs" dxfId="13" priority="25" operator="equal">
      <formula>0</formula>
    </cfRule>
  </conditionalFormatting>
  <conditionalFormatting sqref="G6">
    <cfRule type="cellIs" dxfId="12" priority="24" operator="equal">
      <formula>0</formula>
    </cfRule>
  </conditionalFormatting>
  <conditionalFormatting sqref="L6">
    <cfRule type="cellIs" dxfId="11" priority="23" operator="equal">
      <formula>0</formula>
    </cfRule>
  </conditionalFormatting>
  <conditionalFormatting sqref="X5:X6">
    <cfRule type="cellIs" dxfId="10" priority="19" operator="equal">
      <formula>0</formula>
    </cfRule>
  </conditionalFormatting>
  <conditionalFormatting sqref="W7">
    <cfRule type="cellIs" dxfId="9" priority="20" operator="equal">
      <formula>0</formula>
    </cfRule>
  </conditionalFormatting>
  <conditionalFormatting sqref="X7">
    <cfRule type="cellIs" dxfId="8" priority="18" operator="equal">
      <formula>0</formula>
    </cfRule>
  </conditionalFormatting>
  <conditionalFormatting sqref="S5">
    <cfRule type="cellIs" dxfId="7" priority="17" operator="equal">
      <formula>0</formula>
    </cfRule>
  </conditionalFormatting>
  <conditionalFormatting sqref="S6">
    <cfRule type="cellIs" dxfId="6" priority="16" operator="equal">
      <formula>0</formula>
    </cfRule>
  </conditionalFormatting>
  <conditionalFormatting sqref="L5">
    <cfRule type="cellIs" dxfId="5" priority="15" operator="equal">
      <formula>0</formula>
    </cfRule>
  </conditionalFormatting>
  <conditionalFormatting sqref="E27">
    <cfRule type="cellIs" dxfId="4" priority="10" operator="equal">
      <formula>0</formula>
    </cfRule>
  </conditionalFormatting>
  <conditionalFormatting sqref="G27">
    <cfRule type="cellIs" dxfId="3" priority="9" operator="equal">
      <formula>0</formula>
    </cfRule>
  </conditionalFormatting>
  <conditionalFormatting sqref="G29">
    <cfRule type="cellIs" dxfId="2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3983C-9A10-4CF1-9660-69B075583600}">
  <sheetPr codeName="Sheet7">
    <tabColor theme="5" tint="0.39997558519241921"/>
  </sheetPr>
  <dimension ref="A1:B14"/>
  <sheetViews>
    <sheetView zoomScaleNormal="100" workbookViewId="0">
      <selection activeCell="B8" sqref="B8"/>
    </sheetView>
  </sheetViews>
  <sheetFormatPr defaultRowHeight="14.4" x14ac:dyDescent="0.3"/>
  <cols>
    <col min="1" max="2" width="43.109375" customWidth="1"/>
    <col min="3" max="3" width="26.6640625" customWidth="1"/>
    <col min="4" max="4" width="32.109375" customWidth="1"/>
    <col min="6" max="6" width="20.5546875" customWidth="1"/>
    <col min="12" max="12" width="30.44140625" bestFit="1" customWidth="1"/>
  </cols>
  <sheetData>
    <row r="1" spans="1:2" x14ac:dyDescent="0.3">
      <c r="A1" s="9" t="s">
        <v>26</v>
      </c>
      <c r="B1" s="9" t="s">
        <v>27</v>
      </c>
    </row>
    <row r="2" spans="1:2" ht="15.6" x14ac:dyDescent="0.3">
      <c r="A2" s="1" t="s">
        <v>107</v>
      </c>
      <c r="B2" s="35">
        <v>47000</v>
      </c>
    </row>
    <row r="3" spans="1:2" ht="15.6" x14ac:dyDescent="0.3">
      <c r="A3" s="1"/>
      <c r="B3" s="35"/>
    </row>
    <row r="5" spans="1:2" x14ac:dyDescent="0.3">
      <c r="A5" s="8" t="s">
        <v>34</v>
      </c>
    </row>
    <row r="6" spans="1:2" x14ac:dyDescent="0.3">
      <c r="A6" s="10" t="s">
        <v>58</v>
      </c>
    </row>
    <row r="7" spans="1:2" x14ac:dyDescent="0.3">
      <c r="A7" s="10" t="s">
        <v>59</v>
      </c>
    </row>
    <row r="8" spans="1:2" x14ac:dyDescent="0.3">
      <c r="A8" s="10" t="s">
        <v>60</v>
      </c>
    </row>
    <row r="9" spans="1:2" x14ac:dyDescent="0.3">
      <c r="A9" s="10" t="s">
        <v>61</v>
      </c>
    </row>
    <row r="10" spans="1:2" x14ac:dyDescent="0.3">
      <c r="A10" s="10" t="s">
        <v>62</v>
      </c>
    </row>
    <row r="11" spans="1:2" x14ac:dyDescent="0.3">
      <c r="A11" s="10" t="s">
        <v>63</v>
      </c>
    </row>
    <row r="12" spans="1:2" x14ac:dyDescent="0.3">
      <c r="A12" s="10" t="s">
        <v>31</v>
      </c>
    </row>
    <row r="13" spans="1:2" x14ac:dyDescent="0.3">
      <c r="A13" s="10" t="s">
        <v>32</v>
      </c>
    </row>
    <row r="14" spans="1:2" x14ac:dyDescent="0.3">
      <c r="A14" s="10" t="s">
        <v>33</v>
      </c>
    </row>
  </sheetData>
  <conditionalFormatting sqref="A3">
    <cfRule type="duplicateValues" dxfId="1" priority="2"/>
  </conditionalFormatting>
  <conditionalFormatting sqref="A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Quotation</vt:lpstr>
      <vt:lpstr>Commercials (C)</vt:lpstr>
      <vt:lpstr>Manpower-PM Cost</vt:lpstr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2024-12-03T10:58:11Z</cp:lastPrinted>
  <dcterms:created xsi:type="dcterms:W3CDTF">2024-09-10T04:33:48Z</dcterms:created>
  <dcterms:modified xsi:type="dcterms:W3CDTF">2025-01-10T12:46:13Z</dcterms:modified>
</cp:coreProperties>
</file>