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E:\Proposals\Amazon\Estimate\"/>
    </mc:Choice>
  </mc:AlternateContent>
  <xr:revisionPtr revIDLastSave="0" documentId="13_ncr:1_{BE7FE7A7-E0F6-487A-AE39-FDDFF52FBF9C}" xr6:coauthVersionLast="47" xr6:coauthVersionMax="47" xr10:uidLastSave="{00000000-0000-0000-0000-000000000000}"/>
  <bookViews>
    <workbookView xWindow="-108" yWindow="-108" windowWidth="23256" windowHeight="12456" tabRatio="757" xr2:uid="{49B73D68-D680-4076-B8B3-1D5CB70C91AA}"/>
  </bookViews>
  <sheets>
    <sheet name="Quotation" sheetId="51" r:id="rId1"/>
    <sheet name="Appendix" sheetId="53" r:id="rId2"/>
    <sheet name="Outcome Based" sheetId="50" state="hidden" r:id="rId3"/>
    <sheet name="Quotation Year.wise (3 Years)" sheetId="30" state="hidden" r:id="rId4"/>
    <sheet name="Quote Nomeclature" sheetId="25" state="hidden" r:id="rId5"/>
    <sheet name="Commercials (C) - Full" sheetId="47" state="hidden" r:id="rId6"/>
    <sheet name="Commercials (C) - 29&gt; with Tab" sheetId="21" state="hidden" r:id="rId7"/>
    <sheet name="Slab wise" sheetId="34" state="hidden" r:id="rId8"/>
    <sheet name="Sheet1" sheetId="32" state="hidden" r:id="rId9"/>
    <sheet name="AMC &amp; months" sheetId="29" state="hidden" r:id="rId10"/>
    <sheet name="Sheet4" sheetId="49" state="hidden" r:id="rId11"/>
    <sheet name="Sheet2" sheetId="44" state="hidden" r:id="rId12"/>
  </sheets>
  <definedNames>
    <definedName name="_xlnm.Print_Area" localSheetId="1">Appendix!$A$1:$D$22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51" l="1"/>
  <c r="I11" i="50"/>
  <c r="K11" i="50"/>
  <c r="M11" i="50"/>
  <c r="M10" i="50"/>
  <c r="M9" i="50"/>
  <c r="M8" i="50"/>
  <c r="M4" i="50"/>
  <c r="K10" i="50"/>
  <c r="K9" i="50"/>
  <c r="K8" i="50"/>
  <c r="K4" i="50"/>
  <c r="I10" i="50"/>
  <c r="I9" i="50"/>
  <c r="I8" i="50"/>
  <c r="I4" i="50"/>
  <c r="I1" i="50"/>
  <c r="K1" i="50" s="1"/>
  <c r="M1" i="50" s="1"/>
  <c r="L11" i="50" l="1"/>
  <c r="N11" i="50"/>
  <c r="J11" i="50"/>
  <c r="L9" i="50"/>
  <c r="N9" i="50"/>
  <c r="L10" i="50"/>
  <c r="J9" i="50"/>
  <c r="N10" i="50"/>
  <c r="L7" i="50"/>
  <c r="J4" i="50"/>
  <c r="N5" i="50"/>
  <c r="N8" i="50"/>
  <c r="L4" i="50"/>
  <c r="N7" i="50"/>
  <c r="N6" i="50"/>
  <c r="N4" i="50"/>
  <c r="M13" i="50"/>
  <c r="J10" i="50"/>
  <c r="L5" i="50"/>
  <c r="L8" i="50"/>
  <c r="J7" i="50"/>
  <c r="L6" i="50"/>
  <c r="K13" i="50"/>
  <c r="J5" i="50"/>
  <c r="J8" i="50"/>
  <c r="J6" i="50"/>
  <c r="I13" i="50"/>
  <c r="L13" i="50" l="1"/>
  <c r="N13" i="50"/>
  <c r="J13" i="50"/>
  <c r="H28" i="47"/>
  <c r="H25" i="47"/>
  <c r="G25" i="47"/>
  <c r="I23" i="47"/>
  <c r="H23" i="47"/>
  <c r="G23" i="47"/>
  <c r="H22" i="47"/>
  <c r="G22" i="47"/>
  <c r="I22" i="47" s="1"/>
  <c r="I24" i="47" s="1"/>
  <c r="L19" i="47"/>
  <c r="M19" i="47" s="1"/>
  <c r="I19" i="47"/>
  <c r="K19" i="47" s="1"/>
  <c r="I18" i="47"/>
  <c r="K18" i="47" s="1"/>
  <c r="I16" i="47"/>
  <c r="L15" i="47"/>
  <c r="M15" i="47" s="1"/>
  <c r="K15" i="47"/>
  <c r="I14" i="47"/>
  <c r="L14" i="47" s="1"/>
  <c r="D3" i="47"/>
  <c r="C12" i="29"/>
  <c r="C11" i="29"/>
  <c r="C10" i="29"/>
  <c r="J41" i="21"/>
  <c r="H41" i="21"/>
  <c r="J39" i="21"/>
  <c r="J38" i="21"/>
  <c r="J37" i="21"/>
  <c r="J36" i="21"/>
  <c r="J35" i="21"/>
  <c r="J40" i="21" s="1"/>
  <c r="H40" i="21"/>
  <c r="L18" i="47" l="1"/>
  <c r="L20" i="47" s="1"/>
  <c r="K22" i="47"/>
  <c r="F34" i="47"/>
  <c r="F40" i="47" s="1"/>
  <c r="F41" i="47" s="1"/>
  <c r="L16" i="47"/>
  <c r="M14" i="47"/>
  <c r="L22" i="47"/>
  <c r="K20" i="47"/>
  <c r="H34" i="47"/>
  <c r="H40" i="47" s="1"/>
  <c r="H41" i="47" s="1"/>
  <c r="G34" i="47"/>
  <c r="G40" i="47" s="1"/>
  <c r="G41" i="47" s="1"/>
  <c r="M18" i="47"/>
  <c r="I25" i="47"/>
  <c r="L23" i="47"/>
  <c r="M23" i="47" s="1"/>
  <c r="K23" i="47"/>
  <c r="K14" i="47"/>
  <c r="K16" i="47" s="1"/>
  <c r="I20" i="47"/>
  <c r="I35" i="47" l="1"/>
  <c r="L25" i="47"/>
  <c r="I26" i="47"/>
  <c r="I27" i="47" s="1"/>
  <c r="I37" i="47"/>
  <c r="I39" i="47"/>
  <c r="I36" i="47"/>
  <c r="I38" i="47"/>
  <c r="K24" i="47"/>
  <c r="K25" i="47"/>
  <c r="L24" i="47"/>
  <c r="M22" i="47"/>
  <c r="D12" i="44"/>
  <c r="B12" i="44"/>
  <c r="D9" i="44"/>
  <c r="B9" i="44"/>
  <c r="L26" i="47" l="1"/>
  <c r="L27" i="47" s="1"/>
  <c r="M25" i="47"/>
  <c r="K26" i="47"/>
  <c r="J39" i="47"/>
  <c r="J38" i="47"/>
  <c r="J37" i="47"/>
  <c r="J36" i="47"/>
  <c r="J35" i="47"/>
  <c r="K27" i="47"/>
  <c r="I40" i="47"/>
  <c r="I41" i="47" s="1"/>
  <c r="J40" i="47" l="1"/>
  <c r="J41" i="47" s="1"/>
  <c r="L35" i="47"/>
  <c r="M35" i="47" s="1"/>
  <c r="C7" i="29" l="1"/>
  <c r="C6" i="29"/>
  <c r="H23" i="21"/>
  <c r="H22" i="21"/>
  <c r="G23" i="21" l="1"/>
  <c r="H28" i="21"/>
  <c r="C17" i="29" l="1"/>
  <c r="C16" i="29"/>
  <c r="H4" i="30" l="1"/>
  <c r="H25" i="21" l="1"/>
  <c r="C18" i="29" l="1"/>
  <c r="C8" i="29" l="1"/>
  <c r="C9" i="29" s="1"/>
  <c r="G25" i="21" l="1"/>
  <c r="E10" i="34" s="1"/>
  <c r="I19" i="21"/>
  <c r="E4" i="34" s="1"/>
  <c r="L19" i="21" l="1"/>
  <c r="K19" i="21"/>
  <c r="I25" i="21"/>
  <c r="I26" i="21" s="1"/>
  <c r="M19" i="21" l="1"/>
  <c r="H34" i="21"/>
  <c r="G22" i="21"/>
  <c r="I22" i="21" s="1"/>
  <c r="I18" i="21"/>
  <c r="E3" i="34" s="1"/>
  <c r="L25" i="21"/>
  <c r="K25" i="21"/>
  <c r="L26" i="21" l="1"/>
  <c r="M25" i="21"/>
  <c r="I23" i="21"/>
  <c r="I24" i="21" s="1"/>
  <c r="I27" i="21" s="1"/>
  <c r="K22" i="21"/>
  <c r="L22" i="21"/>
  <c r="M22" i="21" s="1"/>
  <c r="K18" i="21"/>
  <c r="L18" i="21"/>
  <c r="K26" i="21"/>
  <c r="F10" i="34"/>
  <c r="M18" i="21" l="1"/>
  <c r="G34" i="21"/>
  <c r="G40" i="21" s="1"/>
  <c r="G41" i="21" s="1"/>
  <c r="E9" i="34"/>
  <c r="E11" i="34" s="1"/>
  <c r="L23" i="21"/>
  <c r="M23" i="21" s="1"/>
  <c r="K23" i="21"/>
  <c r="I39" i="21" s="1"/>
  <c r="I38" i="21" l="1"/>
  <c r="I35" i="21"/>
  <c r="I40" i="21" s="1"/>
  <c r="I37" i="21"/>
  <c r="I36" i="21"/>
  <c r="F9" i="34"/>
  <c r="F11" i="34" s="1"/>
  <c r="D16" i="34" s="1"/>
  <c r="D3" i="21"/>
  <c r="D15" i="34" l="1"/>
  <c r="D20" i="34"/>
  <c r="E20" i="34" s="1"/>
  <c r="D14" i="34"/>
  <c r="F4" i="34"/>
  <c r="D17" i="34" l="1"/>
  <c r="E22" i="34"/>
  <c r="E24" i="34"/>
  <c r="E21" i="34"/>
  <c r="E23" i="34"/>
  <c r="K24" i="21"/>
  <c r="L24" i="21"/>
  <c r="I41" i="21" s="1"/>
  <c r="K27" i="21" l="1"/>
  <c r="I21" i="30"/>
  <c r="L27" i="21"/>
  <c r="I11" i="47" l="1"/>
  <c r="G28" i="47" l="1"/>
  <c r="I28" i="47" s="1"/>
  <c r="K11" i="47"/>
  <c r="I12" i="47"/>
  <c r="L11" i="47"/>
  <c r="I11" i="21"/>
  <c r="I14" i="21"/>
  <c r="K20" i="21"/>
  <c r="K12" i="47" l="1"/>
  <c r="K13" i="47" s="1"/>
  <c r="K17" i="47" s="1"/>
  <c r="K21" i="47" s="1"/>
  <c r="L12" i="47"/>
  <c r="I13" i="47"/>
  <c r="I17" i="47" s="1"/>
  <c r="I21" i="47" s="1"/>
  <c r="D34" i="47"/>
  <c r="M11" i="47"/>
  <c r="L28" i="47"/>
  <c r="I29" i="47"/>
  <c r="K28" i="47"/>
  <c r="L20" i="21"/>
  <c r="I18" i="30" s="1"/>
  <c r="F3" i="34"/>
  <c r="I30" i="47" l="1"/>
  <c r="D40" i="47"/>
  <c r="D41" i="47" s="1"/>
  <c r="L29" i="47"/>
  <c r="M28" i="47"/>
  <c r="K39" i="47"/>
  <c r="L39" i="47" s="1"/>
  <c r="K38" i="47"/>
  <c r="L38" i="47" s="1"/>
  <c r="K37" i="47"/>
  <c r="L37" i="47" s="1"/>
  <c r="K29" i="47"/>
  <c r="K36" i="47"/>
  <c r="E34" i="47"/>
  <c r="E40" i="47" s="1"/>
  <c r="E41" i="47" s="1"/>
  <c r="M12" i="47"/>
  <c r="L13" i="47"/>
  <c r="L17" i="47" s="1"/>
  <c r="L21" i="47" s="1"/>
  <c r="K11" i="21"/>
  <c r="M30" i="47" l="1"/>
  <c r="M39" i="47"/>
  <c r="L34" i="47"/>
  <c r="K40" i="47"/>
  <c r="K41" i="47" s="1"/>
  <c r="L36" i="47"/>
  <c r="M36" i="47" s="1"/>
  <c r="L30" i="47"/>
  <c r="I12" i="21"/>
  <c r="L12" i="21" s="1"/>
  <c r="L11" i="21"/>
  <c r="G28" i="21"/>
  <c r="I28" i="21" s="1"/>
  <c r="M31" i="47" l="1"/>
  <c r="M34" i="47"/>
  <c r="L40" i="47"/>
  <c r="M12" i="21"/>
  <c r="E34" i="21"/>
  <c r="E40" i="21" s="1"/>
  <c r="E41" i="21" s="1"/>
  <c r="M11" i="21"/>
  <c r="D34" i="21"/>
  <c r="D40" i="21" s="1"/>
  <c r="D41" i="21" s="1"/>
  <c r="I13" i="21"/>
  <c r="K12" i="21"/>
  <c r="E6" i="34"/>
  <c r="E7" i="34" s="1"/>
  <c r="K14" i="21"/>
  <c r="L14" i="21"/>
  <c r="L41" i="47" l="1"/>
  <c r="M40" i="47"/>
  <c r="F34" i="21"/>
  <c r="F40" i="21" s="1"/>
  <c r="F41" i="21" s="1"/>
  <c r="M14" i="21"/>
  <c r="K15" i="21"/>
  <c r="L15" i="21"/>
  <c r="M15" i="21" s="1"/>
  <c r="I29" i="21"/>
  <c r="L13" i="21"/>
  <c r="K13" i="21"/>
  <c r="I16" i="21"/>
  <c r="I17" i="21" s="1"/>
  <c r="E2" i="34" s="1"/>
  <c r="L28" i="21" l="1"/>
  <c r="M28" i="21" s="1"/>
  <c r="M30" i="21" s="1"/>
  <c r="K28" i="21"/>
  <c r="K39" i="21" s="1"/>
  <c r="L39" i="21" s="1"/>
  <c r="L16" i="21"/>
  <c r="K16" i="21"/>
  <c r="K37" i="21" l="1"/>
  <c r="L37" i="21" s="1"/>
  <c r="K38" i="21"/>
  <c r="L38" i="21" s="1"/>
  <c r="K36" i="21"/>
  <c r="L36" i="21" s="1"/>
  <c r="K29" i="21"/>
  <c r="F6" i="34"/>
  <c r="E5" i="34"/>
  <c r="L17" i="21"/>
  <c r="K17" i="21"/>
  <c r="F2" i="34" s="1"/>
  <c r="F5" i="34" s="1"/>
  <c r="C14" i="34" s="1"/>
  <c r="L29" i="21"/>
  <c r="I20" i="21"/>
  <c r="I21" i="21" s="1"/>
  <c r="I30" i="21" s="1"/>
  <c r="L35" i="21" l="1"/>
  <c r="M35" i="21" s="1"/>
  <c r="K40" i="21"/>
  <c r="K41" i="21" s="1"/>
  <c r="I19" i="30"/>
  <c r="M39" i="21"/>
  <c r="L34" i="21"/>
  <c r="F7" i="34"/>
  <c r="E16" i="34" s="1"/>
  <c r="F16" i="34" s="1"/>
  <c r="F14" i="34"/>
  <c r="C17" i="34"/>
  <c r="L21" i="21"/>
  <c r="K21" i="21"/>
  <c r="L40" i="21" l="1"/>
  <c r="M36" i="21"/>
  <c r="L30" i="21"/>
  <c r="M34" i="21"/>
  <c r="E15" i="34"/>
  <c r="F15" i="34" s="1"/>
  <c r="F17" i="34" s="1"/>
  <c r="M31" i="21" l="1"/>
  <c r="E17" i="34"/>
  <c r="G14" i="34"/>
  <c r="G16" i="34"/>
  <c r="G15" i="34"/>
  <c r="M40" i="21" l="1"/>
  <c r="L41"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K22" authorId="0" shapeId="0" xr:uid="{BDBE734C-A892-4A6E-81D4-2B74BD02C36E}">
      <text>
        <r>
          <rPr>
            <b/>
            <sz val="9"/>
            <color indexed="81"/>
            <rFont val="Tahoma"/>
            <charset val="1"/>
          </rPr>
          <t>DELL:</t>
        </r>
        <r>
          <rPr>
            <sz val="9"/>
            <color indexed="81"/>
            <rFont val="Tahoma"/>
            <charset val="1"/>
          </rPr>
          <t xml:space="preserve">
normalized</t>
        </r>
      </text>
    </comment>
    <comment ref="K29" authorId="0" shapeId="0" xr:uid="{E40D4AB7-6686-4D4D-A908-8F3FAE3F4FE1}">
      <text>
        <r>
          <rPr>
            <b/>
            <sz val="9"/>
            <color indexed="81"/>
            <rFont val="Tahoma"/>
            <family val="2"/>
          </rPr>
          <t>DELL:</t>
        </r>
        <r>
          <rPr>
            <sz val="9"/>
            <color indexed="81"/>
            <rFont val="Tahoma"/>
            <family val="2"/>
          </rPr>
          <t xml:space="preserve">
normalize for (Contract period - 1) year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K22" authorId="0" shapeId="0" xr:uid="{1FC83C30-B4BB-4C43-B7A0-CC825A48C9D9}">
      <text>
        <r>
          <rPr>
            <b/>
            <sz val="9"/>
            <color indexed="81"/>
            <rFont val="Tahoma"/>
            <charset val="1"/>
          </rPr>
          <t>DELL:</t>
        </r>
        <r>
          <rPr>
            <sz val="9"/>
            <color indexed="81"/>
            <rFont val="Tahoma"/>
            <charset val="1"/>
          </rPr>
          <t xml:space="preserve">
normalized</t>
        </r>
      </text>
    </comment>
    <comment ref="K29" authorId="0" shapeId="0" xr:uid="{5CA16F8D-1029-4A79-B496-37387EFB919C}">
      <text>
        <r>
          <rPr>
            <b/>
            <sz val="9"/>
            <color indexed="81"/>
            <rFont val="Tahoma"/>
            <family val="2"/>
          </rPr>
          <t>DELL:</t>
        </r>
        <r>
          <rPr>
            <sz val="9"/>
            <color indexed="81"/>
            <rFont val="Tahoma"/>
            <family val="2"/>
          </rPr>
          <t xml:space="preserve">
normalize for (Contract period - 1) year</t>
        </r>
      </text>
    </comment>
  </commentList>
</comments>
</file>

<file path=xl/sharedStrings.xml><?xml version="1.0" encoding="utf-8"?>
<sst xmlns="http://schemas.openxmlformats.org/spreadsheetml/2006/main" count="454" uniqueCount="284">
  <si>
    <t>Total</t>
  </si>
  <si>
    <t>One Time</t>
  </si>
  <si>
    <t xml:space="preserve">Customer </t>
  </si>
  <si>
    <t xml:space="preserve">Date </t>
  </si>
  <si>
    <t xml:space="preserve">Contract Year </t>
  </si>
  <si>
    <t>Total Hardware Cost</t>
  </si>
  <si>
    <t>Platform Subscription Fee</t>
  </si>
  <si>
    <t>AMC Cost</t>
  </si>
  <si>
    <t>One Time Cost</t>
  </si>
  <si>
    <t>Type</t>
  </si>
  <si>
    <t>Hardware Cost</t>
  </si>
  <si>
    <t>Per Year</t>
  </si>
  <si>
    <t>Items</t>
  </si>
  <si>
    <t>Details</t>
  </si>
  <si>
    <t>Unit Cost</t>
  </si>
  <si>
    <t>Nos. of years</t>
  </si>
  <si>
    <t>Annual Subscription fee</t>
  </si>
  <si>
    <t>Total Installation, Setup &amp; API Development Cost</t>
  </si>
  <si>
    <t>Model</t>
  </si>
  <si>
    <t>Margin</t>
  </si>
  <si>
    <t>Hardware - BOQ</t>
  </si>
  <si>
    <t>ERP Integration</t>
  </si>
  <si>
    <t>Implementation Cost</t>
  </si>
  <si>
    <t>Hardware Transportation Cost</t>
  </si>
  <si>
    <t>Subscription Fee</t>
  </si>
  <si>
    <t>AMC</t>
  </si>
  <si>
    <t>Quotation</t>
  </si>
  <si>
    <t>QUOTE #</t>
  </si>
  <si>
    <t>DATE</t>
  </si>
  <si>
    <t>CUSTOMER INFO</t>
  </si>
  <si>
    <t>DESCRIPTION OF WORK</t>
  </si>
  <si>
    <t>S.No.</t>
  </si>
  <si>
    <t>Terms &amp; Conditions</t>
  </si>
  <si>
    <t>Unit price on Margin</t>
  </si>
  <si>
    <t>Amount</t>
  </si>
  <si>
    <t>Spares</t>
  </si>
  <si>
    <r>
      <rPr>
        <b/>
        <sz val="10"/>
        <color theme="1"/>
        <rFont val="Arial"/>
        <family val="2"/>
      </rPr>
      <t xml:space="preserve">Address </t>
    </r>
    <r>
      <rPr>
        <sz val="10"/>
        <color theme="1"/>
        <rFont val="Arial"/>
        <family val="2"/>
      </rPr>
      <t>- Corporate HQ : 
Axestrack Software Solutions Pvt. Ltd., Office No.-19, 6th Floor, Jaipur Electronic Market, 
Near Riddhi Siddhi, Gopalpura bypass, Jaipur - 302018 , Rajasthan, India</t>
    </r>
  </si>
  <si>
    <t>GSTIN</t>
  </si>
  <si>
    <t>08AACCH0299P1Z1</t>
  </si>
  <si>
    <t>MSME No</t>
  </si>
  <si>
    <t>UDYAM-RJ-17-0051921</t>
  </si>
  <si>
    <t>Quote Validity : 15 days from submitted date</t>
  </si>
  <si>
    <t>Phone</t>
  </si>
  <si>
    <t>Email Id</t>
  </si>
  <si>
    <t>ABC/XY/YYMM##</t>
  </si>
  <si>
    <t>Quote no Format</t>
  </si>
  <si>
    <t xml:space="preserve">ABC </t>
  </si>
  <si>
    <t>Client name short Form like Hindalco Industries Limited will be HIL</t>
  </si>
  <si>
    <t>XY</t>
  </si>
  <si>
    <t xml:space="preserve">Axestrack Sales SPOC Intials </t>
  </si>
  <si>
    <t>YY</t>
  </si>
  <si>
    <t>Year</t>
  </si>
  <si>
    <t>MM</t>
  </si>
  <si>
    <t>Month</t>
  </si>
  <si>
    <t>##</t>
  </si>
  <si>
    <t>Quote send by Sales SPOC in that particular month, quote nos. should be start from 11</t>
  </si>
  <si>
    <t>Onsite Manpower</t>
  </si>
  <si>
    <t>Installation, Training &amp; Configuration</t>
  </si>
  <si>
    <t xml:space="preserve">AMC </t>
  </si>
  <si>
    <t xml:space="preserve">Total Cost of the Project Implementation &amp; Support + AMC </t>
  </si>
  <si>
    <t>Software Subscription Cost/month</t>
  </si>
  <si>
    <t>Address</t>
  </si>
  <si>
    <t>Please refer to the next page for Terms and Conditions &amp; Notes</t>
  </si>
  <si>
    <t>Spares - BOQ</t>
  </si>
  <si>
    <t>Spares Transportation Cost</t>
  </si>
  <si>
    <t>Spares BOQ Cost</t>
  </si>
  <si>
    <t>Hardware BOQ Cost</t>
  </si>
  <si>
    <t>PMO Cost</t>
  </si>
  <si>
    <t>Project Exclusions</t>
  </si>
  <si>
    <t xml:space="preserve">Project Period </t>
  </si>
  <si>
    <t>Months</t>
  </si>
  <si>
    <t>AMC 2nd Year till</t>
  </si>
  <si>
    <t>AMC 3rd Year till</t>
  </si>
  <si>
    <t>Remaining month</t>
  </si>
  <si>
    <t>AMC 1</t>
  </si>
  <si>
    <t>AMC 2</t>
  </si>
  <si>
    <t>Gate Out</t>
  </si>
  <si>
    <t>ERP Integration Cost</t>
  </si>
  <si>
    <t>Hypercare Period</t>
  </si>
  <si>
    <t>Implementation Period</t>
  </si>
  <si>
    <t>Hardware Delivery Month</t>
  </si>
  <si>
    <t>OEM Warranty Till</t>
  </si>
  <si>
    <t>Manpower Month post implementation</t>
  </si>
  <si>
    <t>Manpower 1</t>
  </si>
  <si>
    <t>Manpower 2</t>
  </si>
  <si>
    <t>Manpower 3</t>
  </si>
  <si>
    <t>1st year</t>
  </si>
  <si>
    <t>2nd year</t>
  </si>
  <si>
    <t>3rd year</t>
  </si>
  <si>
    <t>Manpower Period post hypercare</t>
  </si>
  <si>
    <t>Onsite Manpower, Project Management, Support &amp; Maintenance</t>
  </si>
  <si>
    <t>Gate In</t>
  </si>
  <si>
    <t>Contact Person</t>
  </si>
  <si>
    <t>Company Name</t>
  </si>
  <si>
    <t>Thanks for doing business with Axestrack Software Solution Pvt. Ltd.</t>
  </si>
  <si>
    <t>type of heads</t>
  </si>
  <si>
    <t>hardware</t>
  </si>
  <si>
    <t>Rfid reader</t>
  </si>
  <si>
    <t>Handheld</t>
  </si>
  <si>
    <t>tags</t>
  </si>
  <si>
    <t>Transportation cost</t>
  </si>
  <si>
    <t>Spares Trasnporation cost</t>
  </si>
  <si>
    <t>Impl. Cots</t>
  </si>
  <si>
    <t>AMC from 2nd year</t>
  </si>
  <si>
    <t>Headers</t>
  </si>
  <si>
    <t>MSTPL</t>
  </si>
  <si>
    <t>One time</t>
  </si>
  <si>
    <t>Project Management Cost</t>
  </si>
  <si>
    <t>Platform Fee</t>
  </si>
  <si>
    <t>Total Hardware Cost including Transportation</t>
  </si>
  <si>
    <t>Installation, Training &amp; Configuration Cost</t>
  </si>
  <si>
    <t>Landing Price</t>
  </si>
  <si>
    <t xml:space="preserve">Cost for Customer </t>
  </si>
  <si>
    <t>TOTAL ONE TIME COST</t>
  </si>
  <si>
    <t>AMC from 2nd Year Onwards</t>
  </si>
  <si>
    <t>Subscription fee</t>
  </si>
  <si>
    <t>Year - 1</t>
  </si>
  <si>
    <t>Year - 2</t>
  </si>
  <si>
    <t>Year - 3</t>
  </si>
  <si>
    <t>Year Wise Cost</t>
  </si>
  <si>
    <t>SUBSCRIPTION FEE</t>
  </si>
  <si>
    <t>Price Per trip</t>
  </si>
  <si>
    <t>Trips per month</t>
  </si>
  <si>
    <t>Count for Cal.</t>
  </si>
  <si>
    <t>Upto 1000</t>
  </si>
  <si>
    <t>1001 to 1250</t>
  </si>
  <si>
    <t>1251 to 1500</t>
  </si>
  <si>
    <t>1501 to 1750</t>
  </si>
  <si>
    <t>More than 1750</t>
  </si>
  <si>
    <t>Per month price</t>
  </si>
  <si>
    <t>Slab Wise 
Pricing per Trip</t>
  </si>
  <si>
    <t xml:space="preserve">The per trip price is calculated on the Total Subscription fee only. </t>
  </si>
  <si>
    <t>Hardware AMC</t>
  </si>
  <si>
    <t>Hardware AMC from 2nd Year onwards</t>
  </si>
  <si>
    <t>Saas Fee + PMO</t>
  </si>
  <si>
    <t xml:space="preserve">Hardware AMC </t>
  </si>
  <si>
    <t xml:space="preserve">Implementation </t>
  </si>
  <si>
    <t>Year 1 (Post Go-live)</t>
  </si>
  <si>
    <t>Year 2</t>
  </si>
  <si>
    <t>Year 3</t>
  </si>
  <si>
    <t xml:space="preserve">Hardware </t>
  </si>
  <si>
    <t xml:space="preserve">ERP </t>
  </si>
  <si>
    <t>Manpower Post Go-live</t>
  </si>
  <si>
    <t>SaaS Fee</t>
  </si>
  <si>
    <t>3 Years</t>
  </si>
  <si>
    <t>•             The solution exclusively applies to 40-ft container trucks; smaller trucks are not included at Loading &amp; Unloading dock
•             Weighbridge process automation
•             ERP/third-party product performance optimization
•             Data cleansing and extraction from source systems
•             Bug fixes or issues related to third-party services or plugins
•             Customizations related to third-party products or platforms
•             Civil works, including trenching, mounting poles, power provisioning, LAN setup, and enclosures
•             Hardware setup or commissioning if dependent on non-Axestrack devices
•             Coordination with third-party vendors or agents for non-Axestrack platforms or integrations</t>
  </si>
  <si>
    <t>Mundra Solar Techno-Park Private Limited</t>
  </si>
  <si>
    <t>agam.balotra@adani.com</t>
  </si>
  <si>
    <t>+91 6357937439</t>
  </si>
  <si>
    <t>Agam Balotra</t>
  </si>
  <si>
    <t>Village Tunda, Taluka Mundra, Kutch 370 435, Gujarat, India</t>
  </si>
  <si>
    <t>Support Manpower (Post Go-Live)</t>
  </si>
  <si>
    <t>Project Manpower Cost</t>
  </si>
  <si>
    <t>Lodging &amp; Travel Cost</t>
  </si>
  <si>
    <t>Cost for Customer for 3 Years</t>
  </si>
  <si>
    <t xml:space="preserve">Year </t>
  </si>
  <si>
    <t>Implementation Cost (4 months)</t>
  </si>
  <si>
    <t>Software Fee + Support &amp; Maintenance</t>
  </si>
  <si>
    <t>Per Month</t>
  </si>
  <si>
    <t>Platform Deployment + Integrations + Go-Live</t>
  </si>
  <si>
    <t>Hardware for installation during project phase + Spares + Hardware AMC for 3 years</t>
  </si>
  <si>
    <t>SaaS Subription fee (Post Go-Live)</t>
  </si>
  <si>
    <t>Per Trip</t>
  </si>
  <si>
    <t>Post Go-Live Project support team</t>
  </si>
  <si>
    <r>
      <t xml:space="preserve">•            All the prices mentioned in proposal are in rupees and exclusive of GST. Taxes as applicable
</t>
    </r>
    <r>
      <rPr>
        <sz val="10"/>
        <rFont val="Arial"/>
        <family val="2"/>
      </rPr>
      <t>•             Device ownership remains with Client</t>
    </r>
    <r>
      <rPr>
        <sz val="10"/>
        <color theme="1"/>
        <rFont val="Arial"/>
        <family val="2"/>
      </rPr>
      <t xml:space="preserve">
•             Above estimation is based on received details; any formal change or upgrade in hardware specifications or product features (beyond those installed during onboarding) will incur additional charges.
•             The standard one-year hardware warranty period, as per OEM guidelines, will commence from the date of hardware delivery.(Burned / Physical Damaged hardware will not be part of AMC) - Kindly refer to Hardware warranty T&amp;C attached.
•             Minimum Contract period will be for</t>
    </r>
    <r>
      <rPr>
        <sz val="10"/>
        <rFont val="Arial"/>
        <family val="2"/>
      </rPr>
      <t xml:space="preserve"> 3</t>
    </r>
    <r>
      <rPr>
        <sz val="10"/>
        <color theme="1"/>
        <rFont val="Arial"/>
        <family val="2"/>
      </rPr>
      <t xml:space="preserve"> Years
</t>
    </r>
    <r>
      <rPr>
        <b/>
        <sz val="10"/>
        <color theme="1"/>
        <rFont val="Arial"/>
        <family val="2"/>
      </rPr>
      <t xml:space="preserve">
Payment Terms:
</t>
    </r>
    <r>
      <rPr>
        <sz val="10"/>
        <color theme="1"/>
        <rFont val="Arial"/>
        <family val="2"/>
      </rPr>
      <t xml:space="preserve">•             Payment will be on milestone basis
             •             Milestone 1: 100% of Hardware cost with PO.
             •             Milestone 2: 100% of implementation cost at the time of project kick-off.
</t>
    </r>
    <r>
      <rPr>
        <sz val="10"/>
        <rFont val="Arial"/>
        <family val="2"/>
      </rPr>
      <t xml:space="preserve">•             A minimum monthly advance subscription fee of ₹1,00,000 (Rupees One Lakh only) shall apply, covering up to 12,500 trips per month, inclusive of both goods transportation and passenger vehicle movements. In the event that the number of trips in any given month exceeds 12,500, a charge of ₹8 per trip shall be applicable on the total number of trips for that month.
•             100% payments to be made within 15 days from the date of receipt of original or digitally signed invoice. In case of delay, overdue charges of 1.5% per month will be charged. </t>
    </r>
  </si>
  <si>
    <t>Digitization of MSTPL EMC’s traffic operations through the Connected Plant Logistics platform, bundled with supply, installation, and 3-year AMC of essential hardware.</t>
  </si>
  <si>
    <t>After 29th June 2024 Discussion - Without Tablet</t>
  </si>
  <si>
    <t>After 29th June 2024 Discussion - With Tablet</t>
  </si>
  <si>
    <t>Stage</t>
  </si>
  <si>
    <t>Transportation</t>
  </si>
  <si>
    <t>OLD - 29</t>
  </si>
  <si>
    <t>OLD (No tablet)</t>
  </si>
  <si>
    <t>New</t>
  </si>
  <si>
    <t>Landed Cost to Axestrack for 5 Years</t>
  </si>
  <si>
    <t>change in formula</t>
  </si>
  <si>
    <t>Spares BOQ Cost (Optional)</t>
  </si>
  <si>
    <t>One Time Installation + Third Party</t>
  </si>
  <si>
    <t>Project Margin</t>
  </si>
  <si>
    <t>Year 4</t>
  </si>
  <si>
    <t>Year 5</t>
  </si>
  <si>
    <t>AMC 3</t>
  </si>
  <si>
    <t>AMC 4</t>
  </si>
  <si>
    <t>AMC 4th Year till</t>
  </si>
  <si>
    <t>AMC 5th Year till</t>
  </si>
  <si>
    <t>Full solution befoere 29th discussion</t>
  </si>
  <si>
    <t>Hardware Stage wise</t>
  </si>
  <si>
    <t>Vehicle ULIP Verification (RC, Fitness, PUC)</t>
  </si>
  <si>
    <t>Reporting Timestamp</t>
  </si>
  <si>
    <t>Exit Timestamp</t>
  </si>
  <si>
    <t>IN-OUT Timestamp</t>
  </si>
  <si>
    <t>Vehicle Check</t>
  </si>
  <si>
    <t>Gate Digitalization</t>
  </si>
  <si>
    <t>Outcome-Based Pricing</t>
  </si>
  <si>
    <t>Vehicles with valid documents verified digitally</t>
  </si>
  <si>
    <t>Vehicles with recorded reporting time</t>
  </si>
  <si>
    <t>Vehicles processed through automated weighbridge</t>
  </si>
  <si>
    <t>Vehicles with recorded exit time</t>
  </si>
  <si>
    <t>Tare / Gross Weight</t>
  </si>
  <si>
    <t>Security Check</t>
  </si>
  <si>
    <t>Loading/ Unloading</t>
  </si>
  <si>
    <t>Stages</t>
  </si>
  <si>
    <t>&gt;95% = Premium Pricing</t>
  </si>
  <si>
    <t>Objectives</t>
  </si>
  <si>
    <t>Alert</t>
  </si>
  <si>
    <t>Vehicle to be logged digitally at entry</t>
  </si>
  <si>
    <t>Alerts triggered for identified events</t>
  </si>
  <si>
    <t xml:space="preserve">Digital inspection through compliance checklist </t>
  </si>
  <si>
    <t>Vehicle to be logged digitally at loading/unloading docks</t>
  </si>
  <si>
    <t>Stagewise TAT</t>
  </si>
  <si>
    <t>General</t>
  </si>
  <si>
    <t>Stagewise TAT for each vehicle</t>
  </si>
  <si>
    <t>&lt;90% = Basic Pricing</t>
  </si>
  <si>
    <t>90% to 95% = Standard Pricing</t>
  </si>
  <si>
    <t>Man less Weighbridge automation</t>
  </si>
  <si>
    <t>upto 80%</t>
  </si>
  <si>
    <t>80-95%</t>
  </si>
  <si>
    <t>95% and above</t>
  </si>
  <si>
    <t>Target</t>
  </si>
  <si>
    <t>Measurement Criteria</t>
  </si>
  <si>
    <t>% of vehicle entering plant</t>
  </si>
  <si>
    <t>% of vehicle registered on CPL</t>
  </si>
  <si>
    <t>% of eligible events</t>
  </si>
  <si>
    <t>Performance Indicator</t>
  </si>
  <si>
    <t>AM/AB/20250711</t>
  </si>
  <si>
    <t>+91 9928151368</t>
  </si>
  <si>
    <t>abhilash.jain@axestrack.com</t>
  </si>
  <si>
    <r>
      <t xml:space="preserve">aOS Digital Layer 
</t>
    </r>
    <r>
      <rPr>
        <sz val="10"/>
        <color theme="1"/>
        <rFont val="Arial"/>
        <family val="2"/>
      </rPr>
      <t>(Consolidated Single View for Multi Vendor Video Telematics, Analytical Dashboard, Reports &amp; Notifications)</t>
    </r>
  </si>
  <si>
    <t>Per Trip day</t>
  </si>
  <si>
    <t>ITCT (Integrated Telematics Command Tower)</t>
  </si>
  <si>
    <t>Amazon India</t>
  </si>
  <si>
    <r>
      <t xml:space="preserve">Managed Control Tower - Accident Prevention (L1)*
</t>
    </r>
    <r>
      <rPr>
        <sz val="10"/>
        <color theme="1"/>
        <rFont val="Arial"/>
        <family val="2"/>
      </rPr>
      <t>(Real Time Intervention for accident prevention on Critical alerts)</t>
    </r>
  </si>
  <si>
    <r>
      <t xml:space="preserve">Managed Control Tower - Safety Compliance (L1+L2)*
</t>
    </r>
    <r>
      <rPr>
        <sz val="10"/>
        <color theme="1"/>
        <rFont val="Arial"/>
        <family val="2"/>
      </rPr>
      <t>(Real Time Intervention for accident prevention and Safety Compliance alerts)</t>
    </r>
  </si>
  <si>
    <r>
      <t xml:space="preserve">Managed Control Tower - Performance Management  (L1+L2+L3)*
</t>
    </r>
    <r>
      <rPr>
        <sz val="10"/>
        <color theme="1"/>
        <rFont val="Arial"/>
        <family val="2"/>
      </rPr>
      <t>(Real Time Intervention for accident prevention, Safety Compliance &amp; performance management)</t>
    </r>
  </si>
  <si>
    <t>* : Refer next page for detailed description</t>
  </si>
  <si>
    <t xml:space="preserve">One Time </t>
  </si>
  <si>
    <r>
      <t xml:space="preserve">Setup Fee
</t>
    </r>
    <r>
      <rPr>
        <sz val="10"/>
        <color theme="1"/>
        <rFont val="Arial"/>
        <family val="2"/>
      </rPr>
      <t>(Design, Onboarding, Training &amp; Configuration)</t>
    </r>
  </si>
  <si>
    <r>
      <t xml:space="preserve">Video Telematics Integration Fee 
</t>
    </r>
    <r>
      <rPr>
        <sz val="10"/>
        <color theme="1"/>
        <rFont val="Arial"/>
        <family val="2"/>
      </rPr>
      <t>(API integration with Video Telematics Providers)</t>
    </r>
  </si>
  <si>
    <r>
      <t xml:space="preserve">ERP Integration Fee 
</t>
    </r>
    <r>
      <rPr>
        <sz val="10"/>
        <color theme="1"/>
        <rFont val="Arial"/>
        <family val="2"/>
      </rPr>
      <t>(API integration with Amazon's ERP)</t>
    </r>
  </si>
  <si>
    <t>One Time Per Vendor</t>
  </si>
  <si>
    <t>Kindly refer to Next Page for the Terms &amp; Conditions</t>
  </si>
  <si>
    <t>Amount (in INR)</t>
  </si>
  <si>
    <t>Alert Description</t>
  </si>
  <si>
    <t>Critical Fatigue Smart Alert</t>
  </si>
  <si>
    <t>3 fatigue events in 15 mins at speeds over 50 km/h. Signs include yawning, drowsiness, frequent blinking, and head dropping</t>
  </si>
  <si>
    <t>Critical Distraction Smart Alert</t>
  </si>
  <si>
    <t>Driver on phone smart alert</t>
  </si>
  <si>
    <t>Driver detected using a mobile phone above the speed threshold for a sustained duration, posing a high safety risk.</t>
  </si>
  <si>
    <t>Overspeed smart alert</t>
  </si>
  <si>
    <t xml:space="preserve"> X speed alerts in Y time</t>
  </si>
  <si>
    <t>Screen Occlusion</t>
  </si>
  <si>
    <t>Screen occlusion detected, indicating the Camera’s view is partially or fully blocked deliberately by driver</t>
  </si>
  <si>
    <t>Driver Authentication</t>
  </si>
  <si>
    <t>Failed driver identity verification, indicating unauthorized or unverified driver activity.</t>
  </si>
  <si>
    <t>HA / HB / HC</t>
  </si>
  <si>
    <t>Sudden acceleration (HA), harsh braking (HB), or harsh cornering (HC), indicating aggressive driving behavior.</t>
  </si>
  <si>
    <t>Continuous Driving</t>
  </si>
  <si>
    <t>Driver exceeded the permissible continuous driving duration without adequate rest, posing fatigue risk.</t>
  </si>
  <si>
    <t>Night Drive</t>
  </si>
  <si>
    <t>Vehicle operated during restricted night hours.</t>
  </si>
  <si>
    <t>Seat Belt</t>
  </si>
  <si>
    <t>Driver detected without wearing a seat belt.</t>
  </si>
  <si>
    <t>Smoking</t>
  </si>
  <si>
    <t>Driver detected smoking while operating the vehicle, leading to safety concerns.</t>
  </si>
  <si>
    <t>Detention Monitoring</t>
  </si>
  <si>
    <t>ePOD validation (if ePOD module subscribed)</t>
  </si>
  <si>
    <t>L1 : High severity alerts with high probability of accident, they need immediate intervention</t>
  </si>
  <si>
    <t>L2 : Low Severity alerts that may not directly result in an accident, but are important from safety perspective</t>
  </si>
  <si>
    <t>10 min</t>
  </si>
  <si>
    <t>30 min</t>
  </si>
  <si>
    <t>Appendix</t>
  </si>
  <si>
    <t>TAT monitoring (if Track &amp; Trace module is subscribed)</t>
  </si>
  <si>
    <t xml:space="preserve">Halt monitoring, Restricted Areas, Night Drive, Daily Kilometers, Slow Moving Vehicle etc. </t>
  </si>
  <si>
    <t>Stakeholder coordination for ePOD</t>
  </si>
  <si>
    <t>-</t>
  </si>
  <si>
    <t>SLA</t>
  </si>
  <si>
    <t>Source &amp; Destination detention optimization</t>
  </si>
  <si>
    <t>3 distraction events in 15 mins at speeds over 50 km/h. Signs include looking away from road.</t>
  </si>
  <si>
    <t>L3 : Real time interventions for efficient performance and TAT management</t>
  </si>
  <si>
    <t>World Trade Centre, 1st Cross Rd, Milk Colony, Subramanyanagar, 2 State, Rajajinagar, Bengaluru, Karnataka 560055</t>
  </si>
  <si>
    <t>Mr. Vinod Kumar T</t>
  </si>
  <si>
    <t>vinok@amazon.com</t>
  </si>
  <si>
    <t>+91 99017 67680</t>
  </si>
  <si>
    <r>
      <t xml:space="preserve">•             All the prices mentioned above are in INR and exclusive of GST. Taxes as applicable
•             Above estimates is based on received details; any formal change or upgrade in solution features (beyond those deployed during onboarding) will incur additional charges.
•             Minimum Contract period will be for 3 Years
•             During the setup phase, Axestrack's consultants' Lodging, Food &amp; Accommodation will be provided by Amazon
</t>
    </r>
    <r>
      <rPr>
        <b/>
        <sz val="10"/>
        <color theme="1"/>
        <rFont val="Arial"/>
        <family val="2"/>
      </rPr>
      <t xml:space="preserve">Payment Terms:
</t>
    </r>
    <r>
      <rPr>
        <sz val="10"/>
        <color theme="1"/>
        <rFont val="Arial"/>
        <family val="2"/>
      </rPr>
      <t>•             The Setup charges will need to be paid upfront within 7 days of PO release
•             Recurring payment will be on monthly basis 
•             100% payments to be made within 15 days from the date of receipt of original or digitally signed invoice.</t>
    </r>
  </si>
  <si>
    <t>Mr. Abhilash Jain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</si>
</sst>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 #,##0;[Red]&quot;₹&quot;\ \-#,##0"/>
    <numFmt numFmtId="43" formatCode="_ * #,##0.00_ ;_ * \-#,##0.00_ ;_ * &quot;-&quot;??_ ;_ @_ "/>
    <numFmt numFmtId="164" formatCode="_(* #,##0.00_);_(* \(#,##0.00\);_(* &quot;-&quot;??_);_(@_)"/>
    <numFmt numFmtId="165" formatCode="_(* #,##0_);_(* \(#,##0\);_(* &quot;-&quot;??_);_(@_)"/>
    <numFmt numFmtId="166" formatCode="[$-F800]dddd\,\ mmmm\ dd\,\ yyyy"/>
    <numFmt numFmtId="167" formatCode="0.0000%"/>
    <numFmt numFmtId="168" formatCode="[$-14009]dd\ mmmm\ yyyy;@"/>
    <numFmt numFmtId="169" formatCode="_ * #,##0_ ;_ * \-#,##0_ ;_ * &quot;-&quot;??_ ;_ @_ "/>
    <numFmt numFmtId="171" formatCode="0.000%"/>
    <numFmt numFmtId="172" formatCode="0.0"/>
  </numFmts>
  <fonts count="33" x14ac:knownFonts="1">
    <font>
      <sz val="11"/>
      <color theme="1"/>
      <name val="Calibri"/>
      <family val="2"/>
      <scheme val="minor"/>
    </font>
    <font>
      <sz val="11"/>
      <color theme="1"/>
      <name val="Calibri"/>
      <family val="2"/>
      <scheme val="minor"/>
    </font>
    <font>
      <sz val="12"/>
      <name val="Calibri"/>
      <family val="2"/>
      <scheme val="minor"/>
    </font>
    <font>
      <b/>
      <sz val="12"/>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14"/>
      <color theme="1"/>
      <name val="Calibri"/>
      <family val="2"/>
      <scheme val="minor"/>
    </font>
    <font>
      <b/>
      <sz val="14"/>
      <name val="Calibri"/>
      <family val="2"/>
      <scheme val="minor"/>
    </font>
    <font>
      <sz val="14"/>
      <color theme="1"/>
      <name val="Calibri"/>
      <family val="2"/>
      <scheme val="minor"/>
    </font>
    <font>
      <sz val="10"/>
      <color theme="1"/>
      <name val="Arial"/>
      <family val="2"/>
    </font>
    <font>
      <b/>
      <sz val="10"/>
      <color theme="1"/>
      <name val="Arial"/>
      <family val="2"/>
    </font>
    <font>
      <sz val="10"/>
      <name val="Arial"/>
      <family val="2"/>
    </font>
    <font>
      <b/>
      <sz val="10"/>
      <color theme="0"/>
      <name val="Arial"/>
      <family val="2"/>
    </font>
    <font>
      <b/>
      <sz val="14"/>
      <color theme="4"/>
      <name val="Arial"/>
      <family val="2"/>
    </font>
    <font>
      <sz val="8"/>
      <name val="Calibri"/>
      <family val="2"/>
      <scheme val="minor"/>
    </font>
    <font>
      <i/>
      <sz val="10"/>
      <color theme="1"/>
      <name val="Arial"/>
      <family val="2"/>
    </font>
    <font>
      <sz val="9"/>
      <color indexed="81"/>
      <name val="Tahoma"/>
      <family val="2"/>
    </font>
    <font>
      <b/>
      <sz val="9"/>
      <color indexed="81"/>
      <name val="Tahoma"/>
      <family val="2"/>
    </font>
    <font>
      <sz val="9"/>
      <color indexed="81"/>
      <name val="Tahoma"/>
      <charset val="1"/>
    </font>
    <font>
      <b/>
      <sz val="9"/>
      <color indexed="81"/>
      <name val="Tahoma"/>
      <charset val="1"/>
    </font>
    <font>
      <b/>
      <sz val="11"/>
      <color theme="0"/>
      <name val="Calibri"/>
      <family val="2"/>
      <scheme val="minor"/>
    </font>
    <font>
      <sz val="11"/>
      <color theme="0"/>
      <name val="Calibri"/>
      <family val="2"/>
      <scheme val="minor"/>
    </font>
    <font>
      <sz val="11"/>
      <color rgb="FFFF0000"/>
      <name val="Calibri"/>
      <family val="2"/>
      <scheme val="minor"/>
    </font>
    <font>
      <u/>
      <sz val="11"/>
      <color theme="10"/>
      <name val="Calibri"/>
      <family val="2"/>
      <scheme val="minor"/>
    </font>
    <font>
      <u/>
      <sz val="11"/>
      <color theme="10"/>
      <name val="Arial"/>
      <family val="2"/>
    </font>
    <font>
      <b/>
      <sz val="20"/>
      <color theme="1"/>
      <name val="Calibri"/>
      <family val="2"/>
      <scheme val="minor"/>
    </font>
    <font>
      <b/>
      <sz val="24"/>
      <color theme="1"/>
      <name val="Calibri"/>
      <family val="2"/>
      <scheme val="minor"/>
    </font>
    <font>
      <b/>
      <sz val="10"/>
      <name val="Arial"/>
      <family val="2"/>
    </font>
    <font>
      <b/>
      <sz val="12"/>
      <color theme="0"/>
      <name val="Arial"/>
      <family val="2"/>
    </font>
    <font>
      <i/>
      <sz val="8"/>
      <color theme="1"/>
      <name val="Arial"/>
      <family val="2"/>
    </font>
    <font>
      <b/>
      <sz val="14"/>
      <color theme="1"/>
      <name val="Arial"/>
      <family val="2"/>
    </font>
    <font>
      <sz val="14"/>
      <color theme="1"/>
      <name val="Arial"/>
      <family val="2"/>
    </font>
  </fonts>
  <fills count="21">
    <fill>
      <patternFill patternType="none"/>
    </fill>
    <fill>
      <patternFill patternType="gray125"/>
    </fill>
    <fill>
      <patternFill patternType="solid">
        <fgColor theme="4"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2"/>
        <bgColor indexed="64"/>
      </patternFill>
    </fill>
    <fill>
      <patternFill patternType="solid">
        <fgColor theme="9" tint="0.59999389629810485"/>
        <bgColor indexed="64"/>
      </patternFill>
    </fill>
    <fill>
      <patternFill patternType="solid">
        <fgColor theme="4" tint="0.79998168889431442"/>
        <bgColor rgb="FFD4D4D4"/>
      </patternFill>
    </fill>
    <fill>
      <patternFill patternType="solid">
        <fgColor theme="4"/>
        <bgColor rgb="FFD4D4D4"/>
      </patternFill>
    </fill>
    <fill>
      <patternFill patternType="solid">
        <fgColor theme="4"/>
        <bgColor indexed="64"/>
      </patternFill>
    </fill>
    <fill>
      <patternFill patternType="solid">
        <fgColor theme="6" tint="0.59999389629810485"/>
        <bgColor indexed="64"/>
      </patternFill>
    </fill>
    <fill>
      <patternFill patternType="solid">
        <fgColor theme="6" tint="0.59999389629810485"/>
        <bgColor rgb="FFD4D4D4"/>
      </patternFill>
    </fill>
    <fill>
      <patternFill patternType="solid">
        <fgColor theme="2"/>
        <bgColor rgb="FFD4D4D4"/>
      </patternFill>
    </fill>
    <fill>
      <patternFill patternType="solid">
        <fgColor rgb="FFFFFF00"/>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0" tint="-0.14999847407452621"/>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right/>
      <top/>
      <bottom style="thin">
        <color indexed="64"/>
      </bottom>
      <diagonal/>
    </border>
    <border>
      <left style="medium">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0" fontId="24" fillId="0" borderId="0" applyNumberFormat="0" applyFill="0" applyBorder="0" applyAlignment="0" applyProtection="0"/>
  </cellStyleXfs>
  <cellXfs count="239">
    <xf numFmtId="0" fontId="0" fillId="0" borderId="0" xfId="0"/>
    <xf numFmtId="0" fontId="0" fillId="0" borderId="1" xfId="0" applyBorder="1"/>
    <xf numFmtId="0" fontId="6" fillId="0" borderId="1" xfId="0" applyFont="1" applyBorder="1" applyAlignment="1">
      <alignment vertical="center"/>
    </xf>
    <xf numFmtId="0" fontId="0" fillId="0" borderId="1" xfId="0" applyBorder="1" applyAlignment="1">
      <alignment horizontal="center"/>
    </xf>
    <xf numFmtId="9" fontId="6" fillId="3" borderId="1" xfId="0" applyNumberFormat="1" applyFont="1" applyFill="1" applyBorder="1" applyAlignment="1">
      <alignment horizontal="center" vertical="center"/>
    </xf>
    <xf numFmtId="0" fontId="5" fillId="7" borderId="1" xfId="0" applyFont="1" applyFill="1" applyBorder="1" applyAlignment="1">
      <alignment horizontal="center" vertical="center"/>
    </xf>
    <xf numFmtId="0" fontId="6" fillId="0" borderId="0" xfId="0" applyFont="1"/>
    <xf numFmtId="0" fontId="6" fillId="0" borderId="7" xfId="0" applyFont="1" applyBorder="1" applyAlignment="1">
      <alignment horizontal="left" vertical="center"/>
    </xf>
    <xf numFmtId="0" fontId="6" fillId="0" borderId="7" xfId="0" applyFont="1" applyBorder="1" applyAlignment="1">
      <alignment vertical="center"/>
    </xf>
    <xf numFmtId="0" fontId="6" fillId="5" borderId="7" xfId="0" applyFont="1" applyFill="1" applyBorder="1" applyAlignment="1">
      <alignment vertical="center"/>
    </xf>
    <xf numFmtId="9" fontId="6" fillId="3" borderId="7" xfId="0" applyNumberFormat="1" applyFont="1" applyFill="1" applyBorder="1" applyAlignment="1">
      <alignment horizontal="center" vertical="center"/>
    </xf>
    <xf numFmtId="0" fontId="6" fillId="0" borderId="1" xfId="0" applyFont="1" applyBorder="1" applyAlignment="1">
      <alignment horizontal="left" vertical="center"/>
    </xf>
    <xf numFmtId="0" fontId="6" fillId="5" borderId="1" xfId="0" applyFont="1" applyFill="1" applyBorder="1" applyAlignment="1">
      <alignment vertical="center"/>
    </xf>
    <xf numFmtId="0" fontId="6" fillId="0" borderId="1" xfId="0" applyFont="1" applyBorder="1" applyAlignment="1">
      <alignment vertical="center" wrapText="1"/>
    </xf>
    <xf numFmtId="0" fontId="5" fillId="4" borderId="1" xfId="0" applyFont="1" applyFill="1" applyBorder="1" applyAlignment="1">
      <alignment horizontal="center" vertical="center"/>
    </xf>
    <xf numFmtId="167" fontId="0" fillId="0" borderId="0" xfId="2" applyNumberFormat="1" applyFont="1"/>
    <xf numFmtId="10" fontId="6" fillId="5" borderId="2" xfId="0" applyNumberFormat="1" applyFont="1" applyFill="1" applyBorder="1" applyAlignment="1">
      <alignment horizontal="center" vertical="center"/>
    </xf>
    <xf numFmtId="0" fontId="13" fillId="12" borderId="1" xfId="0" applyFont="1" applyFill="1" applyBorder="1" applyAlignment="1">
      <alignment horizontal="center" vertical="center" wrapText="1"/>
    </xf>
    <xf numFmtId="165" fontId="2" fillId="0" borderId="7" xfId="1" applyNumberFormat="1" applyFont="1" applyFill="1" applyBorder="1" applyAlignment="1">
      <alignment horizontal="right" vertical="center" wrapText="1" readingOrder="1"/>
    </xf>
    <xf numFmtId="165" fontId="2" fillId="0" borderId="1" xfId="1" applyNumberFormat="1" applyFont="1" applyFill="1" applyBorder="1" applyAlignment="1">
      <alignment horizontal="right" vertical="center" wrapText="1" readingOrder="1"/>
    </xf>
    <xf numFmtId="165" fontId="3" fillId="4" borderId="1" xfId="1" applyNumberFormat="1" applyFont="1" applyFill="1" applyBorder="1" applyAlignment="1">
      <alignment horizontal="right" vertical="center" wrapText="1" readingOrder="1"/>
    </xf>
    <xf numFmtId="165" fontId="3" fillId="7" borderId="1" xfId="1" applyNumberFormat="1" applyFont="1" applyFill="1" applyBorder="1" applyAlignment="1">
      <alignment horizontal="right" vertical="center" wrapText="1" readingOrder="1"/>
    </xf>
    <xf numFmtId="165" fontId="8" fillId="10" borderId="2" xfId="1" applyNumberFormat="1" applyFont="1" applyFill="1" applyBorder="1" applyAlignment="1">
      <alignment horizontal="right" vertical="center" wrapText="1" readingOrder="1"/>
    </xf>
    <xf numFmtId="165" fontId="2" fillId="0" borderId="8" xfId="1" applyNumberFormat="1" applyFont="1" applyFill="1" applyBorder="1" applyAlignment="1">
      <alignment horizontal="right" vertical="center" wrapText="1" readingOrder="1"/>
    </xf>
    <xf numFmtId="165" fontId="3" fillId="4" borderId="9" xfId="1" applyNumberFormat="1" applyFont="1" applyFill="1" applyBorder="1" applyAlignment="1">
      <alignment horizontal="right" vertical="center" wrapText="1" readingOrder="1"/>
    </xf>
    <xf numFmtId="165" fontId="3" fillId="7" borderId="9" xfId="1" applyNumberFormat="1" applyFont="1" applyFill="1" applyBorder="1" applyAlignment="1">
      <alignment horizontal="right" vertical="center" wrapText="1" readingOrder="1"/>
    </xf>
    <xf numFmtId="165" fontId="0" fillId="0" borderId="0" xfId="1" applyNumberFormat="1" applyFont="1"/>
    <xf numFmtId="164" fontId="0" fillId="0" borderId="0" xfId="0" applyNumberFormat="1"/>
    <xf numFmtId="165" fontId="6" fillId="5" borderId="24" xfId="1" applyNumberFormat="1" applyFont="1" applyFill="1" applyBorder="1" applyAlignment="1">
      <alignment horizontal="center" vertical="center"/>
    </xf>
    <xf numFmtId="165" fontId="8" fillId="5" borderId="2" xfId="1" applyNumberFormat="1" applyFont="1" applyFill="1" applyBorder="1" applyAlignment="1">
      <alignment horizontal="right" vertical="center" wrapText="1" readingOrder="1"/>
    </xf>
    <xf numFmtId="0" fontId="6" fillId="0" borderId="24" xfId="0" applyFont="1" applyBorder="1" applyAlignment="1">
      <alignment horizontal="center" vertical="center" wrapText="1"/>
    </xf>
    <xf numFmtId="0" fontId="6" fillId="0" borderId="1" xfId="0" applyFont="1" applyBorder="1" applyAlignment="1">
      <alignment horizontal="center" vertical="center"/>
    </xf>
    <xf numFmtId="0" fontId="7" fillId="7" borderId="4" xfId="0" applyFont="1" applyFill="1" applyBorder="1" applyAlignment="1">
      <alignment horizontal="center" vertical="center" wrapText="1"/>
    </xf>
    <xf numFmtId="0" fontId="7" fillId="7" borderId="5" xfId="0" applyFont="1" applyFill="1" applyBorder="1" applyAlignment="1">
      <alignment horizontal="center" vertical="center" wrapText="1"/>
    </xf>
    <xf numFmtId="0" fontId="7" fillId="7" borderId="23"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0" xfId="0" applyFont="1" applyAlignment="1">
      <alignment vertical="center"/>
    </xf>
    <xf numFmtId="0" fontId="10" fillId="0" borderId="0" xfId="0" applyFont="1" applyAlignment="1">
      <alignment vertical="center" wrapText="1"/>
    </xf>
    <xf numFmtId="165" fontId="3" fillId="9" borderId="1" xfId="1" applyNumberFormat="1" applyFont="1" applyFill="1" applyBorder="1" applyAlignment="1">
      <alignment horizontal="right" vertical="center" wrapText="1" readingOrder="1"/>
    </xf>
    <xf numFmtId="165" fontId="12" fillId="0" borderId="1" xfId="1" applyNumberFormat="1" applyFont="1" applyFill="1" applyBorder="1" applyAlignment="1">
      <alignment vertical="center" wrapText="1" readingOrder="1"/>
    </xf>
    <xf numFmtId="0" fontId="4" fillId="0" borderId="1" xfId="0" applyFont="1" applyBorder="1"/>
    <xf numFmtId="0" fontId="6" fillId="0" borderId="25" xfId="0" applyFont="1" applyBorder="1" applyAlignment="1">
      <alignment horizontal="center" vertical="center" wrapText="1"/>
    </xf>
    <xf numFmtId="0" fontId="6" fillId="0" borderId="26" xfId="0" applyFont="1" applyBorder="1" applyAlignment="1">
      <alignment horizontal="center" vertical="center" wrapText="1"/>
    </xf>
    <xf numFmtId="0" fontId="0" fillId="2" borderId="1" xfId="0" applyFill="1" applyBorder="1"/>
    <xf numFmtId="165" fontId="0" fillId="0" borderId="1" xfId="0" applyNumberFormat="1" applyBorder="1"/>
    <xf numFmtId="9" fontId="6" fillId="0" borderId="0" xfId="0" applyNumberFormat="1" applyFont="1" applyAlignment="1">
      <alignment horizontal="center"/>
    </xf>
    <xf numFmtId="0" fontId="9" fillId="3" borderId="3" xfId="0" applyFont="1" applyFill="1" applyBorder="1" applyAlignment="1">
      <alignment horizontal="center" vertical="center"/>
    </xf>
    <xf numFmtId="0" fontId="0" fillId="0" borderId="0" xfId="0" applyAlignment="1">
      <alignment vertical="center"/>
    </xf>
    <xf numFmtId="0" fontId="9" fillId="0" borderId="0" xfId="0" applyFont="1" applyAlignment="1">
      <alignment vertical="center"/>
    </xf>
    <xf numFmtId="0" fontId="6" fillId="0" borderId="0" xfId="0" applyFont="1" applyAlignment="1">
      <alignment vertical="center"/>
    </xf>
    <xf numFmtId="166" fontId="9" fillId="3" borderId="9" xfId="0" applyNumberFormat="1" applyFont="1" applyFill="1" applyBorder="1" applyAlignment="1">
      <alignment horizontal="center" vertical="center"/>
    </xf>
    <xf numFmtId="0" fontId="9" fillId="3" borderId="9" xfId="0" applyFont="1" applyFill="1" applyBorder="1" applyAlignment="1">
      <alignment horizontal="center" vertical="center"/>
    </xf>
    <xf numFmtId="9" fontId="9" fillId="3" borderId="9" xfId="0" applyNumberFormat="1" applyFont="1" applyFill="1" applyBorder="1" applyAlignment="1">
      <alignment horizontal="center" vertical="center"/>
    </xf>
    <xf numFmtId="3" fontId="9" fillId="3" borderId="9" xfId="0" applyNumberFormat="1" applyFont="1" applyFill="1" applyBorder="1" applyAlignment="1">
      <alignment horizontal="center" vertical="center"/>
    </xf>
    <xf numFmtId="3" fontId="9" fillId="3" borderId="13" xfId="0" applyNumberFormat="1" applyFont="1" applyFill="1" applyBorder="1" applyAlignment="1">
      <alignment horizontal="center" vertical="center"/>
    </xf>
    <xf numFmtId="0" fontId="4" fillId="19" borderId="1" xfId="0" applyFont="1" applyFill="1" applyBorder="1"/>
    <xf numFmtId="164" fontId="0" fillId="0" borderId="0" xfId="1" applyFont="1" applyAlignment="1">
      <alignment vertical="center"/>
    </xf>
    <xf numFmtId="9" fontId="0" fillId="0" borderId="0" xfId="2" applyFont="1"/>
    <xf numFmtId="0" fontId="0" fillId="3" borderId="1" xfId="0" applyFill="1" applyBorder="1"/>
    <xf numFmtId="165" fontId="0" fillId="0" borderId="0" xfId="0" applyNumberFormat="1"/>
    <xf numFmtId="165" fontId="10" fillId="0" borderId="0" xfId="0" applyNumberFormat="1" applyFont="1" applyAlignment="1">
      <alignment vertical="center"/>
    </xf>
    <xf numFmtId="1" fontId="6" fillId="0" borderId="1" xfId="0" applyNumberFormat="1" applyFont="1" applyBorder="1" applyAlignment="1">
      <alignment horizontal="center" vertical="center"/>
    </xf>
    <xf numFmtId="43" fontId="0" fillId="0" borderId="0" xfId="0" applyNumberFormat="1"/>
    <xf numFmtId="0" fontId="0" fillId="0" borderId="1" xfId="0" applyBorder="1" applyAlignment="1">
      <alignment vertical="center"/>
    </xf>
    <xf numFmtId="165" fontId="0" fillId="0" borderId="1" xfId="1" applyNumberFormat="1" applyFont="1" applyBorder="1" applyAlignment="1">
      <alignment vertical="center"/>
    </xf>
    <xf numFmtId="0" fontId="0" fillId="0" borderId="1" xfId="0" applyBorder="1" applyAlignment="1">
      <alignment horizontal="left" vertical="center"/>
    </xf>
    <xf numFmtId="165" fontId="0" fillId="18" borderId="1" xfId="0" applyNumberFormat="1" applyFill="1" applyBorder="1" applyAlignment="1">
      <alignment vertical="center"/>
    </xf>
    <xf numFmtId="165" fontId="0" fillId="18" borderId="1" xfId="0" applyNumberFormat="1" applyFill="1" applyBorder="1"/>
    <xf numFmtId="0" fontId="4" fillId="0" borderId="0" xfId="0" applyFont="1"/>
    <xf numFmtId="0" fontId="5" fillId="0" borderId="0" xfId="0" applyFont="1" applyAlignment="1">
      <alignment vertical="center" wrapText="1"/>
    </xf>
    <xf numFmtId="0" fontId="21" fillId="13" borderId="1" xfId="0" applyFont="1" applyFill="1" applyBorder="1" applyAlignment="1">
      <alignment horizontal="center" vertical="center"/>
    </xf>
    <xf numFmtId="0" fontId="21" fillId="13" borderId="1" xfId="0" applyFont="1" applyFill="1" applyBorder="1" applyAlignment="1">
      <alignment horizontal="center"/>
    </xf>
    <xf numFmtId="0" fontId="21" fillId="13" borderId="11" xfId="0" applyFont="1" applyFill="1" applyBorder="1" applyAlignment="1">
      <alignment horizontal="center" vertical="center"/>
    </xf>
    <xf numFmtId="0" fontId="21" fillId="13" borderId="0" xfId="0" applyFont="1" applyFill="1" applyAlignment="1">
      <alignment horizontal="center"/>
    </xf>
    <xf numFmtId="0" fontId="21" fillId="13" borderId="0" xfId="0" applyFont="1" applyFill="1"/>
    <xf numFmtId="169" fontId="0" fillId="0" borderId="1" xfId="0" applyNumberFormat="1" applyBorder="1"/>
    <xf numFmtId="0" fontId="4" fillId="0" borderId="1" xfId="0" applyFont="1" applyBorder="1" applyAlignment="1">
      <alignment horizontal="left"/>
    </xf>
    <xf numFmtId="9" fontId="0" fillId="0" borderId="0" xfId="0" applyNumberFormat="1"/>
    <xf numFmtId="6" fontId="0" fillId="0" borderId="0" xfId="0" applyNumberFormat="1"/>
    <xf numFmtId="0" fontId="0" fillId="0" borderId="0" xfId="0" applyAlignment="1">
      <alignment wrapText="1"/>
    </xf>
    <xf numFmtId="0" fontId="0" fillId="0" borderId="0" xfId="2" applyNumberFormat="1" applyFont="1"/>
    <xf numFmtId="171" fontId="6" fillId="3" borderId="7" xfId="0" applyNumberFormat="1" applyFont="1" applyFill="1" applyBorder="1" applyAlignment="1">
      <alignment horizontal="center" vertical="center"/>
    </xf>
    <xf numFmtId="171" fontId="5" fillId="9" borderId="1" xfId="0" applyNumberFormat="1" applyFont="1" applyFill="1" applyBorder="1" applyAlignment="1">
      <alignment horizontal="center" vertical="center"/>
    </xf>
    <xf numFmtId="171" fontId="5" fillId="4" borderId="1" xfId="0" applyNumberFormat="1" applyFont="1" applyFill="1" applyBorder="1" applyAlignment="1">
      <alignment horizontal="center" vertical="center"/>
    </xf>
    <xf numFmtId="0" fontId="7" fillId="3" borderId="31" xfId="0" applyFont="1" applyFill="1" applyBorder="1" applyAlignment="1">
      <alignment horizontal="center" vertical="center" wrapText="1"/>
    </xf>
    <xf numFmtId="165" fontId="8" fillId="10" borderId="25" xfId="1" applyNumberFormat="1" applyFont="1" applyFill="1" applyBorder="1" applyAlignment="1">
      <alignment horizontal="right" vertical="center" wrapText="1" readingOrder="1"/>
    </xf>
    <xf numFmtId="10" fontId="26" fillId="17" borderId="1" xfId="2" applyNumberFormat="1" applyFont="1" applyFill="1" applyBorder="1"/>
    <xf numFmtId="0" fontId="6" fillId="17" borderId="1" xfId="0" applyFont="1" applyFill="1" applyBorder="1" applyAlignment="1">
      <alignment horizontal="center" vertical="center" wrapText="1"/>
    </xf>
    <xf numFmtId="0" fontId="6" fillId="17" borderId="1" xfId="0" applyFont="1" applyFill="1" applyBorder="1" applyAlignment="1">
      <alignment vertical="center"/>
    </xf>
    <xf numFmtId="0" fontId="7" fillId="7" borderId="1" xfId="0" applyFont="1" applyFill="1" applyBorder="1" applyAlignment="1">
      <alignment horizontal="center" vertical="center" wrapText="1"/>
    </xf>
    <xf numFmtId="172" fontId="6" fillId="0" borderId="7" xfId="0" applyNumberFormat="1" applyFont="1" applyBorder="1" applyAlignment="1">
      <alignment horizontal="center" vertical="center"/>
    </xf>
    <xf numFmtId="0" fontId="9" fillId="0" borderId="1" xfId="0" applyFont="1" applyBorder="1" applyAlignment="1">
      <alignment vertical="center"/>
    </xf>
    <xf numFmtId="165" fontId="9" fillId="0" borderId="1" xfId="0" applyNumberFormat="1" applyFont="1" applyBorder="1" applyAlignment="1">
      <alignment vertical="center"/>
    </xf>
    <xf numFmtId="165" fontId="9" fillId="8" borderId="1" xfId="0" applyNumberFormat="1" applyFont="1" applyFill="1" applyBorder="1" applyAlignment="1">
      <alignment vertical="center"/>
    </xf>
    <xf numFmtId="0" fontId="7" fillId="8" borderId="1" xfId="0" applyFont="1" applyFill="1" applyBorder="1" applyAlignment="1">
      <alignment vertical="center"/>
    </xf>
    <xf numFmtId="165" fontId="7" fillId="8" borderId="1" xfId="0" applyNumberFormat="1" applyFont="1" applyFill="1" applyBorder="1" applyAlignment="1">
      <alignment vertical="center"/>
    </xf>
    <xf numFmtId="165" fontId="9" fillId="8" borderId="27" xfId="0" applyNumberFormat="1" applyFont="1" applyFill="1" applyBorder="1" applyAlignment="1">
      <alignment vertical="center"/>
    </xf>
    <xf numFmtId="165" fontId="9" fillId="0" borderId="27" xfId="0" applyNumberFormat="1" applyFont="1" applyBorder="1" applyAlignment="1">
      <alignment vertical="center"/>
    </xf>
    <xf numFmtId="165" fontId="9" fillId="0" borderId="0" xfId="0" applyNumberFormat="1" applyFont="1" applyAlignment="1">
      <alignment vertical="center"/>
    </xf>
    <xf numFmtId="0" fontId="7" fillId="7" borderId="30" xfId="0" applyFont="1" applyFill="1" applyBorder="1" applyAlignment="1">
      <alignment vertical="center"/>
    </xf>
    <xf numFmtId="0" fontId="7" fillId="7" borderId="29" xfId="0" applyFont="1" applyFill="1" applyBorder="1" applyAlignment="1">
      <alignment vertical="center"/>
    </xf>
    <xf numFmtId="0" fontId="4"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xf>
    <xf numFmtId="0" fontId="4" fillId="8" borderId="1" xfId="0" applyFont="1" applyFill="1" applyBorder="1" applyAlignment="1">
      <alignment vertical="center" wrapText="1"/>
    </xf>
    <xf numFmtId="0" fontId="4" fillId="8" borderId="25" xfId="0" applyFont="1" applyFill="1" applyBorder="1" applyAlignment="1">
      <alignment horizontal="center" vertical="center" wrapText="1"/>
    </xf>
    <xf numFmtId="0" fontId="4" fillId="8" borderId="25" xfId="0" applyFont="1" applyFill="1" applyBorder="1"/>
    <xf numFmtId="165" fontId="0" fillId="0" borderId="10" xfId="1" applyNumberFormat="1" applyFont="1" applyBorder="1" applyAlignment="1">
      <alignment horizontal="center" vertical="center"/>
    </xf>
    <xf numFmtId="165" fontId="0" fillId="0" borderId="10" xfId="1" applyNumberFormat="1" applyFont="1" applyBorder="1" applyAlignment="1">
      <alignment vertical="center"/>
    </xf>
    <xf numFmtId="165" fontId="0" fillId="0" borderId="5" xfId="1" applyNumberFormat="1" applyFont="1" applyBorder="1" applyAlignment="1">
      <alignment horizontal="center" vertical="center"/>
    </xf>
    <xf numFmtId="165" fontId="0" fillId="0" borderId="5" xfId="1" applyNumberFormat="1" applyFont="1" applyBorder="1" applyAlignment="1">
      <alignment vertical="center"/>
    </xf>
    <xf numFmtId="165" fontId="4" fillId="0" borderId="7" xfId="0" applyNumberFormat="1" applyFont="1" applyBorder="1"/>
    <xf numFmtId="165" fontId="4" fillId="0" borderId="7" xfId="1" applyNumberFormat="1" applyFont="1" applyBorder="1"/>
    <xf numFmtId="165" fontId="0" fillId="0" borderId="28" xfId="1" applyNumberFormat="1" applyFont="1" applyBorder="1" applyAlignment="1">
      <alignment horizontal="center" vertical="center"/>
    </xf>
    <xf numFmtId="0" fontId="4" fillId="8" borderId="11" xfId="0" applyFont="1" applyFill="1" applyBorder="1" applyAlignment="1">
      <alignment vertical="center"/>
    </xf>
    <xf numFmtId="165" fontId="0" fillId="0" borderId="34" xfId="1" applyNumberFormat="1" applyFont="1" applyBorder="1" applyAlignment="1">
      <alignment horizontal="center" vertical="center"/>
    </xf>
    <xf numFmtId="165" fontId="0" fillId="0" borderId="35" xfId="1" applyNumberFormat="1" applyFont="1" applyBorder="1" applyAlignment="1">
      <alignment horizontal="center" vertical="center"/>
    </xf>
    <xf numFmtId="165" fontId="0" fillId="0" borderId="36" xfId="1" applyNumberFormat="1" applyFont="1" applyBorder="1" applyAlignment="1">
      <alignment horizontal="center" vertical="center"/>
    </xf>
    <xf numFmtId="165" fontId="4" fillId="0" borderId="33" xfId="0" applyNumberFormat="1" applyFont="1" applyBorder="1"/>
    <xf numFmtId="9" fontId="0" fillId="0" borderId="1" xfId="0" applyNumberFormat="1" applyBorder="1" applyAlignment="1">
      <alignment vertical="center" wrapText="1"/>
    </xf>
    <xf numFmtId="0" fontId="0" fillId="0" borderId="7" xfId="0" applyBorder="1" applyAlignment="1">
      <alignment vertical="center"/>
    </xf>
    <xf numFmtId="0" fontId="10" fillId="0" borderId="0" xfId="0" applyFont="1" applyAlignment="1">
      <alignment horizontal="center" vertical="center"/>
    </xf>
    <xf numFmtId="0" fontId="10" fillId="0" borderId="1" xfId="0" applyFont="1" applyBorder="1" applyAlignment="1">
      <alignment horizontal="left" vertical="center"/>
    </xf>
    <xf numFmtId="0" fontId="11" fillId="15" borderId="1" xfId="0" applyFont="1" applyFill="1" applyBorder="1" applyAlignment="1">
      <alignment horizontal="center" vertical="center"/>
    </xf>
    <xf numFmtId="0" fontId="10" fillId="0" borderId="1" xfId="0" quotePrefix="1" applyFont="1" applyBorder="1" applyAlignment="1">
      <alignment horizontal="left" vertical="center"/>
    </xf>
    <xf numFmtId="0" fontId="11" fillId="16" borderId="1" xfId="0" applyFont="1" applyFill="1" applyBorder="1" applyAlignment="1">
      <alignment horizontal="right" vertical="center"/>
    </xf>
    <xf numFmtId="0" fontId="14" fillId="0" borderId="17" xfId="0" applyFont="1" applyBorder="1" applyAlignment="1">
      <alignment horizontal="center" vertical="center"/>
    </xf>
    <xf numFmtId="0" fontId="24" fillId="0" borderId="1" xfId="3" applyBorder="1" applyAlignment="1">
      <alignment horizontal="left" vertical="center"/>
    </xf>
    <xf numFmtId="0" fontId="11" fillId="14" borderId="1" xfId="0" applyFont="1" applyFill="1" applyBorder="1" applyAlignment="1">
      <alignment horizontal="center" vertical="center"/>
    </xf>
    <xf numFmtId="0" fontId="10" fillId="0" borderId="1" xfId="0" quotePrefix="1" applyFont="1" applyBorder="1" applyAlignment="1">
      <alignment horizontal="left" vertical="center" wrapText="1"/>
    </xf>
    <xf numFmtId="0" fontId="10" fillId="0" borderId="1" xfId="0" applyFont="1" applyBorder="1" applyAlignment="1">
      <alignment horizontal="left" vertical="center"/>
    </xf>
    <xf numFmtId="0" fontId="12" fillId="0" borderId="1" xfId="0" quotePrefix="1" applyFont="1" applyBorder="1" applyAlignment="1">
      <alignment horizontal="left" vertical="center" wrapText="1"/>
    </xf>
    <xf numFmtId="0" fontId="12" fillId="0" borderId="1" xfId="0" applyFont="1" applyBorder="1" applyAlignment="1">
      <alignment horizontal="left" vertical="center" wrapText="1"/>
    </xf>
    <xf numFmtId="0" fontId="13" fillId="0" borderId="1" xfId="0" applyFont="1" applyBorder="1" applyAlignment="1">
      <alignment horizontal="center" vertical="center"/>
    </xf>
    <xf numFmtId="0" fontId="11" fillId="0" borderId="17" xfId="0" applyFont="1" applyBorder="1" applyAlignment="1">
      <alignment horizontal="left" vertical="center" wrapText="1"/>
    </xf>
    <xf numFmtId="0" fontId="11" fillId="0" borderId="11" xfId="0" applyFont="1" applyBorder="1" applyAlignment="1">
      <alignment horizontal="left"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13" fillId="12" borderId="17" xfId="0" applyFont="1" applyFill="1" applyBorder="1" applyAlignment="1">
      <alignment horizontal="center" vertical="center" wrapText="1"/>
    </xf>
    <xf numFmtId="0" fontId="13" fillId="12" borderId="11"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1" fillId="16" borderId="1" xfId="0" applyFont="1" applyFill="1" applyBorder="1" applyAlignment="1">
      <alignment horizontal="right" vertical="center"/>
    </xf>
    <xf numFmtId="0" fontId="10" fillId="0" borderId="1" xfId="0" quotePrefix="1" applyFont="1" applyBorder="1" applyAlignment="1">
      <alignment horizontal="left" vertical="center"/>
    </xf>
    <xf numFmtId="0" fontId="11" fillId="9" borderId="1" xfId="0" applyFont="1" applyFill="1" applyBorder="1" applyAlignment="1">
      <alignment horizontal="left" vertical="center"/>
    </xf>
    <xf numFmtId="0" fontId="25" fillId="0" borderId="1" xfId="3" applyFont="1" applyBorder="1" applyAlignment="1">
      <alignment horizontal="left" vertical="center"/>
    </xf>
    <xf numFmtId="0" fontId="11" fillId="16" borderId="1" xfId="0" applyFont="1" applyFill="1" applyBorder="1" applyAlignment="1">
      <alignment horizontal="left" vertical="center"/>
    </xf>
    <xf numFmtId="0" fontId="10" fillId="0" borderId="1" xfId="0" applyFont="1" applyBorder="1" applyAlignment="1">
      <alignment horizontal="center" vertical="center"/>
    </xf>
    <xf numFmtId="0" fontId="11" fillId="11" borderId="1" xfId="0" applyFont="1" applyFill="1" applyBorder="1" applyAlignment="1">
      <alignment horizontal="center" vertical="center"/>
    </xf>
    <xf numFmtId="168" fontId="10" fillId="0" borderId="1" xfId="0" applyNumberFormat="1" applyFont="1" applyBorder="1" applyAlignment="1">
      <alignment horizontal="center" vertical="center"/>
    </xf>
    <xf numFmtId="0" fontId="16" fillId="0" borderId="1" xfId="0" applyFont="1" applyBorder="1" applyAlignment="1">
      <alignment horizontal="center" vertical="center" wrapText="1"/>
    </xf>
    <xf numFmtId="0" fontId="14" fillId="0" borderId="1" xfId="0" applyFont="1" applyBorder="1" applyAlignment="1">
      <alignment horizontal="center" vertical="center"/>
    </xf>
    <xf numFmtId="0" fontId="11" fillId="15" borderId="1" xfId="0" applyFont="1" applyFill="1" applyBorder="1" applyAlignment="1">
      <alignment horizontal="center" vertical="center"/>
    </xf>
    <xf numFmtId="3" fontId="0" fillId="0" borderId="25" xfId="0" applyNumberFormat="1" applyBorder="1" applyAlignment="1">
      <alignment horizontal="center" vertical="center"/>
    </xf>
    <xf numFmtId="3" fontId="0" fillId="0" borderId="27" xfId="0" applyNumberForma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0" fillId="0" borderId="1" xfId="0" applyBorder="1" applyAlignment="1">
      <alignment horizontal="center" vertical="center"/>
    </xf>
    <xf numFmtId="0" fontId="4" fillId="8" borderId="1" xfId="0" applyFont="1" applyFill="1" applyBorder="1" applyAlignment="1">
      <alignment horizontal="center" vertical="center"/>
    </xf>
    <xf numFmtId="0" fontId="0" fillId="0" borderId="1" xfId="0" applyBorder="1" applyAlignment="1">
      <alignment horizontal="center"/>
    </xf>
    <xf numFmtId="165" fontId="0" fillId="0" borderId="10" xfId="1" applyNumberFormat="1" applyFont="1" applyBorder="1" applyAlignment="1">
      <alignment horizontal="center" vertical="center"/>
    </xf>
    <xf numFmtId="165" fontId="0" fillId="0" borderId="1" xfId="1" applyNumberFormat="1" applyFont="1" applyBorder="1" applyAlignment="1">
      <alignment horizontal="center" vertical="center"/>
    </xf>
    <xf numFmtId="0" fontId="4" fillId="8" borderId="32" xfId="0" applyFont="1" applyFill="1" applyBorder="1" applyAlignment="1">
      <alignment horizontal="center" vertical="center" wrapText="1"/>
    </xf>
    <xf numFmtId="0" fontId="4" fillId="8" borderId="25" xfId="0" applyFont="1" applyFill="1" applyBorder="1" applyAlignment="1">
      <alignment horizontal="center" vertical="center" wrapText="1"/>
    </xf>
    <xf numFmtId="165" fontId="0" fillId="0" borderId="34" xfId="1" applyNumberFormat="1" applyFont="1" applyBorder="1" applyAlignment="1">
      <alignment horizontal="center" vertical="center"/>
    </xf>
    <xf numFmtId="165" fontId="0" fillId="0" borderId="11" xfId="1" applyNumberFormat="1" applyFont="1" applyBorder="1" applyAlignment="1">
      <alignment horizontal="center" vertical="center"/>
    </xf>
    <xf numFmtId="0" fontId="4" fillId="8" borderId="1" xfId="0" applyFont="1" applyFill="1" applyBorder="1" applyAlignment="1">
      <alignment horizontal="center" vertical="center" wrapText="1"/>
    </xf>
    <xf numFmtId="0" fontId="5" fillId="0" borderId="22" xfId="0" applyFont="1" applyBorder="1" applyAlignment="1">
      <alignment horizontal="center" vertical="center"/>
    </xf>
    <xf numFmtId="0" fontId="5" fillId="0" borderId="20" xfId="0" applyFont="1" applyBorder="1" applyAlignment="1">
      <alignment horizontal="center" vertical="center"/>
    </xf>
    <xf numFmtId="0" fontId="5" fillId="7" borderId="17" xfId="0" applyFont="1" applyFill="1" applyBorder="1" applyAlignment="1">
      <alignment horizontal="right" vertical="center"/>
    </xf>
    <xf numFmtId="0" fontId="5" fillId="7" borderId="18" xfId="0" applyFont="1" applyFill="1" applyBorder="1" applyAlignment="1">
      <alignment horizontal="right" vertical="center"/>
    </xf>
    <xf numFmtId="0" fontId="5" fillId="7" borderId="11" xfId="0" applyFont="1" applyFill="1" applyBorder="1" applyAlignment="1">
      <alignment horizontal="right" vertical="center"/>
    </xf>
    <xf numFmtId="0" fontId="7" fillId="10" borderId="21" xfId="0" applyFont="1" applyFill="1" applyBorder="1" applyAlignment="1">
      <alignment horizontal="right" vertical="center"/>
    </xf>
    <xf numFmtId="0" fontId="7" fillId="10" borderId="14" xfId="0" applyFont="1" applyFill="1" applyBorder="1" applyAlignment="1">
      <alignment horizontal="right" vertical="center"/>
    </xf>
    <xf numFmtId="0" fontId="7" fillId="10" borderId="12" xfId="0" applyFont="1" applyFill="1" applyBorder="1" applyAlignment="1">
      <alignment horizontal="right" vertical="center"/>
    </xf>
    <xf numFmtId="0" fontId="5" fillId="4" borderId="17" xfId="0" applyFont="1" applyFill="1" applyBorder="1" applyAlignment="1">
      <alignment horizontal="right" vertical="center"/>
    </xf>
    <xf numFmtId="0" fontId="5" fillId="4" borderId="18" xfId="0" applyFont="1" applyFill="1" applyBorder="1" applyAlignment="1">
      <alignment horizontal="right" vertical="center"/>
    </xf>
    <xf numFmtId="0" fontId="5" fillId="4" borderId="11" xfId="0" applyFont="1" applyFill="1" applyBorder="1" applyAlignment="1">
      <alignment horizontal="right" vertical="center"/>
    </xf>
    <xf numFmtId="0" fontId="5" fillId="0" borderId="22" xfId="0" applyFont="1" applyBorder="1" applyAlignment="1">
      <alignment horizontal="center" vertical="center" wrapText="1"/>
    </xf>
    <xf numFmtId="0" fontId="5" fillId="0" borderId="20"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7" xfId="0" applyFont="1" applyBorder="1" applyAlignment="1">
      <alignment horizontal="center" vertical="center" wrapText="1"/>
    </xf>
    <xf numFmtId="0" fontId="6" fillId="0" borderId="7" xfId="0" applyFont="1" applyBorder="1" applyAlignment="1">
      <alignment horizontal="center" vertical="center" wrapText="1"/>
    </xf>
    <xf numFmtId="0" fontId="7" fillId="4" borderId="16" xfId="0" applyFont="1" applyFill="1" applyBorder="1" applyAlignment="1">
      <alignment horizontal="left" vertical="center"/>
    </xf>
    <xf numFmtId="0" fontId="7" fillId="4" borderId="1" xfId="0" applyFont="1" applyFill="1" applyBorder="1" applyAlignment="1">
      <alignment horizontal="left" vertical="center"/>
    </xf>
    <xf numFmtId="0" fontId="7" fillId="4" borderId="19" xfId="0" applyFont="1" applyFill="1" applyBorder="1" applyAlignment="1">
      <alignment horizontal="left" vertical="center"/>
    </xf>
    <xf numFmtId="0" fontId="7" fillId="4" borderId="2" xfId="0" applyFont="1" applyFill="1" applyBorder="1" applyAlignment="1">
      <alignment horizontal="left" vertical="center"/>
    </xf>
    <xf numFmtId="0" fontId="5" fillId="0" borderId="16" xfId="0" applyFont="1" applyBorder="1" applyAlignment="1">
      <alignment horizontal="center" vertical="center"/>
    </xf>
    <xf numFmtId="0" fontId="6" fillId="0" borderId="1" xfId="0" applyFont="1" applyBorder="1" applyAlignment="1">
      <alignment horizontal="center" vertical="center" wrapText="1"/>
    </xf>
    <xf numFmtId="0" fontId="6" fillId="0" borderId="28" xfId="0" applyFont="1" applyBorder="1" applyAlignment="1">
      <alignment horizontal="center" vertical="center" wrapText="1"/>
    </xf>
    <xf numFmtId="0" fontId="6" fillId="9" borderId="17" xfId="0" applyFont="1" applyFill="1" applyBorder="1" applyAlignment="1">
      <alignment horizontal="right" vertical="center"/>
    </xf>
    <xf numFmtId="0" fontId="6" fillId="9" borderId="18" xfId="0" applyFont="1" applyFill="1" applyBorder="1" applyAlignment="1">
      <alignment horizontal="right" vertical="center"/>
    </xf>
    <xf numFmtId="0" fontId="6" fillId="9" borderId="11" xfId="0" applyFont="1" applyFill="1" applyBorder="1" applyAlignment="1">
      <alignment horizontal="right" vertical="center"/>
    </xf>
    <xf numFmtId="0" fontId="7" fillId="4" borderId="15" xfId="0" applyFont="1" applyFill="1" applyBorder="1" applyAlignment="1">
      <alignment horizontal="left" vertical="center"/>
    </xf>
    <xf numFmtId="0" fontId="7" fillId="4" borderId="10" xfId="0" applyFont="1" applyFill="1" applyBorder="1" applyAlignment="1">
      <alignment horizontal="left" vertical="center"/>
    </xf>
    <xf numFmtId="0" fontId="27" fillId="17" borderId="0" xfId="0" applyFont="1" applyFill="1" applyAlignment="1">
      <alignment horizontal="center" vertical="center"/>
    </xf>
    <xf numFmtId="0" fontId="0" fillId="0" borderId="1" xfId="0" applyBorder="1" applyAlignment="1">
      <alignment horizontal="left" vertical="center"/>
    </xf>
    <xf numFmtId="0" fontId="4" fillId="6" borderId="1" xfId="0" applyFont="1" applyFill="1" applyBorder="1" applyAlignment="1">
      <alignment horizontal="center" vertical="center" wrapText="1"/>
    </xf>
    <xf numFmtId="0" fontId="22" fillId="13" borderId="17" xfId="0" applyFont="1" applyFill="1" applyBorder="1" applyAlignment="1">
      <alignment horizontal="center" vertical="center"/>
    </xf>
    <xf numFmtId="0" fontId="22" fillId="13" borderId="18" xfId="0" applyFont="1" applyFill="1" applyBorder="1" applyAlignment="1">
      <alignment horizontal="center" vertical="center"/>
    </xf>
    <xf numFmtId="0" fontId="22" fillId="13" borderId="11" xfId="0" applyFont="1" applyFill="1" applyBorder="1" applyAlignment="1">
      <alignment horizontal="center" vertical="center"/>
    </xf>
    <xf numFmtId="0" fontId="0" fillId="18" borderId="17" xfId="0" applyFill="1" applyBorder="1" applyAlignment="1">
      <alignment horizontal="right" vertical="center"/>
    </xf>
    <xf numFmtId="0" fontId="0" fillId="18" borderId="18" xfId="0" applyFill="1" applyBorder="1" applyAlignment="1">
      <alignment horizontal="right" vertical="center"/>
    </xf>
    <xf numFmtId="0" fontId="0" fillId="18" borderId="11" xfId="0" applyFill="1" applyBorder="1" applyAlignment="1">
      <alignment horizontal="right" vertical="center"/>
    </xf>
    <xf numFmtId="0" fontId="23" fillId="0" borderId="0" xfId="0" applyFont="1" applyAlignment="1">
      <alignment horizontal="center" vertical="center" wrapText="1"/>
    </xf>
    <xf numFmtId="0" fontId="21" fillId="13" borderId="1" xfId="0" applyFont="1" applyFill="1" applyBorder="1" applyAlignment="1">
      <alignment horizontal="center" vertical="center"/>
    </xf>
    <xf numFmtId="0" fontId="21" fillId="13" borderId="0" xfId="0" applyFont="1" applyFill="1" applyAlignment="1">
      <alignment horizontal="center" vertical="center" wrapText="1"/>
    </xf>
    <xf numFmtId="0" fontId="21" fillId="13" borderId="0" xfId="0" applyFont="1" applyFill="1" applyAlignment="1">
      <alignment horizontal="center" vertical="center"/>
    </xf>
    <xf numFmtId="0" fontId="4" fillId="6" borderId="1" xfId="0" applyFont="1" applyFill="1" applyBorder="1" applyAlignment="1">
      <alignment horizontal="center" vertical="center"/>
    </xf>
    <xf numFmtId="0" fontId="5" fillId="8" borderId="1" xfId="0" applyFont="1" applyFill="1" applyBorder="1" applyAlignment="1">
      <alignment horizontal="center" vertical="center" wrapText="1"/>
    </xf>
    <xf numFmtId="0" fontId="4" fillId="19" borderId="17" xfId="0" applyFont="1" applyFill="1" applyBorder="1" applyAlignment="1">
      <alignment horizontal="center"/>
    </xf>
    <xf numFmtId="0" fontId="4" fillId="19" borderId="18" xfId="0" applyFont="1" applyFill="1" applyBorder="1" applyAlignment="1">
      <alignment horizontal="center"/>
    </xf>
    <xf numFmtId="0" fontId="4" fillId="19" borderId="11" xfId="0" applyFont="1" applyFill="1" applyBorder="1" applyAlignment="1">
      <alignment horizontal="center"/>
    </xf>
    <xf numFmtId="0" fontId="4" fillId="0" borderId="29" xfId="0" applyFont="1" applyBorder="1" applyAlignment="1">
      <alignment horizontal="center"/>
    </xf>
    <xf numFmtId="0" fontId="13" fillId="12" borderId="18" xfId="0" applyFont="1" applyFill="1" applyBorder="1" applyAlignment="1">
      <alignment horizontal="center" vertical="center" wrapText="1"/>
    </xf>
    <xf numFmtId="0" fontId="10" fillId="0" borderId="1" xfId="0" applyFont="1" applyBorder="1" applyAlignment="1">
      <alignment vertical="center" wrapText="1"/>
    </xf>
    <xf numFmtId="0" fontId="11" fillId="0" borderId="18" xfId="0" applyFont="1" applyBorder="1" applyAlignment="1">
      <alignment horizontal="left" vertical="center" wrapText="1"/>
    </xf>
    <xf numFmtId="0" fontId="28" fillId="0" borderId="1" xfId="0" applyFont="1" applyBorder="1" applyAlignment="1">
      <alignment horizontal="left" vertical="center" wrapText="1"/>
    </xf>
    <xf numFmtId="0" fontId="13" fillId="12" borderId="1" xfId="0" applyFont="1" applyFill="1" applyBorder="1" applyAlignment="1">
      <alignment vertical="center" wrapText="1"/>
    </xf>
    <xf numFmtId="0" fontId="30" fillId="0" borderId="17" xfId="0" applyFont="1" applyBorder="1" applyAlignment="1">
      <alignment horizontal="left" vertical="center"/>
    </xf>
    <xf numFmtId="0" fontId="30" fillId="0" borderId="18" xfId="0" applyFont="1" applyBorder="1" applyAlignment="1">
      <alignment horizontal="left" vertical="center"/>
    </xf>
    <xf numFmtId="0" fontId="30" fillId="0" borderId="11" xfId="0" applyFont="1" applyBorder="1" applyAlignment="1">
      <alignment horizontal="left" vertical="center"/>
    </xf>
    <xf numFmtId="165" fontId="12" fillId="0" borderId="1" xfId="1" applyNumberFormat="1" applyFont="1" applyFill="1" applyBorder="1" applyAlignment="1">
      <alignment horizontal="left" vertical="center" wrapText="1" readingOrder="1"/>
    </xf>
    <xf numFmtId="0" fontId="29" fillId="12" borderId="25" xfId="0" applyFont="1" applyFill="1" applyBorder="1" applyAlignment="1">
      <alignment horizontal="center" vertical="center" wrapText="1"/>
    </xf>
    <xf numFmtId="0" fontId="31" fillId="20" borderId="17" xfId="0" applyFont="1" applyFill="1" applyBorder="1" applyAlignment="1">
      <alignment horizontal="left" vertical="center" wrapText="1"/>
    </xf>
    <xf numFmtId="0" fontId="31" fillId="20" borderId="18" xfId="0" applyFont="1" applyFill="1" applyBorder="1" applyAlignment="1">
      <alignment horizontal="left" vertical="center" wrapText="1"/>
    </xf>
    <xf numFmtId="0" fontId="31" fillId="20" borderId="11" xfId="0" applyFont="1" applyFill="1" applyBorder="1" applyAlignment="1">
      <alignment horizontal="left" vertical="center" wrapText="1"/>
    </xf>
    <xf numFmtId="0" fontId="29" fillId="12" borderId="26" xfId="0" applyFont="1" applyFill="1" applyBorder="1" applyAlignment="1">
      <alignment horizontal="center" vertical="center" wrapText="1"/>
    </xf>
    <xf numFmtId="0" fontId="32" fillId="0" borderId="1" xfId="0" applyFont="1" applyBorder="1" applyAlignment="1">
      <alignment horizontal="left" vertical="center"/>
    </xf>
    <xf numFmtId="0" fontId="32" fillId="0" borderId="26" xfId="0" applyFont="1" applyBorder="1" applyAlignment="1">
      <alignment horizontal="left" vertical="center" wrapText="1"/>
    </xf>
    <xf numFmtId="0" fontId="32" fillId="0" borderId="25" xfId="0" applyNumberFormat="1" applyFont="1" applyBorder="1" applyAlignment="1">
      <alignment horizontal="center" vertical="center" wrapText="1"/>
    </xf>
    <xf numFmtId="0" fontId="32" fillId="0" borderId="27" xfId="0" applyNumberFormat="1" applyFont="1" applyBorder="1" applyAlignment="1">
      <alignment horizontal="center" vertical="center" wrapText="1"/>
    </xf>
    <xf numFmtId="0" fontId="32" fillId="0" borderId="7" xfId="0" applyNumberFormat="1" applyFont="1" applyBorder="1" applyAlignment="1">
      <alignment horizontal="center" vertical="center" wrapText="1"/>
    </xf>
    <xf numFmtId="0" fontId="9" fillId="0" borderId="25" xfId="0" applyNumberFormat="1" applyFont="1" applyBorder="1" applyAlignment="1">
      <alignment horizontal="center" vertical="center" wrapText="1"/>
    </xf>
    <xf numFmtId="0" fontId="9" fillId="0" borderId="27" xfId="0" applyNumberFormat="1" applyFont="1" applyBorder="1" applyAlignment="1">
      <alignment horizontal="center" vertical="center" wrapText="1"/>
    </xf>
    <xf numFmtId="0" fontId="9" fillId="0" borderId="7" xfId="0" applyNumberFormat="1" applyFont="1" applyBorder="1" applyAlignment="1">
      <alignment horizontal="center" vertical="center" wrapText="1"/>
    </xf>
    <xf numFmtId="0" fontId="32" fillId="0" borderId="1" xfId="0" applyFont="1" applyBorder="1" applyAlignment="1">
      <alignment horizontal="left" vertical="center" wrapText="1"/>
    </xf>
    <xf numFmtId="0" fontId="10" fillId="0" borderId="0" xfId="0" quotePrefix="1" applyFont="1" applyAlignment="1">
      <alignment vertical="center"/>
    </xf>
    <xf numFmtId="0" fontId="31" fillId="14" borderId="1" xfId="0" applyFont="1" applyFill="1" applyBorder="1" applyAlignment="1">
      <alignment horizontal="center" vertical="center"/>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686874</xdr:colOff>
      <xdr:row>0</xdr:row>
      <xdr:rowOff>53662</xdr:rowOff>
    </xdr:from>
    <xdr:to>
      <xdr:col>3</xdr:col>
      <xdr:colOff>2146479</xdr:colOff>
      <xdr:row>0</xdr:row>
      <xdr:rowOff>608627</xdr:rowOff>
    </xdr:to>
    <xdr:pic>
      <xdr:nvPicPr>
        <xdr:cNvPr id="4" name="Picture 3">
          <a:extLst>
            <a:ext uri="{FF2B5EF4-FFF2-40B4-BE49-F238E27FC236}">
              <a16:creationId xmlns:a16="http://schemas.microsoft.com/office/drawing/2014/main" id="{606F575C-BC35-4B43-8E55-656476F874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44959" y="53662"/>
          <a:ext cx="2318196" cy="5549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827315</xdr:colOff>
      <xdr:row>0</xdr:row>
      <xdr:rowOff>54429</xdr:rowOff>
    </xdr:from>
    <xdr:to>
      <xdr:col>2</xdr:col>
      <xdr:colOff>1110343</xdr:colOff>
      <xdr:row>0</xdr:row>
      <xdr:rowOff>855552</xdr:rowOff>
    </xdr:to>
    <xdr:pic>
      <xdr:nvPicPr>
        <xdr:cNvPr id="3" name="Picture 2">
          <a:extLst>
            <a:ext uri="{FF2B5EF4-FFF2-40B4-BE49-F238E27FC236}">
              <a16:creationId xmlns:a16="http://schemas.microsoft.com/office/drawing/2014/main" id="{9E2968DF-E487-42A8-BAE8-B91ADF78C2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9715" y="54429"/>
          <a:ext cx="3341914" cy="8011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691045</xdr:colOff>
      <xdr:row>0</xdr:row>
      <xdr:rowOff>30407</xdr:rowOff>
    </xdr:from>
    <xdr:to>
      <xdr:col>5</xdr:col>
      <xdr:colOff>263476</xdr:colOff>
      <xdr:row>0</xdr:row>
      <xdr:rowOff>587348</xdr:rowOff>
    </xdr:to>
    <xdr:pic>
      <xdr:nvPicPr>
        <xdr:cNvPr id="2" name="Picture 1">
          <a:extLst>
            <a:ext uri="{FF2B5EF4-FFF2-40B4-BE49-F238E27FC236}">
              <a16:creationId xmlns:a16="http://schemas.microsoft.com/office/drawing/2014/main" id="{5B5F16F2-3E4F-4278-9952-C49F743088FC}"/>
            </a:ext>
          </a:extLst>
        </xdr:cNvPr>
        <xdr:cNvPicPr>
          <a:picLocks noChangeAspect="1"/>
        </xdr:cNvPicPr>
      </xdr:nvPicPr>
      <xdr:blipFill>
        <a:blip xmlns:r="http://schemas.openxmlformats.org/officeDocument/2006/relationships" r:embed="rId1"/>
        <a:stretch>
          <a:fillRect/>
        </a:stretch>
      </xdr:blipFill>
      <xdr:spPr>
        <a:xfrm>
          <a:off x="1247305" y="30407"/>
          <a:ext cx="2384211" cy="55694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bhilash.jain@axestrack.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mailto:agam.balotra@adani.com"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4C1BF-2D87-4439-8D8C-3C84BD425848}">
  <sheetPr>
    <tabColor theme="8" tint="0.79998168889431442"/>
  </sheetPr>
  <dimension ref="B1:I31"/>
  <sheetViews>
    <sheetView tabSelected="1" view="pageBreakPreview" topLeftCell="B1" zoomScale="106" zoomScaleNormal="88" zoomScaleSheetLayoutView="126" zoomScalePageLayoutView="41" workbookViewId="0">
      <selection activeCell="D6" sqref="D10:G10"/>
    </sheetView>
  </sheetViews>
  <sheetFormatPr defaultRowHeight="13.2" x14ac:dyDescent="0.3"/>
  <cols>
    <col min="1" max="1" width="2.21875" style="37" customWidth="1"/>
    <col min="2" max="2" width="5.88671875" style="37" customWidth="1"/>
    <col min="3" max="3" width="12.44140625" style="37" customWidth="1"/>
    <col min="4" max="4" width="31.88671875" style="38" customWidth="1"/>
    <col min="5" max="5" width="20" style="37" customWidth="1"/>
    <col min="6" max="6" width="16.109375" style="37" customWidth="1"/>
    <col min="7" max="7" width="17.33203125" style="37" customWidth="1"/>
    <col min="8" max="8" width="10.44140625" style="37" bestFit="1" customWidth="1"/>
    <col min="9" max="9" width="23.33203125" style="37" customWidth="1"/>
    <col min="10" max="10" width="10.44140625" style="37" bestFit="1" customWidth="1"/>
    <col min="11" max="16384" width="8.88671875" style="37"/>
  </cols>
  <sheetData>
    <row r="1" spans="2:7" ht="49.8" customHeight="1" x14ac:dyDescent="0.3">
      <c r="B1" s="147"/>
      <c r="C1" s="147"/>
      <c r="D1" s="147"/>
      <c r="E1" s="147"/>
      <c r="F1" s="151" t="s">
        <v>26</v>
      </c>
      <c r="G1" s="151"/>
    </row>
    <row r="2" spans="2:7" ht="53.4" customHeight="1" x14ac:dyDescent="0.3">
      <c r="B2" s="137" t="s">
        <v>36</v>
      </c>
      <c r="C2" s="137"/>
      <c r="D2" s="137"/>
      <c r="E2" s="137"/>
      <c r="F2" s="137"/>
      <c r="G2" s="137"/>
    </row>
    <row r="3" spans="2:7" ht="25.2" customHeight="1" x14ac:dyDescent="0.3">
      <c r="B3" s="144" t="s">
        <v>37</v>
      </c>
      <c r="C3" s="144"/>
      <c r="D3" s="123" t="s">
        <v>38</v>
      </c>
      <c r="E3" s="124" t="s">
        <v>27</v>
      </c>
      <c r="F3" s="152" t="s">
        <v>28</v>
      </c>
      <c r="G3" s="152"/>
    </row>
    <row r="4" spans="2:7" ht="25.2" customHeight="1" x14ac:dyDescent="0.3">
      <c r="B4" s="144" t="s">
        <v>39</v>
      </c>
      <c r="C4" s="144"/>
      <c r="D4" s="123" t="s">
        <v>40</v>
      </c>
      <c r="E4" s="147" t="s">
        <v>223</v>
      </c>
      <c r="F4" s="149">
        <f ca="1">TODAY()</f>
        <v>45863</v>
      </c>
      <c r="G4" s="149"/>
    </row>
    <row r="5" spans="2:7" ht="25.2" customHeight="1" x14ac:dyDescent="0.3">
      <c r="B5" s="144" t="s">
        <v>92</v>
      </c>
      <c r="C5" s="144"/>
      <c r="D5" s="123" t="s">
        <v>283</v>
      </c>
      <c r="E5" s="147"/>
      <c r="F5" s="149"/>
      <c r="G5" s="149"/>
    </row>
    <row r="6" spans="2:7" ht="25.2" customHeight="1" x14ac:dyDescent="0.3">
      <c r="B6" s="144" t="s">
        <v>42</v>
      </c>
      <c r="C6" s="144"/>
      <c r="D6" s="125" t="s">
        <v>224</v>
      </c>
      <c r="E6" s="150" t="s">
        <v>41</v>
      </c>
      <c r="F6" s="150"/>
      <c r="G6" s="150"/>
    </row>
    <row r="7" spans="2:7" ht="25.2" customHeight="1" x14ac:dyDescent="0.3">
      <c r="B7" s="144" t="s">
        <v>43</v>
      </c>
      <c r="C7" s="144"/>
      <c r="D7" s="128" t="s">
        <v>225</v>
      </c>
      <c r="E7" s="150"/>
      <c r="F7" s="150"/>
      <c r="G7" s="150"/>
    </row>
    <row r="8" spans="2:7" ht="6.6" customHeight="1" x14ac:dyDescent="0.3">
      <c r="B8" s="147"/>
      <c r="C8" s="147"/>
      <c r="D8" s="147"/>
      <c r="E8" s="147"/>
      <c r="F8" s="147"/>
      <c r="G8" s="147"/>
    </row>
    <row r="9" spans="2:7" ht="16.8" customHeight="1" x14ac:dyDescent="0.3">
      <c r="B9" s="146" t="s">
        <v>29</v>
      </c>
      <c r="C9" s="146"/>
      <c r="D9" s="146"/>
      <c r="E9" s="146"/>
      <c r="F9" s="146"/>
      <c r="G9" s="146"/>
    </row>
    <row r="10" spans="2:7" ht="25.2" customHeight="1" x14ac:dyDescent="0.3">
      <c r="B10" s="144" t="s">
        <v>93</v>
      </c>
      <c r="C10" s="144"/>
      <c r="D10" s="131" t="s">
        <v>229</v>
      </c>
      <c r="E10" s="131"/>
      <c r="F10" s="131"/>
      <c r="G10" s="131"/>
    </row>
    <row r="11" spans="2:7" ht="25.2" customHeight="1" x14ac:dyDescent="0.3">
      <c r="B11" s="144" t="s">
        <v>61</v>
      </c>
      <c r="C11" s="144"/>
      <c r="D11" s="137" t="s">
        <v>278</v>
      </c>
      <c r="E11" s="137"/>
      <c r="F11" s="137"/>
      <c r="G11" s="137"/>
    </row>
    <row r="12" spans="2:7" ht="25.2" customHeight="1" x14ac:dyDescent="0.3">
      <c r="B12" s="144" t="s">
        <v>92</v>
      </c>
      <c r="C12" s="144"/>
      <c r="D12" s="123" t="s">
        <v>279</v>
      </c>
      <c r="E12" s="126" t="s">
        <v>42</v>
      </c>
      <c r="F12" s="143" t="s">
        <v>281</v>
      </c>
      <c r="G12" s="131"/>
    </row>
    <row r="13" spans="2:7" ht="25.2" customHeight="1" x14ac:dyDescent="0.3">
      <c r="B13" s="144" t="s">
        <v>43</v>
      </c>
      <c r="C13" s="144"/>
      <c r="D13" s="145" t="s">
        <v>280</v>
      </c>
      <c r="E13" s="131"/>
      <c r="F13" s="131"/>
      <c r="G13" s="131"/>
    </row>
    <row r="14" spans="2:7" ht="6.6" customHeight="1" x14ac:dyDescent="0.3">
      <c r="B14" s="147"/>
      <c r="C14" s="147"/>
      <c r="D14" s="147"/>
      <c r="E14" s="147"/>
      <c r="F14" s="147"/>
      <c r="G14" s="147"/>
    </row>
    <row r="15" spans="2:7" ht="16.2" customHeight="1" x14ac:dyDescent="0.3">
      <c r="B15" s="148" t="s">
        <v>30</v>
      </c>
      <c r="C15" s="148"/>
      <c r="D15" s="148"/>
      <c r="E15" s="148"/>
      <c r="F15" s="148"/>
      <c r="G15" s="148"/>
    </row>
    <row r="16" spans="2:7" ht="21.6" customHeight="1" x14ac:dyDescent="0.3">
      <c r="B16" s="217" t="s">
        <v>228</v>
      </c>
      <c r="C16" s="217"/>
      <c r="D16" s="217"/>
      <c r="E16" s="217"/>
      <c r="F16" s="217"/>
      <c r="G16" s="217"/>
    </row>
    <row r="17" spans="2:9" s="38" customFormat="1" ht="25.2" customHeight="1" x14ac:dyDescent="0.3">
      <c r="B17" s="17" t="s">
        <v>31</v>
      </c>
      <c r="C17" s="139" t="s">
        <v>12</v>
      </c>
      <c r="D17" s="214"/>
      <c r="E17" s="140"/>
      <c r="F17" s="218" t="s">
        <v>9</v>
      </c>
      <c r="G17" s="17" t="s">
        <v>240</v>
      </c>
    </row>
    <row r="18" spans="2:9" ht="43.8" customHeight="1" x14ac:dyDescent="0.3">
      <c r="B18" s="36">
        <v>1</v>
      </c>
      <c r="C18" s="135" t="s">
        <v>226</v>
      </c>
      <c r="D18" s="216"/>
      <c r="E18" s="136"/>
      <c r="F18" s="215" t="s">
        <v>227</v>
      </c>
      <c r="G18" s="222">
        <v>35</v>
      </c>
      <c r="H18" s="61"/>
      <c r="I18" s="60"/>
    </row>
    <row r="19" spans="2:9" ht="43.8" customHeight="1" x14ac:dyDescent="0.3">
      <c r="B19" s="36">
        <v>2</v>
      </c>
      <c r="C19" s="135" t="s">
        <v>230</v>
      </c>
      <c r="D19" s="216"/>
      <c r="E19" s="136"/>
      <c r="F19" s="215" t="s">
        <v>227</v>
      </c>
      <c r="G19" s="222">
        <v>50</v>
      </c>
      <c r="H19" s="61"/>
      <c r="I19"/>
    </row>
    <row r="20" spans="2:9" ht="43.8" customHeight="1" x14ac:dyDescent="0.3">
      <c r="B20" s="36">
        <v>3</v>
      </c>
      <c r="C20" s="135" t="s">
        <v>231</v>
      </c>
      <c r="D20" s="216"/>
      <c r="E20" s="136"/>
      <c r="F20" s="215" t="s">
        <v>227</v>
      </c>
      <c r="G20" s="222">
        <v>75</v>
      </c>
      <c r="H20" s="61"/>
      <c r="I20"/>
    </row>
    <row r="21" spans="2:9" ht="43.8" customHeight="1" x14ac:dyDescent="0.3">
      <c r="B21" s="36">
        <v>4</v>
      </c>
      <c r="C21" s="135" t="s">
        <v>232</v>
      </c>
      <c r="D21" s="216"/>
      <c r="E21" s="136"/>
      <c r="F21" s="215" t="s">
        <v>227</v>
      </c>
      <c r="G21" s="222">
        <v>125</v>
      </c>
      <c r="H21" s="61"/>
      <c r="I21"/>
    </row>
    <row r="22" spans="2:9" ht="43.8" customHeight="1" x14ac:dyDescent="0.3">
      <c r="B22" s="36">
        <v>5</v>
      </c>
      <c r="C22" s="135" t="s">
        <v>235</v>
      </c>
      <c r="D22" s="216"/>
      <c r="E22" s="136"/>
      <c r="F22" s="215" t="s">
        <v>234</v>
      </c>
      <c r="G22" s="222">
        <v>500000</v>
      </c>
      <c r="H22" s="61"/>
      <c r="I22"/>
    </row>
    <row r="23" spans="2:9" ht="43.8" customHeight="1" x14ac:dyDescent="0.3">
      <c r="B23" s="36">
        <v>6</v>
      </c>
      <c r="C23" s="135" t="s">
        <v>236</v>
      </c>
      <c r="D23" s="216"/>
      <c r="E23" s="136"/>
      <c r="F23" s="215" t="s">
        <v>238</v>
      </c>
      <c r="G23" s="222">
        <v>150000</v>
      </c>
      <c r="H23" s="61"/>
      <c r="I23"/>
    </row>
    <row r="24" spans="2:9" ht="43.8" customHeight="1" x14ac:dyDescent="0.3">
      <c r="B24" s="36">
        <v>7</v>
      </c>
      <c r="C24" s="135" t="s">
        <v>237</v>
      </c>
      <c r="D24" s="216"/>
      <c r="E24" s="136"/>
      <c r="F24" s="215" t="s">
        <v>234</v>
      </c>
      <c r="G24" s="222">
        <v>500000</v>
      </c>
      <c r="H24" s="61"/>
      <c r="I24"/>
    </row>
    <row r="25" spans="2:9" ht="13.8" customHeight="1" x14ac:dyDescent="0.3">
      <c r="B25" s="219" t="s">
        <v>233</v>
      </c>
      <c r="C25" s="220"/>
      <c r="D25" s="220"/>
      <c r="E25" s="220"/>
      <c r="F25" s="220"/>
      <c r="G25" s="221"/>
      <c r="H25" s="61"/>
      <c r="I25"/>
    </row>
    <row r="26" spans="2:9" ht="6.6" customHeight="1" x14ac:dyDescent="0.3">
      <c r="B26" s="134"/>
      <c r="C26" s="134"/>
      <c r="D26" s="134"/>
      <c r="E26" s="134"/>
      <c r="F26" s="134"/>
      <c r="G26" s="134"/>
    </row>
    <row r="27" spans="2:9" ht="16.8" customHeight="1" x14ac:dyDescent="0.3">
      <c r="B27" s="129" t="s">
        <v>239</v>
      </c>
      <c r="C27" s="129"/>
      <c r="D27" s="129"/>
      <c r="E27" s="129"/>
      <c r="F27" s="129"/>
      <c r="G27" s="129"/>
    </row>
    <row r="28" spans="2:9" ht="6.6" customHeight="1" x14ac:dyDescent="0.3">
      <c r="B28" s="134"/>
      <c r="C28" s="134"/>
      <c r="D28" s="134"/>
      <c r="E28" s="134"/>
      <c r="F28" s="134"/>
      <c r="G28" s="134"/>
    </row>
    <row r="29" spans="2:9" ht="16.8" customHeight="1" x14ac:dyDescent="0.3">
      <c r="B29" s="129" t="s">
        <v>32</v>
      </c>
      <c r="C29" s="129"/>
      <c r="D29" s="129"/>
      <c r="E29" s="129"/>
      <c r="F29" s="129"/>
      <c r="G29" s="129"/>
    </row>
    <row r="30" spans="2:9" ht="144" customHeight="1" x14ac:dyDescent="0.3">
      <c r="B30" s="130" t="s">
        <v>282</v>
      </c>
      <c r="C30" s="130"/>
      <c r="D30" s="131"/>
      <c r="E30" s="131"/>
      <c r="F30" s="131"/>
      <c r="G30" s="131"/>
    </row>
    <row r="31" spans="2:9" ht="16.8" customHeight="1" x14ac:dyDescent="0.3">
      <c r="B31" s="129" t="s">
        <v>94</v>
      </c>
      <c r="C31" s="129"/>
      <c r="D31" s="129"/>
      <c r="E31" s="129"/>
      <c r="F31" s="129"/>
      <c r="G31" s="129"/>
    </row>
  </sheetData>
  <mergeCells count="40">
    <mergeCell ref="B27:G27"/>
    <mergeCell ref="C20:E20"/>
    <mergeCell ref="C21:E21"/>
    <mergeCell ref="B25:G25"/>
    <mergeCell ref="C22:E22"/>
    <mergeCell ref="C23:E23"/>
    <mergeCell ref="C24:E24"/>
    <mergeCell ref="B1:E1"/>
    <mergeCell ref="F1:G1"/>
    <mergeCell ref="B2:G2"/>
    <mergeCell ref="B3:C3"/>
    <mergeCell ref="F3:G3"/>
    <mergeCell ref="B14:G14"/>
    <mergeCell ref="B15:G15"/>
    <mergeCell ref="B8:G8"/>
    <mergeCell ref="B4:C4"/>
    <mergeCell ref="E4:E5"/>
    <mergeCell ref="F4:G5"/>
    <mergeCell ref="B5:C5"/>
    <mergeCell ref="B6:C6"/>
    <mergeCell ref="E6:G7"/>
    <mergeCell ref="B7:C7"/>
    <mergeCell ref="B12:C12"/>
    <mergeCell ref="F12:G12"/>
    <mergeCell ref="B13:C13"/>
    <mergeCell ref="D13:G13"/>
    <mergeCell ref="B9:G9"/>
    <mergeCell ref="B10:C10"/>
    <mergeCell ref="D10:G10"/>
    <mergeCell ref="B11:C11"/>
    <mergeCell ref="D11:G11"/>
    <mergeCell ref="B16:G16"/>
    <mergeCell ref="C17:E17"/>
    <mergeCell ref="C18:E18"/>
    <mergeCell ref="C19:E19"/>
    <mergeCell ref="B28:G28"/>
    <mergeCell ref="B26:G26"/>
    <mergeCell ref="B29:G29"/>
    <mergeCell ref="B30:G30"/>
    <mergeCell ref="B31:G31"/>
  </mergeCells>
  <hyperlinks>
    <hyperlink ref="D7" r:id="rId1" xr:uid="{E95142CA-F0F2-40D9-B476-A01FCDC3E31B}"/>
  </hyperlinks>
  <pageMargins left="0.23622047244094491" right="0.23622047244094491" top="0.74803149606299213" bottom="0.74803149606299213" header="0.31496062992125984" footer="0.31496062992125984"/>
  <pageSetup paperSize="9" scale="91" orientation="portrait" r:id="rId2"/>
  <rowBreaks count="1" manualBreakCount="1">
    <brk id="28" max="16383"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3B35D-6D96-4485-BF17-841FCE36B8EB}">
  <sheetPr>
    <tabColor theme="8" tint="0.79998168889431442"/>
  </sheetPr>
  <dimension ref="B1:F22"/>
  <sheetViews>
    <sheetView view="pageBreakPreview" topLeftCell="A15" zoomScale="70" zoomScaleNormal="70" zoomScaleSheetLayoutView="70" zoomScalePageLayoutView="41" workbookViewId="0">
      <selection activeCell="B22" sqref="B22:D22"/>
    </sheetView>
  </sheetViews>
  <sheetFormatPr defaultRowHeight="13.2" x14ac:dyDescent="0.3"/>
  <cols>
    <col min="1" max="1" width="2.21875" style="37" customWidth="1"/>
    <col min="2" max="2" width="44.5546875" style="122" customWidth="1"/>
    <col min="3" max="3" width="78.5546875" style="38" customWidth="1"/>
    <col min="4" max="4" width="17.21875" style="37" customWidth="1"/>
    <col min="5" max="6" width="10.44140625" style="37" bestFit="1" customWidth="1"/>
    <col min="7" max="16384" width="8.88671875" style="37"/>
  </cols>
  <sheetData>
    <row r="1" spans="2:6" ht="71.400000000000006" customHeight="1" x14ac:dyDescent="0.3">
      <c r="B1" s="155"/>
      <c r="C1" s="156"/>
      <c r="D1" s="127" t="s">
        <v>269</v>
      </c>
    </row>
    <row r="2" spans="2:6" ht="6.6" customHeight="1" x14ac:dyDescent="0.3">
      <c r="B2" s="147"/>
      <c r="C2" s="147"/>
      <c r="D2" s="147"/>
    </row>
    <row r="3" spans="2:6" s="38" customFormat="1" ht="27" customHeight="1" x14ac:dyDescent="0.3">
      <c r="B3" s="223" t="s">
        <v>203</v>
      </c>
      <c r="C3" s="227" t="s">
        <v>241</v>
      </c>
      <c r="D3" s="223" t="s">
        <v>274</v>
      </c>
    </row>
    <row r="4" spans="2:6" s="38" customFormat="1" ht="54.6" customHeight="1" x14ac:dyDescent="0.3">
      <c r="B4" s="224" t="s">
        <v>265</v>
      </c>
      <c r="C4" s="225"/>
      <c r="D4" s="226"/>
    </row>
    <row r="5" spans="2:6" ht="54.6" customHeight="1" x14ac:dyDescent="0.3">
      <c r="B5" s="228" t="s">
        <v>242</v>
      </c>
      <c r="C5" s="229" t="s">
        <v>243</v>
      </c>
      <c r="D5" s="230" t="s">
        <v>267</v>
      </c>
      <c r="E5"/>
    </row>
    <row r="6" spans="2:6" ht="54.6" customHeight="1" x14ac:dyDescent="0.3">
      <c r="B6" s="228" t="s">
        <v>244</v>
      </c>
      <c r="C6" s="229" t="s">
        <v>276</v>
      </c>
      <c r="D6" s="231"/>
    </row>
    <row r="7" spans="2:6" ht="54.6" customHeight="1" x14ac:dyDescent="0.3">
      <c r="B7" s="228" t="s">
        <v>245</v>
      </c>
      <c r="C7" s="229" t="s">
        <v>246</v>
      </c>
      <c r="D7" s="231"/>
      <c r="E7" s="61"/>
    </row>
    <row r="8" spans="2:6" ht="54.6" customHeight="1" x14ac:dyDescent="0.3">
      <c r="B8" s="228" t="s">
        <v>247</v>
      </c>
      <c r="C8" s="229" t="s">
        <v>248</v>
      </c>
      <c r="D8" s="231"/>
      <c r="E8" s="61"/>
    </row>
    <row r="9" spans="2:6" ht="54.6" customHeight="1" x14ac:dyDescent="0.3">
      <c r="B9" s="228" t="s">
        <v>249</v>
      </c>
      <c r="C9" s="229" t="s">
        <v>250</v>
      </c>
      <c r="D9" s="232"/>
      <c r="E9"/>
    </row>
    <row r="10" spans="2:6" s="38" customFormat="1" ht="54.6" customHeight="1" x14ac:dyDescent="0.3">
      <c r="B10" s="224" t="s">
        <v>266</v>
      </c>
      <c r="C10" s="225"/>
      <c r="D10" s="226"/>
    </row>
    <row r="11" spans="2:6" ht="54.6" customHeight="1" x14ac:dyDescent="0.3">
      <c r="B11" s="228" t="s">
        <v>251</v>
      </c>
      <c r="C11" s="229" t="s">
        <v>252</v>
      </c>
      <c r="D11" s="233" t="s">
        <v>268</v>
      </c>
      <c r="E11"/>
      <c r="F11" s="237"/>
    </row>
    <row r="12" spans="2:6" ht="54.6" customHeight="1" x14ac:dyDescent="0.3">
      <c r="B12" s="228" t="s">
        <v>253</v>
      </c>
      <c r="C12" s="229" t="s">
        <v>254</v>
      </c>
      <c r="D12" s="234"/>
    </row>
    <row r="13" spans="2:6" ht="54.6" customHeight="1" x14ac:dyDescent="0.3">
      <c r="B13" s="228" t="s">
        <v>255</v>
      </c>
      <c r="C13" s="229" t="s">
        <v>256</v>
      </c>
      <c r="D13" s="234"/>
      <c r="E13" s="61"/>
    </row>
    <row r="14" spans="2:6" ht="54.6" customHeight="1" x14ac:dyDescent="0.3">
      <c r="B14" s="228" t="s">
        <v>257</v>
      </c>
      <c r="C14" s="229" t="s">
        <v>258</v>
      </c>
      <c r="D14" s="234"/>
      <c r="E14" s="61"/>
    </row>
    <row r="15" spans="2:6" ht="54.6" customHeight="1" x14ac:dyDescent="0.3">
      <c r="B15" s="228" t="s">
        <v>259</v>
      </c>
      <c r="C15" s="229" t="s">
        <v>260</v>
      </c>
      <c r="D15" s="234"/>
      <c r="E15"/>
    </row>
    <row r="16" spans="2:6" ht="54.6" customHeight="1" x14ac:dyDescent="0.3">
      <c r="B16" s="228" t="s">
        <v>261</v>
      </c>
      <c r="C16" s="229" t="s">
        <v>262</v>
      </c>
      <c r="D16" s="235"/>
      <c r="E16"/>
    </row>
    <row r="17" spans="2:5" s="38" customFormat="1" ht="54.6" customHeight="1" x14ac:dyDescent="0.3">
      <c r="B17" s="224" t="s">
        <v>277</v>
      </c>
      <c r="C17" s="225"/>
      <c r="D17" s="226"/>
    </row>
    <row r="18" spans="2:5" ht="54.6" customHeight="1" x14ac:dyDescent="0.3">
      <c r="B18" s="236" t="s">
        <v>270</v>
      </c>
      <c r="C18" s="229" t="s">
        <v>271</v>
      </c>
      <c r="D18" s="233" t="s">
        <v>273</v>
      </c>
    </row>
    <row r="19" spans="2:5" ht="54.6" customHeight="1" x14ac:dyDescent="0.3">
      <c r="B19" s="236" t="s">
        <v>263</v>
      </c>
      <c r="C19" s="229" t="s">
        <v>275</v>
      </c>
      <c r="D19" s="234"/>
      <c r="E19" s="61"/>
    </row>
    <row r="20" spans="2:5" ht="54.6" customHeight="1" x14ac:dyDescent="0.3">
      <c r="B20" s="236" t="s">
        <v>264</v>
      </c>
      <c r="C20" s="229" t="s">
        <v>272</v>
      </c>
      <c r="D20" s="235"/>
      <c r="E20"/>
    </row>
    <row r="21" spans="2:5" ht="6.6" customHeight="1" x14ac:dyDescent="0.3">
      <c r="B21" s="134"/>
      <c r="C21" s="134"/>
      <c r="D21" s="134"/>
    </row>
    <row r="22" spans="2:5" ht="25.2" customHeight="1" x14ac:dyDescent="0.3">
      <c r="B22" s="238" t="s">
        <v>94</v>
      </c>
      <c r="C22" s="238"/>
      <c r="D22" s="238"/>
    </row>
  </sheetData>
  <mergeCells count="10">
    <mergeCell ref="B1:C1"/>
    <mergeCell ref="D5:D9"/>
    <mergeCell ref="D11:D16"/>
    <mergeCell ref="D18:D20"/>
    <mergeCell ref="B17:D17"/>
    <mergeCell ref="B10:D10"/>
    <mergeCell ref="B2:D2"/>
    <mergeCell ref="B22:D22"/>
    <mergeCell ref="B21:D21"/>
    <mergeCell ref="B4:D4"/>
  </mergeCells>
  <pageMargins left="0.23622047244094491" right="0.23622047244094491" top="0.74803149606299213" bottom="0.74803149606299213" header="0.31496062992125984" footer="0.31496062992125984"/>
  <pageSetup paperSize="9" scale="6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AA2CF-0E8E-4F95-96CA-D90D7BB4F766}">
  <dimension ref="A1:N13"/>
  <sheetViews>
    <sheetView zoomScaleNormal="100" workbookViewId="0">
      <selection activeCell="H4" sqref="H4:H12"/>
    </sheetView>
  </sheetViews>
  <sheetFormatPr defaultRowHeight="14.4" x14ac:dyDescent="0.3"/>
  <cols>
    <col min="1" max="1" width="18.6640625" customWidth="1"/>
    <col min="2" max="2" width="40.21875" customWidth="1"/>
    <col min="3" max="3" width="41.77734375" customWidth="1"/>
    <col min="4" max="4" width="26.6640625" customWidth="1"/>
    <col min="5" max="5" width="10.33203125" customWidth="1"/>
    <col min="6" max="8" width="11.88671875" customWidth="1"/>
    <col min="9" max="14" width="21.5546875" hidden="1" customWidth="1"/>
    <col min="15" max="15" width="21.5546875" customWidth="1"/>
  </cols>
  <sheetData>
    <row r="1" spans="1:14" x14ac:dyDescent="0.3">
      <c r="I1" s="159">
        <f>COUNTA(B4:B11)</f>
        <v>8</v>
      </c>
      <c r="J1" s="159"/>
      <c r="K1" s="159">
        <f>I1</f>
        <v>8</v>
      </c>
      <c r="L1" s="159"/>
      <c r="M1" s="159">
        <f>K1</f>
        <v>8</v>
      </c>
      <c r="N1" s="159"/>
    </row>
    <row r="2" spans="1:14" x14ac:dyDescent="0.3">
      <c r="A2" s="158" t="s">
        <v>200</v>
      </c>
      <c r="B2" s="158" t="s">
        <v>202</v>
      </c>
      <c r="C2" s="158" t="s">
        <v>222</v>
      </c>
      <c r="D2" s="158" t="s">
        <v>218</v>
      </c>
      <c r="E2" s="158" t="s">
        <v>217</v>
      </c>
      <c r="F2" s="166" t="s">
        <v>214</v>
      </c>
      <c r="G2" s="166" t="s">
        <v>215</v>
      </c>
      <c r="H2" s="166" t="s">
        <v>216</v>
      </c>
      <c r="I2" s="115"/>
      <c r="J2" s="105" t="s">
        <v>192</v>
      </c>
      <c r="K2" s="105"/>
      <c r="L2" s="105"/>
      <c r="M2" s="105"/>
      <c r="N2" s="105"/>
    </row>
    <row r="3" spans="1:14" x14ac:dyDescent="0.3">
      <c r="A3" s="158"/>
      <c r="B3" s="158"/>
      <c r="C3" s="158"/>
      <c r="D3" s="158"/>
      <c r="E3" s="158"/>
      <c r="F3" s="166"/>
      <c r="G3" s="166"/>
      <c r="H3" s="166"/>
      <c r="I3" s="162" t="s">
        <v>211</v>
      </c>
      <c r="J3" s="163"/>
      <c r="K3" s="106"/>
      <c r="L3" s="107" t="s">
        <v>212</v>
      </c>
      <c r="M3" s="106"/>
      <c r="N3" s="107" t="s">
        <v>201</v>
      </c>
    </row>
    <row r="4" spans="1:14" x14ac:dyDescent="0.3">
      <c r="A4" s="157" t="s">
        <v>91</v>
      </c>
      <c r="B4" s="102" t="s">
        <v>191</v>
      </c>
      <c r="C4" s="103" t="s">
        <v>204</v>
      </c>
      <c r="D4" s="103" t="s">
        <v>219</v>
      </c>
      <c r="E4" s="120">
        <v>0.9</v>
      </c>
      <c r="F4" s="153">
        <v>175000</v>
      </c>
      <c r="G4" s="153">
        <v>190000</v>
      </c>
      <c r="H4" s="153">
        <v>210000</v>
      </c>
      <c r="I4" s="164" t="e">
        <f>#REF!*#REF!</f>
        <v>#REF!</v>
      </c>
      <c r="J4" s="109" t="e">
        <f>$I$4/#REF!</f>
        <v>#REF!</v>
      </c>
      <c r="K4" s="160" t="e">
        <f>#REF!*#REF!</f>
        <v>#REF!</v>
      </c>
      <c r="L4" s="109" t="e">
        <f>$K$4/#REF!</f>
        <v>#REF!</v>
      </c>
      <c r="M4" s="160" t="e">
        <f>#REF!*#REF!</f>
        <v>#REF!</v>
      </c>
      <c r="N4" s="109" t="e">
        <f>$M$4/#REF!</f>
        <v>#REF!</v>
      </c>
    </row>
    <row r="5" spans="1:14" x14ac:dyDescent="0.3">
      <c r="A5" s="157"/>
      <c r="B5" s="102" t="s">
        <v>186</v>
      </c>
      <c r="C5" s="103" t="s">
        <v>193</v>
      </c>
      <c r="D5" s="103" t="s">
        <v>220</v>
      </c>
      <c r="E5" s="120">
        <v>0.9</v>
      </c>
      <c r="F5" s="154"/>
      <c r="G5" s="154"/>
      <c r="H5" s="154"/>
      <c r="I5" s="165"/>
      <c r="J5" s="65" t="e">
        <f>$I$4/#REF!</f>
        <v>#REF!</v>
      </c>
      <c r="K5" s="161"/>
      <c r="L5" s="65" t="e">
        <f>$K$4/#REF!</f>
        <v>#REF!</v>
      </c>
      <c r="M5" s="161"/>
      <c r="N5" s="65" t="e">
        <f>$M$4/#REF!</f>
        <v>#REF!</v>
      </c>
    </row>
    <row r="6" spans="1:14" x14ac:dyDescent="0.3">
      <c r="A6" s="157"/>
      <c r="B6" s="102" t="s">
        <v>187</v>
      </c>
      <c r="C6" s="103" t="s">
        <v>194</v>
      </c>
      <c r="D6" s="103" t="s">
        <v>220</v>
      </c>
      <c r="E6" s="120">
        <v>0.9</v>
      </c>
      <c r="F6" s="154"/>
      <c r="G6" s="154"/>
      <c r="H6" s="154"/>
      <c r="I6" s="165"/>
      <c r="J6" s="65" t="e">
        <f>$I$4/#REF!</f>
        <v>#REF!</v>
      </c>
      <c r="K6" s="161"/>
      <c r="L6" s="65" t="e">
        <f>$K$4/#REF!</f>
        <v>#REF!</v>
      </c>
      <c r="M6" s="161"/>
      <c r="N6" s="65" t="e">
        <f>$M$4/#REF!</f>
        <v>#REF!</v>
      </c>
    </row>
    <row r="7" spans="1:14" x14ac:dyDescent="0.3">
      <c r="A7" s="157"/>
      <c r="B7" s="102" t="s">
        <v>203</v>
      </c>
      <c r="C7" s="103" t="s">
        <v>205</v>
      </c>
      <c r="D7" s="103" t="s">
        <v>221</v>
      </c>
      <c r="E7" s="120">
        <v>0.9</v>
      </c>
      <c r="F7" s="154"/>
      <c r="G7" s="154"/>
      <c r="H7" s="154"/>
      <c r="I7" s="165"/>
      <c r="J7" s="65" t="e">
        <f>$I$4/#REF!</f>
        <v>#REF!</v>
      </c>
      <c r="K7" s="161"/>
      <c r="L7" s="65" t="e">
        <f>$K$4/#REF!</f>
        <v>#REF!</v>
      </c>
      <c r="M7" s="161"/>
      <c r="N7" s="65" t="e">
        <f>$M$4/#REF!</f>
        <v>#REF!</v>
      </c>
    </row>
    <row r="8" spans="1:14" x14ac:dyDescent="0.3">
      <c r="A8" s="104" t="s">
        <v>198</v>
      </c>
      <c r="B8" s="102" t="s">
        <v>190</v>
      </c>
      <c r="C8" s="103" t="s">
        <v>206</v>
      </c>
      <c r="D8" s="103" t="s">
        <v>220</v>
      </c>
      <c r="E8" s="120">
        <v>0.9</v>
      </c>
      <c r="F8" s="154"/>
      <c r="G8" s="154"/>
      <c r="H8" s="154"/>
      <c r="I8" s="116" t="e">
        <f>#REF!*#REF!</f>
        <v>#REF!</v>
      </c>
      <c r="J8" s="109" t="e">
        <f>$I$8/#REF!</f>
        <v>#REF!</v>
      </c>
      <c r="K8" s="108" t="e">
        <f>#REF!*#REF!</f>
        <v>#REF!</v>
      </c>
      <c r="L8" s="109" t="e">
        <f>$K$8/#REF!</f>
        <v>#REF!</v>
      </c>
      <c r="M8" s="108" t="e">
        <f>#REF!*#REF!</f>
        <v>#REF!</v>
      </c>
      <c r="N8" s="109" t="e">
        <f>$M$8/#REF!</f>
        <v>#REF!</v>
      </c>
    </row>
    <row r="9" spans="1:14" ht="28.8" x14ac:dyDescent="0.3">
      <c r="A9" s="104" t="s">
        <v>197</v>
      </c>
      <c r="B9" s="102" t="s">
        <v>213</v>
      </c>
      <c r="C9" s="103" t="s">
        <v>195</v>
      </c>
      <c r="D9" s="103" t="s">
        <v>220</v>
      </c>
      <c r="E9" s="120">
        <v>0.9</v>
      </c>
      <c r="F9" s="154"/>
      <c r="G9" s="154"/>
      <c r="H9" s="154"/>
      <c r="I9" s="117" t="e">
        <f>#REF!*#REF!</f>
        <v>#REF!</v>
      </c>
      <c r="J9" s="111" t="e">
        <f>$I$9/#REF!</f>
        <v>#REF!</v>
      </c>
      <c r="K9" s="110" t="e">
        <f>#REF!*#REF!</f>
        <v>#REF!</v>
      </c>
      <c r="L9" s="111" t="e">
        <f>$K$9/#REF!</f>
        <v>#REF!</v>
      </c>
      <c r="M9" s="110" t="e">
        <f>#REF!*#REF!</f>
        <v>#REF!</v>
      </c>
      <c r="N9" s="111" t="e">
        <f>$M$9/#REF!</f>
        <v>#REF!</v>
      </c>
    </row>
    <row r="10" spans="1:14" ht="28.8" x14ac:dyDescent="0.3">
      <c r="A10" s="104" t="s">
        <v>199</v>
      </c>
      <c r="B10" s="102" t="s">
        <v>189</v>
      </c>
      <c r="C10" s="103" t="s">
        <v>207</v>
      </c>
      <c r="D10" s="103" t="s">
        <v>220</v>
      </c>
      <c r="E10" s="120">
        <v>0.9</v>
      </c>
      <c r="F10" s="154"/>
      <c r="G10" s="154"/>
      <c r="H10" s="154"/>
      <c r="I10" s="117" t="e">
        <f>#REF!*#REF!</f>
        <v>#REF!</v>
      </c>
      <c r="J10" s="111" t="e">
        <f>$I$10/#REF!</f>
        <v>#REF!</v>
      </c>
      <c r="K10" s="110" t="e">
        <f>#REF!*#REF!</f>
        <v>#REF!</v>
      </c>
      <c r="L10" s="111" t="e">
        <f>$K$10/#REF!</f>
        <v>#REF!</v>
      </c>
      <c r="M10" s="110" t="e">
        <f>#REF!*#REF!</f>
        <v>#REF!</v>
      </c>
      <c r="N10" s="111" t="e">
        <f>$M$10/#REF!</f>
        <v>#REF!</v>
      </c>
    </row>
    <row r="11" spans="1:14" x14ac:dyDescent="0.3">
      <c r="A11" s="104" t="s">
        <v>76</v>
      </c>
      <c r="B11" s="102" t="s">
        <v>188</v>
      </c>
      <c r="C11" s="103" t="s">
        <v>196</v>
      </c>
      <c r="D11" s="103" t="s">
        <v>220</v>
      </c>
      <c r="E11" s="120">
        <v>0.9</v>
      </c>
      <c r="F11" s="154"/>
      <c r="G11" s="154"/>
      <c r="H11" s="154"/>
      <c r="I11" s="118" t="e">
        <f>#REF!*#REF!</f>
        <v>#REF!</v>
      </c>
      <c r="J11" s="109" t="e">
        <f>$I$11/#REF!</f>
        <v>#REF!</v>
      </c>
      <c r="K11" s="114" t="e">
        <f>#REF!*#REF!</f>
        <v>#REF!</v>
      </c>
      <c r="L11" s="109" t="e">
        <f>$K$11/#REF!</f>
        <v>#REF!</v>
      </c>
      <c r="M11" s="114" t="e">
        <f>#REF!*#REF!</f>
        <v>#REF!</v>
      </c>
      <c r="N11" s="109" t="e">
        <f>$M$11/#REF!</f>
        <v>#REF!</v>
      </c>
    </row>
    <row r="12" spans="1:14" x14ac:dyDescent="0.3">
      <c r="A12" s="104" t="s">
        <v>209</v>
      </c>
      <c r="B12" s="1" t="s">
        <v>208</v>
      </c>
      <c r="C12" s="1" t="s">
        <v>210</v>
      </c>
      <c r="D12" s="103" t="s">
        <v>220</v>
      </c>
      <c r="E12" s="120">
        <v>0.9</v>
      </c>
      <c r="F12" s="154"/>
      <c r="G12" s="154"/>
      <c r="H12" s="154"/>
    </row>
    <row r="13" spans="1:14" x14ac:dyDescent="0.3">
      <c r="A13" s="1"/>
      <c r="B13" s="1"/>
      <c r="C13" s="1"/>
      <c r="D13" s="1"/>
      <c r="E13" s="1"/>
      <c r="F13" s="121"/>
      <c r="G13" s="121"/>
      <c r="H13" s="121"/>
      <c r="I13" s="119" t="e">
        <f t="shared" ref="I13:N13" si="0">SUM(I4:I11)</f>
        <v>#REF!</v>
      </c>
      <c r="J13" s="112" t="e">
        <f t="shared" si="0"/>
        <v>#REF!</v>
      </c>
      <c r="K13" s="112" t="e">
        <f t="shared" si="0"/>
        <v>#REF!</v>
      </c>
      <c r="L13" s="113" t="e">
        <f t="shared" si="0"/>
        <v>#REF!</v>
      </c>
      <c r="M13" s="112" t="e">
        <f t="shared" si="0"/>
        <v>#REF!</v>
      </c>
      <c r="N13" s="113" t="e">
        <f t="shared" si="0"/>
        <v>#REF!</v>
      </c>
    </row>
  </sheetData>
  <mergeCells count="19">
    <mergeCell ref="E2:E3"/>
    <mergeCell ref="H2:H3"/>
    <mergeCell ref="F2:F3"/>
    <mergeCell ref="G2:G3"/>
    <mergeCell ref="F4:F12"/>
    <mergeCell ref="G4:G12"/>
    <mergeCell ref="H4:H12"/>
    <mergeCell ref="K1:L1"/>
    <mergeCell ref="M1:N1"/>
    <mergeCell ref="M4:M7"/>
    <mergeCell ref="I3:J3"/>
    <mergeCell ref="I1:J1"/>
    <mergeCell ref="K4:K7"/>
    <mergeCell ref="I4:I7"/>
    <mergeCell ref="A4:A7"/>
    <mergeCell ref="A2:A3"/>
    <mergeCell ref="B2:B3"/>
    <mergeCell ref="C2:C3"/>
    <mergeCell ref="D2:D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8C222-2A92-428A-9C71-DEC7724B9953}">
  <sheetPr>
    <tabColor theme="8" tint="0.79998168889431442"/>
  </sheetPr>
  <dimension ref="B1:K29"/>
  <sheetViews>
    <sheetView topLeftCell="A13" zoomScale="115" zoomScaleNormal="115" zoomScaleSheetLayoutView="126" zoomScalePageLayoutView="41" workbookViewId="0">
      <selection activeCell="B2" sqref="B2:I2"/>
    </sheetView>
  </sheetViews>
  <sheetFormatPr defaultRowHeight="13.2" x14ac:dyDescent="0.3"/>
  <cols>
    <col min="1" max="1" width="2.21875" style="37" customWidth="1"/>
    <col min="2" max="2" width="5.88671875" style="37" customWidth="1"/>
    <col min="3" max="3" width="12.44140625" style="37" customWidth="1"/>
    <col min="4" max="4" width="7.88671875" style="38" customWidth="1"/>
    <col min="5" max="5" width="20.6640625" style="37" customWidth="1"/>
    <col min="6" max="6" width="9.5546875" style="37" customWidth="1"/>
    <col min="7" max="7" width="12.6640625" style="37" customWidth="1"/>
    <col min="8" max="8" width="9.5546875" style="37" customWidth="1"/>
    <col min="9" max="9" width="26.44140625" style="37" customWidth="1"/>
    <col min="10" max="10" width="10.44140625" style="37" bestFit="1" customWidth="1"/>
    <col min="11" max="16384" width="8.88671875" style="37"/>
  </cols>
  <sheetData>
    <row r="1" spans="2:9" ht="49.8" customHeight="1" x14ac:dyDescent="0.3">
      <c r="B1" s="147"/>
      <c r="C1" s="147"/>
      <c r="D1" s="147"/>
      <c r="E1" s="147"/>
      <c r="F1" s="147"/>
      <c r="G1" s="147"/>
      <c r="H1" s="151" t="s">
        <v>26</v>
      </c>
      <c r="I1" s="151"/>
    </row>
    <row r="2" spans="2:9" ht="53.4" customHeight="1" x14ac:dyDescent="0.3">
      <c r="B2" s="137" t="s">
        <v>36</v>
      </c>
      <c r="C2" s="137"/>
      <c r="D2" s="137"/>
      <c r="E2" s="137"/>
      <c r="F2" s="137"/>
      <c r="G2" s="137"/>
      <c r="H2" s="137"/>
      <c r="I2" s="137"/>
    </row>
    <row r="3" spans="2:9" ht="25.2" customHeight="1" x14ac:dyDescent="0.3">
      <c r="B3" s="144" t="s">
        <v>37</v>
      </c>
      <c r="C3" s="144"/>
      <c r="D3" s="131" t="s">
        <v>38</v>
      </c>
      <c r="E3" s="131"/>
      <c r="F3" s="152" t="s">
        <v>27</v>
      </c>
      <c r="G3" s="152"/>
      <c r="H3" s="152" t="s">
        <v>28</v>
      </c>
      <c r="I3" s="152"/>
    </row>
    <row r="4" spans="2:9" ht="25.2" customHeight="1" x14ac:dyDescent="0.3">
      <c r="B4" s="144" t="s">
        <v>39</v>
      </c>
      <c r="C4" s="144"/>
      <c r="D4" s="131" t="s">
        <v>40</v>
      </c>
      <c r="E4" s="131"/>
      <c r="F4" s="147" t="s">
        <v>44</v>
      </c>
      <c r="G4" s="147"/>
      <c r="H4" s="149">
        <f ca="1">TODAY()</f>
        <v>45863</v>
      </c>
      <c r="I4" s="149"/>
    </row>
    <row r="5" spans="2:9" ht="25.2" customHeight="1" x14ac:dyDescent="0.3">
      <c r="B5" s="144" t="s">
        <v>92</v>
      </c>
      <c r="C5" s="144"/>
      <c r="D5" s="131"/>
      <c r="E5" s="131"/>
      <c r="F5" s="147"/>
      <c r="G5" s="147"/>
      <c r="H5" s="149"/>
      <c r="I5" s="149"/>
    </row>
    <row r="6" spans="2:9" ht="25.2" customHeight="1" x14ac:dyDescent="0.3">
      <c r="B6" s="144" t="s">
        <v>42</v>
      </c>
      <c r="C6" s="144"/>
      <c r="D6" s="143"/>
      <c r="E6" s="131"/>
      <c r="F6" s="150" t="s">
        <v>41</v>
      </c>
      <c r="G6" s="150"/>
      <c r="H6" s="150"/>
      <c r="I6" s="150"/>
    </row>
    <row r="7" spans="2:9" ht="25.2" customHeight="1" x14ac:dyDescent="0.3">
      <c r="B7" s="144" t="s">
        <v>43</v>
      </c>
      <c r="C7" s="144"/>
      <c r="D7" s="131"/>
      <c r="E7" s="131"/>
      <c r="F7" s="150"/>
      <c r="G7" s="150"/>
      <c r="H7" s="150"/>
      <c r="I7" s="150"/>
    </row>
    <row r="8" spans="2:9" ht="6.6" customHeight="1" x14ac:dyDescent="0.3">
      <c r="B8" s="147"/>
      <c r="C8" s="147"/>
      <c r="D8" s="147"/>
      <c r="E8" s="147"/>
      <c r="F8" s="147"/>
      <c r="G8" s="147"/>
      <c r="H8" s="147"/>
      <c r="I8" s="147"/>
    </row>
    <row r="9" spans="2:9" ht="25.2" customHeight="1" x14ac:dyDescent="0.3">
      <c r="B9" s="146" t="s">
        <v>29</v>
      </c>
      <c r="C9" s="146"/>
      <c r="D9" s="146"/>
      <c r="E9" s="146"/>
      <c r="F9" s="146"/>
      <c r="G9" s="146"/>
      <c r="H9" s="146"/>
      <c r="I9" s="146"/>
    </row>
    <row r="10" spans="2:9" ht="25.2" customHeight="1" x14ac:dyDescent="0.3">
      <c r="B10" s="144" t="s">
        <v>93</v>
      </c>
      <c r="C10" s="144"/>
      <c r="D10" s="131" t="s">
        <v>146</v>
      </c>
      <c r="E10" s="131"/>
      <c r="F10" s="131"/>
      <c r="G10" s="131"/>
      <c r="H10" s="131"/>
      <c r="I10" s="131"/>
    </row>
    <row r="11" spans="2:9" ht="25.2" customHeight="1" x14ac:dyDescent="0.3">
      <c r="B11" s="144" t="s">
        <v>61</v>
      </c>
      <c r="C11" s="144"/>
      <c r="D11" s="131" t="s">
        <v>150</v>
      </c>
      <c r="E11" s="131"/>
      <c r="F11" s="131"/>
      <c r="G11" s="131"/>
      <c r="H11" s="131"/>
      <c r="I11" s="131"/>
    </row>
    <row r="12" spans="2:9" ht="25.2" customHeight="1" x14ac:dyDescent="0.3">
      <c r="B12" s="144" t="s">
        <v>92</v>
      </c>
      <c r="C12" s="144"/>
      <c r="D12" s="131" t="s">
        <v>149</v>
      </c>
      <c r="E12" s="131"/>
      <c r="F12" s="142" t="s">
        <v>42</v>
      </c>
      <c r="G12" s="142"/>
      <c r="H12" s="143" t="s">
        <v>148</v>
      </c>
      <c r="I12" s="131"/>
    </row>
    <row r="13" spans="2:9" ht="25.2" customHeight="1" x14ac:dyDescent="0.3">
      <c r="B13" s="144" t="s">
        <v>43</v>
      </c>
      <c r="C13" s="144"/>
      <c r="D13" s="145" t="s">
        <v>147</v>
      </c>
      <c r="E13" s="131"/>
      <c r="F13" s="131"/>
      <c r="G13" s="131"/>
      <c r="H13" s="131"/>
      <c r="I13" s="131"/>
    </row>
    <row r="14" spans="2:9" ht="6.6" customHeight="1" x14ac:dyDescent="0.3">
      <c r="B14" s="147"/>
      <c r="C14" s="147"/>
      <c r="D14" s="147"/>
      <c r="E14" s="147"/>
      <c r="F14" s="147"/>
      <c r="G14" s="147"/>
      <c r="H14" s="147"/>
      <c r="I14" s="147"/>
    </row>
    <row r="15" spans="2:9" ht="25.2" customHeight="1" x14ac:dyDescent="0.3">
      <c r="B15" s="148" t="s">
        <v>30</v>
      </c>
      <c r="C15" s="148"/>
      <c r="D15" s="148"/>
      <c r="E15" s="148"/>
      <c r="F15" s="148"/>
      <c r="G15" s="148"/>
      <c r="H15" s="148"/>
      <c r="I15" s="148"/>
    </row>
    <row r="16" spans="2:9" ht="46.8" customHeight="1" x14ac:dyDescent="0.3">
      <c r="B16" s="133" t="s">
        <v>165</v>
      </c>
      <c r="C16" s="133"/>
      <c r="D16" s="133"/>
      <c r="E16" s="133"/>
      <c r="F16" s="133"/>
      <c r="G16" s="133"/>
      <c r="H16" s="133"/>
      <c r="I16" s="133"/>
    </row>
    <row r="17" spans="2:11" s="38" customFormat="1" ht="25.2" customHeight="1" x14ac:dyDescent="0.3">
      <c r="B17" s="17" t="s">
        <v>31</v>
      </c>
      <c r="C17" s="139" t="s">
        <v>155</v>
      </c>
      <c r="D17" s="140"/>
      <c r="E17" s="139" t="s">
        <v>12</v>
      </c>
      <c r="F17" s="140"/>
      <c r="G17" s="141" t="s">
        <v>9</v>
      </c>
      <c r="H17" s="141"/>
      <c r="I17" s="17" t="s">
        <v>34</v>
      </c>
    </row>
    <row r="18" spans="2:11" ht="45.6" customHeight="1" x14ac:dyDescent="0.3">
      <c r="B18" s="36">
        <v>1</v>
      </c>
      <c r="C18" s="135" t="s">
        <v>156</v>
      </c>
      <c r="D18" s="136"/>
      <c r="E18" s="137" t="s">
        <v>159</v>
      </c>
      <c r="F18" s="137"/>
      <c r="G18" s="138" t="s">
        <v>106</v>
      </c>
      <c r="H18" s="138"/>
      <c r="I18" s="40" t="e">
        <f>ROUNDUP('Commercials (C) - 29&gt; with Tab'!L20,0)</f>
        <v>#REF!</v>
      </c>
      <c r="J18" s="61"/>
    </row>
    <row r="19" spans="2:11" ht="45.6" customHeight="1" x14ac:dyDescent="0.3">
      <c r="B19" s="36">
        <v>2</v>
      </c>
      <c r="C19" s="135" t="s">
        <v>10</v>
      </c>
      <c r="D19" s="136"/>
      <c r="E19" s="137" t="s">
        <v>160</v>
      </c>
      <c r="F19" s="137"/>
      <c r="G19" s="138" t="s">
        <v>106</v>
      </c>
      <c r="H19" s="138"/>
      <c r="I19" s="40" t="e">
        <f>ROUNDUP('Commercials (C) - 29&gt; with Tab'!L17+'Commercials (C) - 29&gt; with Tab'!L29,0)</f>
        <v>#REF!</v>
      </c>
      <c r="J19" s="61"/>
    </row>
    <row r="20" spans="2:11" ht="45.6" customHeight="1" x14ac:dyDescent="0.3">
      <c r="B20" s="36">
        <v>3</v>
      </c>
      <c r="C20" s="135" t="s">
        <v>161</v>
      </c>
      <c r="D20" s="136"/>
      <c r="E20" s="137" t="s">
        <v>157</v>
      </c>
      <c r="F20" s="137"/>
      <c r="G20" s="138" t="s">
        <v>162</v>
      </c>
      <c r="H20" s="138"/>
      <c r="I20" s="40">
        <v>8</v>
      </c>
      <c r="J20" s="61"/>
    </row>
    <row r="21" spans="2:11" ht="45.6" customHeight="1" x14ac:dyDescent="0.3">
      <c r="B21" s="36">
        <v>4</v>
      </c>
      <c r="C21" s="135" t="s">
        <v>151</v>
      </c>
      <c r="D21" s="136"/>
      <c r="E21" s="137" t="s">
        <v>163</v>
      </c>
      <c r="F21" s="137"/>
      <c r="G21" s="138" t="s">
        <v>158</v>
      </c>
      <c r="H21" s="138"/>
      <c r="I21" s="40" t="e">
        <f>ROUNDUP('Commercials (C) - 29&gt; with Tab'!K24/12,0)</f>
        <v>#REF!</v>
      </c>
      <c r="J21" s="61"/>
      <c r="K21" s="61"/>
    </row>
    <row r="22" spans="2:11" ht="6.6" customHeight="1" x14ac:dyDescent="0.3">
      <c r="B22" s="134"/>
      <c r="C22" s="134"/>
      <c r="D22" s="134"/>
      <c r="E22" s="134"/>
      <c r="F22" s="134"/>
      <c r="G22" s="134"/>
      <c r="H22" s="134"/>
      <c r="I22" s="134"/>
    </row>
    <row r="23" spans="2:11" ht="25.8" customHeight="1" x14ac:dyDescent="0.3">
      <c r="B23" s="129" t="s">
        <v>62</v>
      </c>
      <c r="C23" s="129"/>
      <c r="D23" s="129"/>
      <c r="E23" s="129"/>
      <c r="F23" s="129"/>
      <c r="G23" s="129"/>
      <c r="H23" s="129"/>
      <c r="I23" s="129"/>
    </row>
    <row r="24" spans="2:11" ht="6.6" customHeight="1" x14ac:dyDescent="0.3">
      <c r="B24" s="134"/>
      <c r="C24" s="134"/>
      <c r="D24" s="134"/>
      <c r="E24" s="134"/>
      <c r="F24" s="134"/>
      <c r="G24" s="134"/>
      <c r="H24" s="134"/>
      <c r="I24" s="134"/>
    </row>
    <row r="25" spans="2:11" ht="25.8" customHeight="1" x14ac:dyDescent="0.3">
      <c r="B25" s="129" t="s">
        <v>32</v>
      </c>
      <c r="C25" s="129"/>
      <c r="D25" s="129"/>
      <c r="E25" s="129"/>
      <c r="F25" s="129"/>
      <c r="G25" s="129"/>
      <c r="H25" s="129"/>
      <c r="I25" s="129"/>
    </row>
    <row r="26" spans="2:11" ht="270" customHeight="1" x14ac:dyDescent="0.3">
      <c r="B26" s="130" t="s">
        <v>164</v>
      </c>
      <c r="C26" s="130"/>
      <c r="D26" s="131"/>
      <c r="E26" s="131"/>
      <c r="F26" s="131"/>
      <c r="G26" s="131"/>
      <c r="H26" s="131"/>
      <c r="I26" s="131"/>
    </row>
    <row r="27" spans="2:11" ht="25.8" customHeight="1" x14ac:dyDescent="0.3">
      <c r="B27" s="129" t="s">
        <v>68</v>
      </c>
      <c r="C27" s="129"/>
      <c r="D27" s="129"/>
      <c r="E27" s="129"/>
      <c r="F27" s="129"/>
      <c r="G27" s="129"/>
      <c r="H27" s="129"/>
      <c r="I27" s="129"/>
    </row>
    <row r="28" spans="2:11" ht="140.4" customHeight="1" x14ac:dyDescent="0.3">
      <c r="B28" s="132" t="s">
        <v>145</v>
      </c>
      <c r="C28" s="133"/>
      <c r="D28" s="133"/>
      <c r="E28" s="133"/>
      <c r="F28" s="133"/>
      <c r="G28" s="133"/>
      <c r="H28" s="133"/>
      <c r="I28" s="133"/>
    </row>
    <row r="29" spans="2:11" ht="25.2" customHeight="1" x14ac:dyDescent="0.3">
      <c r="B29" s="129" t="s">
        <v>94</v>
      </c>
      <c r="C29" s="129"/>
      <c r="D29" s="129"/>
      <c r="E29" s="129"/>
      <c r="F29" s="129"/>
      <c r="G29" s="129"/>
      <c r="H29" s="129"/>
      <c r="I29" s="129"/>
    </row>
  </sheetData>
  <mergeCells count="56">
    <mergeCell ref="B22:I22"/>
    <mergeCell ref="B23:I23"/>
    <mergeCell ref="C20:D20"/>
    <mergeCell ref="C21:D21"/>
    <mergeCell ref="B29:I29"/>
    <mergeCell ref="B24:I24"/>
    <mergeCell ref="B25:I25"/>
    <mergeCell ref="B26:I26"/>
    <mergeCell ref="B27:I27"/>
    <mergeCell ref="B28:I28"/>
    <mergeCell ref="E20:F20"/>
    <mergeCell ref="E21:F21"/>
    <mergeCell ref="G20:H20"/>
    <mergeCell ref="G21:H21"/>
    <mergeCell ref="G18:H18"/>
    <mergeCell ref="C17:D17"/>
    <mergeCell ref="C19:D19"/>
    <mergeCell ref="E19:F19"/>
    <mergeCell ref="G19:H19"/>
    <mergeCell ref="E17:F17"/>
    <mergeCell ref="C18:D18"/>
    <mergeCell ref="E18:F18"/>
    <mergeCell ref="G17:H17"/>
    <mergeCell ref="B14:I14"/>
    <mergeCell ref="B15:I15"/>
    <mergeCell ref="B16:I16"/>
    <mergeCell ref="B8:I8"/>
    <mergeCell ref="B12:C12"/>
    <mergeCell ref="D12:E12"/>
    <mergeCell ref="F12:G12"/>
    <mergeCell ref="H12:I12"/>
    <mergeCell ref="B13:C13"/>
    <mergeCell ref="D13:I13"/>
    <mergeCell ref="B9:I9"/>
    <mergeCell ref="B10:C10"/>
    <mergeCell ref="D10:I10"/>
    <mergeCell ref="B11:C11"/>
    <mergeCell ref="D11:I11"/>
    <mergeCell ref="B4:C4"/>
    <mergeCell ref="D4:E4"/>
    <mergeCell ref="F4:G5"/>
    <mergeCell ref="H4:I5"/>
    <mergeCell ref="B5:C5"/>
    <mergeCell ref="D5:E5"/>
    <mergeCell ref="B6:C6"/>
    <mergeCell ref="D6:E6"/>
    <mergeCell ref="F6:I7"/>
    <mergeCell ref="B7:C7"/>
    <mergeCell ref="D7:E7"/>
    <mergeCell ref="B1:G1"/>
    <mergeCell ref="H1:I1"/>
    <mergeCell ref="B2:I2"/>
    <mergeCell ref="B3:C3"/>
    <mergeCell ref="D3:E3"/>
    <mergeCell ref="F3:G3"/>
    <mergeCell ref="H3:I3"/>
  </mergeCells>
  <hyperlinks>
    <hyperlink ref="D13" r:id="rId1" xr:uid="{A94BA060-9EFA-4E30-9B0B-84629F813959}"/>
  </hyperlinks>
  <pageMargins left="0.23622047244094491" right="0.23622047244094491" top="0.74803149606299213" bottom="0.74803149606299213" header="0.31496062992125984" footer="0.31496062992125984"/>
  <pageSetup paperSize="9" scale="91" orientation="portrait" r:id="rId2"/>
  <rowBreaks count="1" manualBreakCount="1">
    <brk id="23" max="16383" man="1"/>
  </rowBreak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2BBC1-9BB7-491B-8E07-71CCEAD648EC}">
  <dimension ref="B2:C9"/>
  <sheetViews>
    <sheetView zoomScale="190" zoomScaleNormal="190" workbookViewId="0">
      <selection activeCell="E14" sqref="E14"/>
    </sheetView>
  </sheetViews>
  <sheetFormatPr defaultRowHeight="14.4" x14ac:dyDescent="0.3"/>
  <sheetData>
    <row r="2" spans="2:3" x14ac:dyDescent="0.3">
      <c r="B2" t="s">
        <v>45</v>
      </c>
    </row>
    <row r="3" spans="2:3" x14ac:dyDescent="0.3">
      <c r="B3" t="s">
        <v>44</v>
      </c>
    </row>
    <row r="5" spans="2:3" x14ac:dyDescent="0.3">
      <c r="B5" t="s">
        <v>46</v>
      </c>
      <c r="C5" t="s">
        <v>47</v>
      </c>
    </row>
    <row r="6" spans="2:3" x14ac:dyDescent="0.3">
      <c r="B6" t="s">
        <v>48</v>
      </c>
      <c r="C6" t="s">
        <v>49</v>
      </c>
    </row>
    <row r="7" spans="2:3" x14ac:dyDescent="0.3">
      <c r="B7" t="s">
        <v>50</v>
      </c>
      <c r="C7" t="s">
        <v>51</v>
      </c>
    </row>
    <row r="8" spans="2:3" x14ac:dyDescent="0.3">
      <c r="B8" t="s">
        <v>52</v>
      </c>
      <c r="C8" t="s">
        <v>53</v>
      </c>
    </row>
    <row r="9" spans="2:3" x14ac:dyDescent="0.3">
      <c r="B9" t="s">
        <v>54</v>
      </c>
      <c r="C9" t="s">
        <v>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14172-5583-4174-9123-91EE8F7D279D}">
  <sheetPr>
    <tabColor theme="9" tint="0.39997558519241921"/>
  </sheetPr>
  <dimension ref="B1:O41"/>
  <sheetViews>
    <sheetView topLeftCell="E23" zoomScale="85" zoomScaleNormal="85" workbookViewId="0">
      <selection activeCell="K15" sqref="K15"/>
    </sheetView>
  </sheetViews>
  <sheetFormatPr defaultRowHeight="14.4" x14ac:dyDescent="0.3"/>
  <cols>
    <col min="1" max="1" width="3.44140625" customWidth="1"/>
    <col min="2" max="2" width="21.21875" customWidth="1"/>
    <col min="3" max="3" width="19.88671875" customWidth="1"/>
    <col min="4" max="4" width="38" customWidth="1"/>
    <col min="5" max="5" width="37.33203125" customWidth="1"/>
    <col min="6" max="6" width="26.77734375" customWidth="1"/>
    <col min="7" max="8" width="18.5546875" customWidth="1"/>
    <col min="9" max="9" width="24.33203125" customWidth="1"/>
    <col min="10" max="10" width="17.88671875" customWidth="1"/>
    <col min="11" max="11" width="36.6640625" customWidth="1"/>
    <col min="12" max="12" width="24.33203125" customWidth="1"/>
    <col min="13" max="13" width="35.21875" customWidth="1"/>
    <col min="14" max="14" width="19.5546875" customWidth="1"/>
    <col min="15" max="15" width="15.109375" customWidth="1"/>
  </cols>
  <sheetData>
    <row r="1" spans="2:14" ht="15" thickBot="1" x14ac:dyDescent="0.35"/>
    <row r="2" spans="2:14" s="48" customFormat="1" ht="18" x14ac:dyDescent="0.3">
      <c r="B2" s="193" t="s">
        <v>2</v>
      </c>
      <c r="C2" s="194"/>
      <c r="D2" s="47" t="s">
        <v>105</v>
      </c>
      <c r="F2" s="49"/>
      <c r="G2" s="49"/>
      <c r="H2" s="50"/>
      <c r="I2" s="50"/>
      <c r="J2" s="50"/>
      <c r="K2" s="50"/>
      <c r="L2" s="50"/>
    </row>
    <row r="3" spans="2:14" s="48" customFormat="1" ht="18" x14ac:dyDescent="0.3">
      <c r="B3" s="183" t="s">
        <v>3</v>
      </c>
      <c r="C3" s="184"/>
      <c r="D3" s="51">
        <f ca="1">TODAY()</f>
        <v>45863</v>
      </c>
      <c r="H3" s="50"/>
      <c r="I3" s="50"/>
      <c r="J3" s="50"/>
      <c r="K3" s="50"/>
      <c r="L3" s="50"/>
    </row>
    <row r="4" spans="2:14" s="48" customFormat="1" ht="31.2" x14ac:dyDescent="0.3">
      <c r="B4" s="183" t="s">
        <v>4</v>
      </c>
      <c r="C4" s="184"/>
      <c r="D4" s="52">
        <v>5</v>
      </c>
      <c r="F4" s="195" t="s">
        <v>184</v>
      </c>
      <c r="G4" s="195"/>
      <c r="H4" s="195"/>
      <c r="I4" s="195"/>
      <c r="J4" s="195"/>
      <c r="K4" s="195"/>
      <c r="L4" s="195"/>
      <c r="M4" s="195"/>
    </row>
    <row r="5" spans="2:14" s="48" customFormat="1" ht="18" x14ac:dyDescent="0.3">
      <c r="B5" s="183" t="s">
        <v>7</v>
      </c>
      <c r="C5" s="184"/>
      <c r="D5" s="53">
        <v>0.2</v>
      </c>
      <c r="E5"/>
      <c r="F5" s="49"/>
      <c r="G5" s="49"/>
      <c r="H5" s="50"/>
      <c r="I5" s="50"/>
      <c r="J5" s="50"/>
      <c r="K5" s="50"/>
      <c r="L5" s="50"/>
    </row>
    <row r="6" spans="2:14" s="48" customFormat="1" ht="18" x14ac:dyDescent="0.3">
      <c r="B6" s="183" t="s">
        <v>23</v>
      </c>
      <c r="C6" s="184"/>
      <c r="D6" s="53">
        <v>0.03</v>
      </c>
      <c r="E6"/>
      <c r="F6" s="49"/>
      <c r="G6" s="49"/>
      <c r="H6" s="50"/>
      <c r="I6" s="50"/>
      <c r="J6" s="50"/>
      <c r="K6" s="50"/>
      <c r="L6" s="50"/>
    </row>
    <row r="7" spans="2:14" s="48" customFormat="1" ht="18" x14ac:dyDescent="0.3">
      <c r="B7" s="183" t="s">
        <v>77</v>
      </c>
      <c r="C7" s="184"/>
      <c r="D7" s="54">
        <v>0</v>
      </c>
      <c r="E7"/>
      <c r="F7" s="49"/>
      <c r="G7" s="49"/>
      <c r="H7" s="50"/>
      <c r="I7" s="50"/>
      <c r="J7" s="50"/>
      <c r="K7"/>
      <c r="L7"/>
      <c r="N7" s="57"/>
    </row>
    <row r="8" spans="2:14" s="48" customFormat="1" ht="18.600000000000001" thickBot="1" x14ac:dyDescent="0.35">
      <c r="B8" s="185" t="s">
        <v>60</v>
      </c>
      <c r="C8" s="186"/>
      <c r="D8" s="55">
        <v>190000</v>
      </c>
      <c r="E8"/>
      <c r="F8" s="49"/>
      <c r="G8" s="49"/>
      <c r="H8" s="50"/>
      <c r="I8" s="50"/>
      <c r="J8" s="50"/>
      <c r="K8"/>
      <c r="L8"/>
      <c r="N8" s="57"/>
    </row>
    <row r="9" spans="2:14" ht="16.2" thickBot="1" x14ac:dyDescent="0.35">
      <c r="B9" s="6"/>
      <c r="C9" s="6"/>
      <c r="D9" s="6"/>
      <c r="E9" s="6"/>
      <c r="F9" s="6"/>
      <c r="G9" s="6"/>
      <c r="H9" s="6"/>
      <c r="I9" s="6" t="s">
        <v>174</v>
      </c>
      <c r="J9" s="46"/>
      <c r="K9" s="6" t="s">
        <v>174</v>
      </c>
      <c r="L9" s="6"/>
      <c r="N9" s="58"/>
    </row>
    <row r="10" spans="2:14" ht="67.2" customHeight="1" thickBot="1" x14ac:dyDescent="0.35">
      <c r="B10" s="32" t="s">
        <v>18</v>
      </c>
      <c r="C10" s="33" t="s">
        <v>12</v>
      </c>
      <c r="D10" s="33"/>
      <c r="E10" s="33" t="s">
        <v>13</v>
      </c>
      <c r="F10" s="33" t="s">
        <v>9</v>
      </c>
      <c r="G10" s="33" t="s">
        <v>14</v>
      </c>
      <c r="H10" s="33" t="s">
        <v>15</v>
      </c>
      <c r="I10" s="33" t="s">
        <v>173</v>
      </c>
      <c r="J10" s="33" t="s">
        <v>19</v>
      </c>
      <c r="K10" s="34" t="s">
        <v>33</v>
      </c>
      <c r="L10" s="35" t="s">
        <v>154</v>
      </c>
      <c r="M10" s="85" t="s">
        <v>177</v>
      </c>
    </row>
    <row r="11" spans="2:14" ht="15.6" customHeight="1" x14ac:dyDescent="0.3">
      <c r="B11" s="168" t="s">
        <v>8</v>
      </c>
      <c r="C11" s="182" t="s">
        <v>10</v>
      </c>
      <c r="D11" s="189" t="s">
        <v>66</v>
      </c>
      <c r="E11" s="7" t="s">
        <v>20</v>
      </c>
      <c r="F11" s="8" t="s">
        <v>1</v>
      </c>
      <c r="G11" s="9"/>
      <c r="H11" s="9"/>
      <c r="I11" s="18" t="e">
        <f>#REF!</f>
        <v>#REF!</v>
      </c>
      <c r="J11" s="82">
        <v>0.23076920000000001</v>
      </c>
      <c r="K11" s="28" t="e">
        <f>IF(H11=0,(I11/(1-J11)),(I11/H11)/(1-J11))</f>
        <v>#REF!</v>
      </c>
      <c r="L11" s="23" t="e">
        <f>I11/(1-J11)</f>
        <v>#REF!</v>
      </c>
      <c r="M11" s="23" t="e">
        <f>L11*J11</f>
        <v>#REF!</v>
      </c>
    </row>
    <row r="12" spans="2:14" ht="15.6" x14ac:dyDescent="0.3">
      <c r="B12" s="168"/>
      <c r="C12" s="182"/>
      <c r="D12" s="181"/>
      <c r="E12" s="7" t="s">
        <v>23</v>
      </c>
      <c r="F12" s="8" t="s">
        <v>1</v>
      </c>
      <c r="G12" s="9"/>
      <c r="H12" s="9"/>
      <c r="I12" s="18" t="e">
        <f>I11*D6</f>
        <v>#REF!</v>
      </c>
      <c r="J12" s="82">
        <v>4.0224999999999997E-2</v>
      </c>
      <c r="K12" s="28" t="e">
        <f>IF(H12=0,(I12/(1-J12)),(I12/H12)/(1-J12))</f>
        <v>#REF!</v>
      </c>
      <c r="L12" s="23" t="e">
        <f>I12/(1-J12)</f>
        <v>#REF!</v>
      </c>
      <c r="M12" s="23" t="e">
        <f t="shared" ref="M12:M28" si="0">L12*J12</f>
        <v>#REF!</v>
      </c>
    </row>
    <row r="13" spans="2:14" ht="15.6" x14ac:dyDescent="0.3">
      <c r="B13" s="168"/>
      <c r="C13" s="182"/>
      <c r="D13" s="182"/>
      <c r="E13" s="190" t="s">
        <v>66</v>
      </c>
      <c r="F13" s="191"/>
      <c r="G13" s="191"/>
      <c r="H13" s="192"/>
      <c r="I13" s="39" t="e">
        <f>SUM(I11:I12)</f>
        <v>#REF!</v>
      </c>
      <c r="J13" s="83"/>
      <c r="K13" s="39" t="e">
        <f>SUM(K11:K12)</f>
        <v>#REF!</v>
      </c>
      <c r="L13" s="39" t="e">
        <f>SUM(L11:L12)</f>
        <v>#REF!</v>
      </c>
      <c r="M13" s="39"/>
    </row>
    <row r="14" spans="2:14" ht="15.6" x14ac:dyDescent="0.3">
      <c r="B14" s="187"/>
      <c r="C14" s="188"/>
      <c r="D14" s="180" t="s">
        <v>175</v>
      </c>
      <c r="E14" s="11" t="s">
        <v>63</v>
      </c>
      <c r="F14" s="2" t="s">
        <v>1</v>
      </c>
      <c r="G14" s="12"/>
      <c r="H14" s="12"/>
      <c r="I14" s="19" t="e">
        <f>#REF!</f>
        <v>#REF!</v>
      </c>
      <c r="J14" s="10">
        <v>0</v>
      </c>
      <c r="K14" s="28" t="e">
        <f>IF(H14=0,(I14/(1-J14)),(I14/H14)/(1-J14))</f>
        <v>#REF!</v>
      </c>
      <c r="L14" s="23" t="e">
        <f>I14/(1-J14)</f>
        <v>#REF!</v>
      </c>
      <c r="M14" s="23" t="e">
        <f t="shared" si="0"/>
        <v>#REF!</v>
      </c>
    </row>
    <row r="15" spans="2:14" ht="15.6" x14ac:dyDescent="0.3">
      <c r="B15" s="187"/>
      <c r="C15" s="188"/>
      <c r="D15" s="181"/>
      <c r="E15" s="7" t="s">
        <v>64</v>
      </c>
      <c r="F15" s="2" t="s">
        <v>1</v>
      </c>
      <c r="G15" s="12"/>
      <c r="H15" s="12"/>
      <c r="I15" s="19">
        <v>0</v>
      </c>
      <c r="J15" s="10">
        <v>0</v>
      </c>
      <c r="K15" s="28">
        <f>IF(H15=0,(I15/(1-J15)),(I15/H15)/(1-J15))</f>
        <v>0</v>
      </c>
      <c r="L15" s="23">
        <f>I15/(1-J15)</f>
        <v>0</v>
      </c>
      <c r="M15" s="23">
        <f t="shared" si="0"/>
        <v>0</v>
      </c>
    </row>
    <row r="16" spans="2:14" ht="15.6" x14ac:dyDescent="0.3">
      <c r="B16" s="187"/>
      <c r="C16" s="188"/>
      <c r="D16" s="182"/>
      <c r="E16" s="190" t="s">
        <v>65</v>
      </c>
      <c r="F16" s="191"/>
      <c r="G16" s="191"/>
      <c r="H16" s="192"/>
      <c r="I16" s="39" t="e">
        <f>SUM(I14:I15)</f>
        <v>#REF!</v>
      </c>
      <c r="J16" s="83"/>
      <c r="K16" s="39" t="e">
        <f>SUM(K14:K15)</f>
        <v>#REF!</v>
      </c>
      <c r="L16" s="39" t="e">
        <f>SUM(L14:L15)</f>
        <v>#REF!</v>
      </c>
      <c r="M16" s="39"/>
    </row>
    <row r="17" spans="2:15" ht="16.8" customHeight="1" x14ac:dyDescent="0.3">
      <c r="B17" s="187"/>
      <c r="C17" s="188"/>
      <c r="D17" s="175" t="s">
        <v>5</v>
      </c>
      <c r="E17" s="176"/>
      <c r="F17" s="176"/>
      <c r="G17" s="176"/>
      <c r="H17" s="177"/>
      <c r="I17" s="20" t="e">
        <f>I13+I16</f>
        <v>#REF!</v>
      </c>
      <c r="J17" s="84"/>
      <c r="K17" s="20" t="e">
        <f>K13+K16</f>
        <v>#REF!</v>
      </c>
      <c r="L17" s="20" t="e">
        <f>L13+L16</f>
        <v>#REF!</v>
      </c>
      <c r="M17" s="20"/>
    </row>
    <row r="18" spans="2:15" ht="15.6" x14ac:dyDescent="0.3">
      <c r="B18" s="187"/>
      <c r="C18" s="188" t="s">
        <v>22</v>
      </c>
      <c r="D18" s="42" t="s">
        <v>57</v>
      </c>
      <c r="E18" s="13" t="s">
        <v>176</v>
      </c>
      <c r="F18" s="13" t="s">
        <v>1</v>
      </c>
      <c r="G18" s="12"/>
      <c r="H18" s="12"/>
      <c r="I18" s="19" t="e">
        <f>#REF!+#REF!</f>
        <v>#REF!</v>
      </c>
      <c r="J18" s="82">
        <v>3.5624999999999997E-2</v>
      </c>
      <c r="K18" s="28" t="e">
        <f>IF(H18=0,(I18/(1-J18)),(I18/H18)/(1-J18))</f>
        <v>#REF!</v>
      </c>
      <c r="L18" s="23" t="e">
        <f>I18/(1-J18)</f>
        <v>#REF!</v>
      </c>
      <c r="M18" s="23" t="e">
        <f t="shared" si="0"/>
        <v>#REF!</v>
      </c>
    </row>
    <row r="19" spans="2:15" ht="15.6" x14ac:dyDescent="0.3">
      <c r="B19" s="187"/>
      <c r="C19" s="188"/>
      <c r="D19" s="88" t="s">
        <v>21</v>
      </c>
      <c r="E19" s="89" t="s">
        <v>21</v>
      </c>
      <c r="F19" s="2" t="s">
        <v>1</v>
      </c>
      <c r="G19" s="12"/>
      <c r="H19" s="12"/>
      <c r="I19" s="19">
        <f>D7</f>
        <v>0</v>
      </c>
      <c r="J19" s="10">
        <v>0</v>
      </c>
      <c r="K19" s="28">
        <f>IF(H19=0,(I19/(1-J19)),(I19/H19)/(1-J19))</f>
        <v>0</v>
      </c>
      <c r="L19" s="23">
        <f>I19/(1-J19)</f>
        <v>0</v>
      </c>
      <c r="M19" s="23">
        <f t="shared" si="0"/>
        <v>0</v>
      </c>
    </row>
    <row r="20" spans="2:15" ht="15.6" x14ac:dyDescent="0.3">
      <c r="B20" s="187"/>
      <c r="C20" s="188"/>
      <c r="D20" s="175" t="s">
        <v>17</v>
      </c>
      <c r="E20" s="176"/>
      <c r="F20" s="176"/>
      <c r="G20" s="176"/>
      <c r="H20" s="177"/>
      <c r="I20" s="20" t="e">
        <f>SUM(I18:I19)</f>
        <v>#REF!</v>
      </c>
      <c r="J20" s="14"/>
      <c r="K20" s="20" t="e">
        <f>SUM(K18:K19)</f>
        <v>#REF!</v>
      </c>
      <c r="L20" s="24" t="e">
        <f>SUM(L18:L19)</f>
        <v>#REF!</v>
      </c>
      <c r="M20" s="24"/>
    </row>
    <row r="21" spans="2:15" ht="19.2" customHeight="1" x14ac:dyDescent="0.3">
      <c r="B21" s="187"/>
      <c r="C21" s="169" t="s">
        <v>8</v>
      </c>
      <c r="D21" s="170"/>
      <c r="E21" s="170"/>
      <c r="F21" s="170"/>
      <c r="G21" s="170"/>
      <c r="H21" s="171"/>
      <c r="I21" s="21" t="e">
        <f>I17+I20</f>
        <v>#REF!</v>
      </c>
      <c r="J21" s="5"/>
      <c r="K21" s="21" t="e">
        <f>K17+K20</f>
        <v>#REF!</v>
      </c>
      <c r="L21" s="21" t="e">
        <f>L17+L20</f>
        <v>#REF!</v>
      </c>
      <c r="M21" s="21"/>
    </row>
    <row r="22" spans="2:15" ht="15.6" x14ac:dyDescent="0.3">
      <c r="B22" s="178"/>
      <c r="C22" s="180" t="s">
        <v>16</v>
      </c>
      <c r="D22" s="180" t="s">
        <v>90</v>
      </c>
      <c r="E22" s="2" t="s">
        <v>152</v>
      </c>
      <c r="F22" s="2" t="s">
        <v>11</v>
      </c>
      <c r="G22" s="19" t="e">
        <f>#REF!</f>
        <v>#REF!</v>
      </c>
      <c r="H22" s="62">
        <f>D4</f>
        <v>5</v>
      </c>
      <c r="I22" s="19" t="e">
        <f>G22*H22</f>
        <v>#REF!</v>
      </c>
      <c r="J22" s="82">
        <v>1.2500000000000001E-2</v>
      </c>
      <c r="K22" s="28" t="e">
        <f>IF(H22=0,(I22/(1-J22)),(I22/H22)/(1-J22)*H22/$D$4)</f>
        <v>#REF!</v>
      </c>
      <c r="L22" s="23" t="e">
        <f>I22/(1-J22)</f>
        <v>#REF!</v>
      </c>
      <c r="M22" s="23" t="e">
        <f t="shared" si="0"/>
        <v>#REF!</v>
      </c>
    </row>
    <row r="23" spans="2:15" ht="15.6" x14ac:dyDescent="0.3">
      <c r="B23" s="178"/>
      <c r="C23" s="181"/>
      <c r="D23" s="182"/>
      <c r="E23" s="2" t="s">
        <v>153</v>
      </c>
      <c r="F23" s="2" t="s">
        <v>11</v>
      </c>
      <c r="G23" s="19" t="e">
        <f>#REF!</f>
        <v>#REF!</v>
      </c>
      <c r="H23" s="62">
        <f>D4</f>
        <v>5</v>
      </c>
      <c r="I23" s="19" t="e">
        <f>G23*H23</f>
        <v>#REF!</v>
      </c>
      <c r="J23" s="82">
        <v>1.2500000000000001E-2</v>
      </c>
      <c r="K23" s="28" t="e">
        <f>IF(H23=0,(I23/(1-J23)),(I23/H23)/(1-J23)*H23/$D$4)</f>
        <v>#REF!</v>
      </c>
      <c r="L23" s="23" t="e">
        <f>I23/(1-J23)</f>
        <v>#REF!</v>
      </c>
      <c r="M23" s="23" t="e">
        <f t="shared" si="0"/>
        <v>#REF!</v>
      </c>
    </row>
    <row r="24" spans="2:15" ht="15.6" x14ac:dyDescent="0.3">
      <c r="B24" s="178"/>
      <c r="C24" s="181"/>
      <c r="D24" s="175" t="s">
        <v>107</v>
      </c>
      <c r="E24" s="176"/>
      <c r="F24" s="176"/>
      <c r="G24" s="176"/>
      <c r="H24" s="177"/>
      <c r="I24" s="20" t="e">
        <f>SUM(I22:I23)</f>
        <v>#REF!</v>
      </c>
      <c r="J24" s="14"/>
      <c r="K24" s="20" t="e">
        <f>SUM(K22:K23)</f>
        <v>#REF!</v>
      </c>
      <c r="L24" s="20" t="e">
        <f>SUM(L22:L23)</f>
        <v>#REF!</v>
      </c>
      <c r="M24" s="20"/>
      <c r="N24" s="27"/>
    </row>
    <row r="25" spans="2:15" ht="15.6" x14ac:dyDescent="0.3">
      <c r="B25" s="178"/>
      <c r="C25" s="181"/>
      <c r="D25" s="30" t="s">
        <v>6</v>
      </c>
      <c r="E25" s="2" t="s">
        <v>6</v>
      </c>
      <c r="F25" s="2" t="s">
        <v>11</v>
      </c>
      <c r="G25" s="19">
        <f>D8*12</f>
        <v>2280000</v>
      </c>
      <c r="H25" s="31">
        <f>D4</f>
        <v>5</v>
      </c>
      <c r="I25" s="19">
        <f>G25*H25</f>
        <v>11400000</v>
      </c>
      <c r="J25" s="4">
        <v>0</v>
      </c>
      <c r="K25" s="28">
        <f>IF(H25=0,(I25/(1-J25)),(I25/H25)/(1-J25))</f>
        <v>2280000</v>
      </c>
      <c r="L25" s="23">
        <f>I25/(1-J25)</f>
        <v>11400000</v>
      </c>
      <c r="M25" s="23">
        <f>L25*0.5</f>
        <v>5700000</v>
      </c>
      <c r="N25" s="78">
        <v>0.5</v>
      </c>
    </row>
    <row r="26" spans="2:15" ht="15.6" x14ac:dyDescent="0.3">
      <c r="B26" s="178"/>
      <c r="C26" s="182"/>
      <c r="D26" s="175" t="s">
        <v>108</v>
      </c>
      <c r="E26" s="176"/>
      <c r="F26" s="176"/>
      <c r="G26" s="176"/>
      <c r="H26" s="177"/>
      <c r="I26" s="20">
        <f>SUM(I25)</f>
        <v>11400000</v>
      </c>
      <c r="J26" s="14"/>
      <c r="K26" s="20">
        <f>SUM(K25)</f>
        <v>2280000</v>
      </c>
      <c r="L26" s="20">
        <f>SUM(L25)</f>
        <v>11400000</v>
      </c>
      <c r="M26" s="20"/>
    </row>
    <row r="27" spans="2:15" ht="19.2" customHeight="1" x14ac:dyDescent="0.3">
      <c r="B27" s="179"/>
      <c r="C27" s="169" t="s">
        <v>24</v>
      </c>
      <c r="D27" s="170"/>
      <c r="E27" s="170"/>
      <c r="F27" s="170"/>
      <c r="G27" s="170"/>
      <c r="H27" s="171"/>
      <c r="I27" s="21" t="e">
        <f>I24+I26</f>
        <v>#REF!</v>
      </c>
      <c r="J27" s="5"/>
      <c r="K27" s="21" t="e">
        <f>K24+K26</f>
        <v>#REF!</v>
      </c>
      <c r="L27" s="21" t="e">
        <f>L24+L26</f>
        <v>#REF!</v>
      </c>
      <c r="M27" s="21"/>
    </row>
    <row r="28" spans="2:15" ht="15.6" x14ac:dyDescent="0.3">
      <c r="B28" s="167" t="s">
        <v>25</v>
      </c>
      <c r="C28" s="43" t="s">
        <v>25</v>
      </c>
      <c r="D28" s="42" t="s">
        <v>132</v>
      </c>
      <c r="E28" s="8" t="s">
        <v>133</v>
      </c>
      <c r="F28" s="8" t="s">
        <v>11</v>
      </c>
      <c r="G28" s="18" t="e">
        <f>(I11+I14)*D5</f>
        <v>#REF!</v>
      </c>
      <c r="H28" s="91">
        <f>('AMC &amp; months'!C6-'AMC &amp; months'!C7)/12</f>
        <v>4.083333333333333</v>
      </c>
      <c r="I28" s="19" t="e">
        <f>_xlfn.IFNA(G28*H28,0)</f>
        <v>#REF!</v>
      </c>
      <c r="J28" s="10">
        <v>0.2</v>
      </c>
      <c r="K28" s="28" t="e">
        <f>IF(H28=0,(I28/(1-J28)),(I28/H28)/(1-J28)*H28/($D$4-1))</f>
        <v>#REF!</v>
      </c>
      <c r="L28" s="23" t="e">
        <f>I28/(1-J28)</f>
        <v>#REF!</v>
      </c>
      <c r="M28" s="23" t="e">
        <f t="shared" si="0"/>
        <v>#REF!</v>
      </c>
      <c r="O28" s="27"/>
    </row>
    <row r="29" spans="2:15" ht="19.2" customHeight="1" x14ac:dyDescent="0.3">
      <c r="B29" s="168"/>
      <c r="C29" s="169" t="s">
        <v>58</v>
      </c>
      <c r="D29" s="170"/>
      <c r="E29" s="170"/>
      <c r="F29" s="170"/>
      <c r="G29" s="170"/>
      <c r="H29" s="171"/>
      <c r="I29" s="21" t="e">
        <f>SUM(I28:I28)</f>
        <v>#REF!</v>
      </c>
      <c r="J29" s="5"/>
      <c r="K29" s="21" t="e">
        <f>SUM(K28:K28)</f>
        <v>#REF!</v>
      </c>
      <c r="L29" s="25" t="e">
        <f>SUM(L28:L28)</f>
        <v>#REF!</v>
      </c>
      <c r="M29" s="25"/>
      <c r="N29" s="27"/>
    </row>
    <row r="30" spans="2:15" ht="23.4" customHeight="1" thickBot="1" x14ac:dyDescent="0.35">
      <c r="B30" s="172" t="s">
        <v>59</v>
      </c>
      <c r="C30" s="173"/>
      <c r="D30" s="173"/>
      <c r="E30" s="173"/>
      <c r="F30" s="173"/>
      <c r="G30" s="173"/>
      <c r="H30" s="174"/>
      <c r="I30" s="22" t="e">
        <f>I21+I27+I29</f>
        <v>#REF!</v>
      </c>
      <c r="J30" s="16"/>
      <c r="K30" s="29"/>
      <c r="L30" s="22" t="e">
        <f>L21+L27+L29</f>
        <v>#REF!</v>
      </c>
      <c r="M30" s="86" t="e">
        <f>SUM(M11:M29)</f>
        <v>#REF!</v>
      </c>
    </row>
    <row r="31" spans="2:15" ht="25.8" x14ac:dyDescent="0.5">
      <c r="J31" s="15"/>
      <c r="K31" s="15"/>
      <c r="M31" s="87" t="e">
        <f>M30/L30</f>
        <v>#REF!</v>
      </c>
    </row>
    <row r="33" spans="3:13" ht="60.6" customHeight="1" x14ac:dyDescent="0.3">
      <c r="C33" s="90"/>
      <c r="D33" s="90" t="s">
        <v>140</v>
      </c>
      <c r="E33" s="90" t="s">
        <v>169</v>
      </c>
      <c r="F33" s="90" t="s">
        <v>35</v>
      </c>
      <c r="G33" s="90" t="s">
        <v>176</v>
      </c>
      <c r="H33" s="90" t="s">
        <v>141</v>
      </c>
      <c r="I33" s="90" t="s">
        <v>142</v>
      </c>
      <c r="J33" s="90" t="s">
        <v>143</v>
      </c>
      <c r="K33" s="90" t="s">
        <v>132</v>
      </c>
      <c r="L33" s="90" t="s">
        <v>0</v>
      </c>
    </row>
    <row r="34" spans="3:13" ht="24" customHeight="1" x14ac:dyDescent="0.3">
      <c r="C34" s="92" t="s">
        <v>136</v>
      </c>
      <c r="D34" s="93" t="e">
        <f>L11</f>
        <v>#REF!</v>
      </c>
      <c r="E34" s="93" t="e">
        <f>L12</f>
        <v>#REF!</v>
      </c>
      <c r="F34" s="93" t="e">
        <f>L14</f>
        <v>#REF!</v>
      </c>
      <c r="G34" s="93" t="e">
        <f>L18</f>
        <v>#REF!</v>
      </c>
      <c r="H34" s="93">
        <f>L19</f>
        <v>0</v>
      </c>
      <c r="I34" s="93"/>
      <c r="J34" s="92"/>
      <c r="K34" s="92"/>
      <c r="L34" s="94" t="e">
        <f>SUM(D34:K34)</f>
        <v>#REF!</v>
      </c>
      <c r="M34" s="49" t="e">
        <f>L34=L21</f>
        <v>#REF!</v>
      </c>
    </row>
    <row r="35" spans="3:13" ht="24" customHeight="1" x14ac:dyDescent="0.3">
      <c r="C35" s="92" t="s">
        <v>137</v>
      </c>
      <c r="D35" s="92"/>
      <c r="E35" s="92"/>
      <c r="F35" s="92"/>
      <c r="G35" s="92"/>
      <c r="H35" s="92"/>
      <c r="I35" s="93" t="e">
        <f>$K$22+$K$23</f>
        <v>#REF!</v>
      </c>
      <c r="J35" s="93">
        <f>$K$25</f>
        <v>2280000</v>
      </c>
      <c r="K35" s="93"/>
      <c r="L35" s="94" t="e">
        <f t="shared" ref="L35:L39" si="1">SUM(D35:K35)</f>
        <v>#REF!</v>
      </c>
      <c r="M35" s="49" t="e">
        <f>L35=K27</f>
        <v>#REF!</v>
      </c>
    </row>
    <row r="36" spans="3:13" ht="24" customHeight="1" x14ac:dyDescent="0.3">
      <c r="C36" s="92" t="s">
        <v>138</v>
      </c>
      <c r="D36" s="92"/>
      <c r="E36" s="92"/>
      <c r="F36" s="92"/>
      <c r="G36" s="92"/>
      <c r="H36" s="92"/>
      <c r="I36" s="93" t="e">
        <f>$K$22+$K$23</f>
        <v>#REF!</v>
      </c>
      <c r="J36" s="93">
        <f>$K$25</f>
        <v>2280000</v>
      </c>
      <c r="K36" s="93" t="e">
        <f>$K$28</f>
        <v>#REF!</v>
      </c>
      <c r="L36" s="94" t="e">
        <f t="shared" si="1"/>
        <v>#REF!</v>
      </c>
      <c r="M36" s="49" t="e">
        <f>L36=K27+K29</f>
        <v>#REF!</v>
      </c>
    </row>
    <row r="37" spans="3:13" ht="24" customHeight="1" x14ac:dyDescent="0.3">
      <c r="C37" s="92" t="s">
        <v>139</v>
      </c>
      <c r="D37" s="92"/>
      <c r="E37" s="92"/>
      <c r="F37" s="92"/>
      <c r="G37" s="92"/>
      <c r="H37" s="92"/>
      <c r="I37" s="93" t="e">
        <f>$K$22+$K$23</f>
        <v>#REF!</v>
      </c>
      <c r="J37" s="93">
        <f>$K$25</f>
        <v>2280000</v>
      </c>
      <c r="K37" s="93" t="e">
        <f>$K$28</f>
        <v>#REF!</v>
      </c>
      <c r="L37" s="94" t="e">
        <f t="shared" si="1"/>
        <v>#REF!</v>
      </c>
      <c r="M37" s="49"/>
    </row>
    <row r="38" spans="3:13" ht="24" customHeight="1" x14ac:dyDescent="0.3">
      <c r="C38" s="92" t="s">
        <v>178</v>
      </c>
      <c r="D38" s="92"/>
      <c r="E38" s="92"/>
      <c r="F38" s="92"/>
      <c r="G38" s="92"/>
      <c r="H38" s="92"/>
      <c r="I38" s="93" t="e">
        <f>$K$22+$K$23</f>
        <v>#REF!</v>
      </c>
      <c r="J38" s="93">
        <f>$K$25</f>
        <v>2280000</v>
      </c>
      <c r="K38" s="93" t="e">
        <f>$K$28</f>
        <v>#REF!</v>
      </c>
      <c r="L38" s="94" t="e">
        <f t="shared" si="1"/>
        <v>#REF!</v>
      </c>
      <c r="M38" s="49"/>
    </row>
    <row r="39" spans="3:13" ht="24" customHeight="1" x14ac:dyDescent="0.3">
      <c r="C39" s="92" t="s">
        <v>179</v>
      </c>
      <c r="D39" s="92"/>
      <c r="E39" s="92"/>
      <c r="F39" s="92"/>
      <c r="G39" s="92"/>
      <c r="H39" s="92"/>
      <c r="I39" s="93" t="e">
        <f>$K$22+$K$23</f>
        <v>#REF!</v>
      </c>
      <c r="J39" s="93">
        <f>$K$25</f>
        <v>2280000</v>
      </c>
      <c r="K39" s="93" t="e">
        <f>$K$28</f>
        <v>#REF!</v>
      </c>
      <c r="L39" s="94" t="e">
        <f t="shared" si="1"/>
        <v>#REF!</v>
      </c>
      <c r="M39" s="49" t="e">
        <f>L39=K27+K29</f>
        <v>#REF!</v>
      </c>
    </row>
    <row r="40" spans="3:13" ht="24" customHeight="1" x14ac:dyDescent="0.3">
      <c r="C40" s="95"/>
      <c r="D40" s="96" t="e">
        <f>SUM(D34:D39)</f>
        <v>#REF!</v>
      </c>
      <c r="E40" s="96" t="e">
        <f t="shared" ref="E40:L40" si="2">SUM(E34:E39)</f>
        <v>#REF!</v>
      </c>
      <c r="F40" s="96" t="e">
        <f t="shared" si="2"/>
        <v>#REF!</v>
      </c>
      <c r="G40" s="96" t="e">
        <f t="shared" si="2"/>
        <v>#REF!</v>
      </c>
      <c r="H40" s="96">
        <f t="shared" si="2"/>
        <v>0</v>
      </c>
      <c r="I40" s="96" t="e">
        <f t="shared" si="2"/>
        <v>#REF!</v>
      </c>
      <c r="J40" s="96">
        <f t="shared" si="2"/>
        <v>11400000</v>
      </c>
      <c r="K40" s="96" t="e">
        <f t="shared" si="2"/>
        <v>#REF!</v>
      </c>
      <c r="L40" s="96" t="e">
        <f t="shared" si="2"/>
        <v>#REF!</v>
      </c>
      <c r="M40" s="97" t="e">
        <f>L40=L30</f>
        <v>#REF!</v>
      </c>
    </row>
    <row r="41" spans="3:13" ht="24" customHeight="1" x14ac:dyDescent="0.3">
      <c r="C41" s="49"/>
      <c r="D41" s="49" t="e">
        <f>D40=L11</f>
        <v>#REF!</v>
      </c>
      <c r="E41" s="49" t="e">
        <f>E40=L12</f>
        <v>#REF!</v>
      </c>
      <c r="F41" s="49" t="e">
        <f>F40=L14</f>
        <v>#REF!</v>
      </c>
      <c r="G41" s="49" t="e">
        <f>G40=L18</f>
        <v>#REF!</v>
      </c>
      <c r="H41" s="49" t="b">
        <f>H40=L19</f>
        <v>1</v>
      </c>
      <c r="I41" s="49" t="e">
        <f>I40=L24</f>
        <v>#REF!</v>
      </c>
      <c r="J41" s="98" t="b">
        <f>J40=L26</f>
        <v>1</v>
      </c>
      <c r="K41" s="49" t="e">
        <f>K40=L29</f>
        <v>#REF!</v>
      </c>
      <c r="L41" s="99" t="e">
        <f>L40</f>
        <v>#REF!</v>
      </c>
      <c r="M41" s="49"/>
    </row>
  </sheetData>
  <mergeCells count="27">
    <mergeCell ref="B6:C6"/>
    <mergeCell ref="B2:C2"/>
    <mergeCell ref="B3:C3"/>
    <mergeCell ref="B4:C4"/>
    <mergeCell ref="F4:M4"/>
    <mergeCell ref="B5:C5"/>
    <mergeCell ref="E13:H13"/>
    <mergeCell ref="D14:D16"/>
    <mergeCell ref="E16:H16"/>
    <mergeCell ref="D17:H17"/>
    <mergeCell ref="C18:C20"/>
    <mergeCell ref="B7:C7"/>
    <mergeCell ref="B8:C8"/>
    <mergeCell ref="B11:B21"/>
    <mergeCell ref="C11:C17"/>
    <mergeCell ref="D11:D13"/>
    <mergeCell ref="B28:B29"/>
    <mergeCell ref="C29:H29"/>
    <mergeCell ref="B30:H30"/>
    <mergeCell ref="D20:H20"/>
    <mergeCell ref="C21:H21"/>
    <mergeCell ref="B22:B27"/>
    <mergeCell ref="C22:C26"/>
    <mergeCell ref="D22:D23"/>
    <mergeCell ref="D24:H24"/>
    <mergeCell ref="D26:H26"/>
    <mergeCell ref="C27:H27"/>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4A461-A342-4281-B5A7-98045F47E18A}">
  <sheetPr>
    <tabColor theme="9" tint="0.39997558519241921"/>
  </sheetPr>
  <dimension ref="B1:O41"/>
  <sheetViews>
    <sheetView topLeftCell="D5" zoomScale="69" zoomScaleNormal="55" workbookViewId="0">
      <selection activeCell="N10" sqref="N10"/>
    </sheetView>
  </sheetViews>
  <sheetFormatPr defaultRowHeight="14.4" x14ac:dyDescent="0.3"/>
  <cols>
    <col min="1" max="1" width="3.44140625" customWidth="1"/>
    <col min="2" max="2" width="21.21875" customWidth="1"/>
    <col min="3" max="3" width="19.88671875" customWidth="1"/>
    <col min="4" max="4" width="38" customWidth="1"/>
    <col min="5" max="5" width="37.33203125" customWidth="1"/>
    <col min="6" max="6" width="26.77734375" customWidth="1"/>
    <col min="7" max="8" width="18.5546875" customWidth="1"/>
    <col min="9" max="9" width="24.33203125" customWidth="1"/>
    <col min="10" max="10" width="17.88671875" customWidth="1"/>
    <col min="11" max="11" width="36.6640625" customWidth="1"/>
    <col min="12" max="12" width="24.33203125" customWidth="1"/>
    <col min="13" max="13" width="35.21875" customWidth="1"/>
    <col min="14" max="14" width="19.5546875" customWidth="1"/>
    <col min="15" max="15" width="15.109375" customWidth="1"/>
  </cols>
  <sheetData>
    <row r="1" spans="2:14" ht="15" thickBot="1" x14ac:dyDescent="0.35"/>
    <row r="2" spans="2:14" s="48" customFormat="1" ht="18" x14ac:dyDescent="0.3">
      <c r="B2" s="193" t="s">
        <v>2</v>
      </c>
      <c r="C2" s="194"/>
      <c r="D2" s="47" t="s">
        <v>105</v>
      </c>
      <c r="F2" s="49"/>
      <c r="G2" s="49"/>
      <c r="H2" s="50"/>
      <c r="I2" s="50"/>
      <c r="J2" s="50"/>
      <c r="K2" s="50"/>
      <c r="L2" s="50"/>
    </row>
    <row r="3" spans="2:14" s="48" customFormat="1" ht="18" x14ac:dyDescent="0.3">
      <c r="B3" s="183" t="s">
        <v>3</v>
      </c>
      <c r="C3" s="184"/>
      <c r="D3" s="51">
        <f ca="1">TODAY()</f>
        <v>45863</v>
      </c>
      <c r="H3" s="50"/>
      <c r="I3" s="50"/>
      <c r="J3" s="50"/>
      <c r="K3" s="50"/>
      <c r="L3" s="50"/>
    </row>
    <row r="4" spans="2:14" s="48" customFormat="1" ht="31.2" x14ac:dyDescent="0.3">
      <c r="B4" s="183" t="s">
        <v>4</v>
      </c>
      <c r="C4" s="184"/>
      <c r="D4" s="52">
        <v>5</v>
      </c>
      <c r="F4" s="195" t="s">
        <v>167</v>
      </c>
      <c r="G4" s="195"/>
      <c r="H4" s="195"/>
      <c r="I4" s="195"/>
      <c r="J4" s="195"/>
      <c r="K4" s="195"/>
      <c r="L4" s="195"/>
      <c r="M4" s="195"/>
    </row>
    <row r="5" spans="2:14" s="48" customFormat="1" ht="18" x14ac:dyDescent="0.3">
      <c r="B5" s="183" t="s">
        <v>7</v>
      </c>
      <c r="C5" s="184"/>
      <c r="D5" s="53">
        <v>0.2</v>
      </c>
      <c r="E5"/>
      <c r="F5" s="49"/>
      <c r="G5" s="49"/>
      <c r="H5" s="50"/>
      <c r="I5" s="50"/>
      <c r="J5" s="50"/>
      <c r="K5" s="50"/>
      <c r="L5" s="50"/>
    </row>
    <row r="6" spans="2:14" s="48" customFormat="1" ht="18" x14ac:dyDescent="0.3">
      <c r="B6" s="183" t="s">
        <v>23</v>
      </c>
      <c r="C6" s="184"/>
      <c r="D6" s="53">
        <v>0.03</v>
      </c>
      <c r="E6"/>
      <c r="F6" s="49"/>
      <c r="G6" s="49"/>
      <c r="H6" s="50"/>
      <c r="I6" s="50"/>
      <c r="J6" s="50"/>
      <c r="K6" s="50"/>
      <c r="L6" s="50"/>
    </row>
    <row r="7" spans="2:14" s="48" customFormat="1" ht="18" x14ac:dyDescent="0.3">
      <c r="B7" s="183" t="s">
        <v>77</v>
      </c>
      <c r="C7" s="184"/>
      <c r="D7" s="54">
        <v>0</v>
      </c>
      <c r="E7"/>
      <c r="F7" s="49"/>
      <c r="G7" s="49"/>
      <c r="H7" s="50"/>
      <c r="I7" s="50"/>
      <c r="J7" s="50"/>
      <c r="K7"/>
      <c r="L7"/>
      <c r="N7" s="57"/>
    </row>
    <row r="8" spans="2:14" s="48" customFormat="1" ht="18.600000000000001" thickBot="1" x14ac:dyDescent="0.35">
      <c r="B8" s="185" t="s">
        <v>60</v>
      </c>
      <c r="C8" s="186"/>
      <c r="D8" s="55">
        <v>190000</v>
      </c>
      <c r="E8"/>
      <c r="F8" s="49"/>
      <c r="G8" s="49"/>
      <c r="H8" s="50"/>
      <c r="I8" s="50"/>
      <c r="J8" s="50"/>
      <c r="K8"/>
      <c r="L8"/>
      <c r="N8" s="57"/>
    </row>
    <row r="9" spans="2:14" ht="16.2" thickBot="1" x14ac:dyDescent="0.35">
      <c r="B9" s="6"/>
      <c r="C9" s="6"/>
      <c r="D9" s="6"/>
      <c r="E9" s="6"/>
      <c r="F9" s="6"/>
      <c r="G9" s="6"/>
      <c r="H9" s="6"/>
      <c r="I9" s="6" t="s">
        <v>174</v>
      </c>
      <c r="J9" s="46"/>
      <c r="K9" s="6" t="s">
        <v>174</v>
      </c>
      <c r="L9" s="6"/>
      <c r="N9" s="58"/>
    </row>
    <row r="10" spans="2:14" ht="67.2" customHeight="1" thickBot="1" x14ac:dyDescent="0.35">
      <c r="B10" s="32" t="s">
        <v>18</v>
      </c>
      <c r="C10" s="33" t="s">
        <v>12</v>
      </c>
      <c r="D10" s="33"/>
      <c r="E10" s="33" t="s">
        <v>13</v>
      </c>
      <c r="F10" s="33" t="s">
        <v>9</v>
      </c>
      <c r="G10" s="33" t="s">
        <v>14</v>
      </c>
      <c r="H10" s="33" t="s">
        <v>15</v>
      </c>
      <c r="I10" s="33" t="s">
        <v>173</v>
      </c>
      <c r="J10" s="33" t="s">
        <v>19</v>
      </c>
      <c r="K10" s="34" t="s">
        <v>33</v>
      </c>
      <c r="L10" s="35" t="s">
        <v>154</v>
      </c>
      <c r="M10" s="85" t="s">
        <v>177</v>
      </c>
    </row>
    <row r="11" spans="2:14" ht="15.6" customHeight="1" x14ac:dyDescent="0.3">
      <c r="B11" s="168" t="s">
        <v>8</v>
      </c>
      <c r="C11" s="182" t="s">
        <v>10</v>
      </c>
      <c r="D11" s="189" t="s">
        <v>66</v>
      </c>
      <c r="E11" s="7" t="s">
        <v>20</v>
      </c>
      <c r="F11" s="8" t="s">
        <v>1</v>
      </c>
      <c r="G11" s="9"/>
      <c r="H11" s="9"/>
      <c r="I11" s="18" t="e">
        <f>#REF!</f>
        <v>#REF!</v>
      </c>
      <c r="J11" s="82">
        <v>0.23076920000000001</v>
      </c>
      <c r="K11" s="28" t="e">
        <f>IF(H11=0,(I11/(1-J11)),(I11/H11)/(1-J11))</f>
        <v>#REF!</v>
      </c>
      <c r="L11" s="23" t="e">
        <f>I11/(1-J11)</f>
        <v>#REF!</v>
      </c>
      <c r="M11" s="23" t="e">
        <f>L11*J11</f>
        <v>#REF!</v>
      </c>
    </row>
    <row r="12" spans="2:14" ht="15.6" x14ac:dyDescent="0.3">
      <c r="B12" s="168"/>
      <c r="C12" s="182"/>
      <c r="D12" s="181"/>
      <c r="E12" s="7" t="s">
        <v>23</v>
      </c>
      <c r="F12" s="8" t="s">
        <v>1</v>
      </c>
      <c r="G12" s="9"/>
      <c r="H12" s="9"/>
      <c r="I12" s="18" t="e">
        <f>I11*D6</f>
        <v>#REF!</v>
      </c>
      <c r="J12" s="82">
        <v>0.40189000000000002</v>
      </c>
      <c r="K12" s="28" t="e">
        <f>IF(H12=0,(I12/(1-J12)),(I12/H12)/(1-J12))</f>
        <v>#REF!</v>
      </c>
      <c r="L12" s="23" t="e">
        <f>I12/(1-J12)</f>
        <v>#REF!</v>
      </c>
      <c r="M12" s="23" t="e">
        <f t="shared" ref="M12:M28" si="0">L12*J12</f>
        <v>#REF!</v>
      </c>
    </row>
    <row r="13" spans="2:14" ht="15.6" x14ac:dyDescent="0.3">
      <c r="B13" s="168"/>
      <c r="C13" s="182"/>
      <c r="D13" s="182"/>
      <c r="E13" s="190" t="s">
        <v>66</v>
      </c>
      <c r="F13" s="191"/>
      <c r="G13" s="191"/>
      <c r="H13" s="192"/>
      <c r="I13" s="39" t="e">
        <f>SUM(I11:I12)</f>
        <v>#REF!</v>
      </c>
      <c r="J13" s="83"/>
      <c r="K13" s="39" t="e">
        <f>SUM(K11:K12)</f>
        <v>#REF!</v>
      </c>
      <c r="L13" s="39" t="e">
        <f>SUM(L11:L12)</f>
        <v>#REF!</v>
      </c>
      <c r="M13" s="39"/>
    </row>
    <row r="14" spans="2:14" ht="15.6" x14ac:dyDescent="0.3">
      <c r="B14" s="187"/>
      <c r="C14" s="188"/>
      <c r="D14" s="180" t="s">
        <v>175</v>
      </c>
      <c r="E14" s="11" t="s">
        <v>63</v>
      </c>
      <c r="F14" s="2" t="s">
        <v>1</v>
      </c>
      <c r="G14" s="12"/>
      <c r="H14" s="12"/>
      <c r="I14" s="19" t="e">
        <f>#REF!</f>
        <v>#REF!</v>
      </c>
      <c r="J14" s="10">
        <v>0</v>
      </c>
      <c r="K14" s="28" t="e">
        <f>IF(H14=0,(I14/(1-J14)),(I14/H14)/(1-J14))</f>
        <v>#REF!</v>
      </c>
      <c r="L14" s="23" t="e">
        <f>I14/(1-J14)</f>
        <v>#REF!</v>
      </c>
      <c r="M14" s="23" t="e">
        <f t="shared" si="0"/>
        <v>#REF!</v>
      </c>
    </row>
    <row r="15" spans="2:14" ht="15.6" x14ac:dyDescent="0.3">
      <c r="B15" s="187"/>
      <c r="C15" s="188"/>
      <c r="D15" s="181"/>
      <c r="E15" s="7" t="s">
        <v>64</v>
      </c>
      <c r="F15" s="2" t="s">
        <v>1</v>
      </c>
      <c r="G15" s="12"/>
      <c r="H15" s="12"/>
      <c r="I15" s="19">
        <v>0</v>
      </c>
      <c r="J15" s="10">
        <v>0</v>
      </c>
      <c r="K15" s="28">
        <f>IF(H15=0,(I15/(1-J15)),(I15/H15)/(1-J15))</f>
        <v>0</v>
      </c>
      <c r="L15" s="23">
        <f>I15/(1-J15)</f>
        <v>0</v>
      </c>
      <c r="M15" s="23">
        <f t="shared" si="0"/>
        <v>0</v>
      </c>
    </row>
    <row r="16" spans="2:14" ht="15.6" x14ac:dyDescent="0.3">
      <c r="B16" s="187"/>
      <c r="C16" s="188"/>
      <c r="D16" s="182"/>
      <c r="E16" s="190" t="s">
        <v>65</v>
      </c>
      <c r="F16" s="191"/>
      <c r="G16" s="191"/>
      <c r="H16" s="192"/>
      <c r="I16" s="39" t="e">
        <f>SUM(I14:I15)</f>
        <v>#REF!</v>
      </c>
      <c r="J16" s="83"/>
      <c r="K16" s="39" t="e">
        <f>SUM(K14:K15)</f>
        <v>#REF!</v>
      </c>
      <c r="L16" s="39" t="e">
        <f>SUM(L14:L15)</f>
        <v>#REF!</v>
      </c>
      <c r="M16" s="39"/>
    </row>
    <row r="17" spans="2:15" ht="16.8" customHeight="1" x14ac:dyDescent="0.3">
      <c r="B17" s="187"/>
      <c r="C17" s="188"/>
      <c r="D17" s="175" t="s">
        <v>5</v>
      </c>
      <c r="E17" s="176"/>
      <c r="F17" s="176"/>
      <c r="G17" s="176"/>
      <c r="H17" s="177"/>
      <c r="I17" s="20" t="e">
        <f>I13+I16</f>
        <v>#REF!</v>
      </c>
      <c r="J17" s="84"/>
      <c r="K17" s="20" t="e">
        <f>K13+K16</f>
        <v>#REF!</v>
      </c>
      <c r="L17" s="20" t="e">
        <f>L13+L16</f>
        <v>#REF!</v>
      </c>
      <c r="M17" s="20"/>
    </row>
    <row r="18" spans="2:15" ht="15.6" x14ac:dyDescent="0.3">
      <c r="B18" s="187"/>
      <c r="C18" s="188" t="s">
        <v>22</v>
      </c>
      <c r="D18" s="42" t="s">
        <v>57</v>
      </c>
      <c r="E18" s="13" t="s">
        <v>176</v>
      </c>
      <c r="F18" s="13" t="s">
        <v>1</v>
      </c>
      <c r="G18" s="12"/>
      <c r="H18" s="12"/>
      <c r="I18" s="19" t="e">
        <f>#REF!+#REF!</f>
        <v>#REF!</v>
      </c>
      <c r="J18" s="82">
        <v>3.5624999999999997E-2</v>
      </c>
      <c r="K18" s="28" t="e">
        <f>IF(H18=0,(I18/(1-J18)),(I18/H18)/(1-J18))</f>
        <v>#REF!</v>
      </c>
      <c r="L18" s="23" t="e">
        <f>I18/(1-J18)</f>
        <v>#REF!</v>
      </c>
      <c r="M18" s="23" t="e">
        <f t="shared" si="0"/>
        <v>#REF!</v>
      </c>
    </row>
    <row r="19" spans="2:15" ht="15.6" x14ac:dyDescent="0.3">
      <c r="B19" s="187"/>
      <c r="C19" s="188"/>
      <c r="D19" s="88" t="s">
        <v>21</v>
      </c>
      <c r="E19" s="89" t="s">
        <v>21</v>
      </c>
      <c r="F19" s="2" t="s">
        <v>1</v>
      </c>
      <c r="G19" s="12"/>
      <c r="H19" s="12"/>
      <c r="I19" s="19">
        <f>D7</f>
        <v>0</v>
      </c>
      <c r="J19" s="10">
        <v>0</v>
      </c>
      <c r="K19" s="28">
        <f>IF(H19=0,(I19/(1-J19)),(I19/H19)/(1-J19))</f>
        <v>0</v>
      </c>
      <c r="L19" s="23">
        <f>I19/(1-J19)</f>
        <v>0</v>
      </c>
      <c r="M19" s="23">
        <f t="shared" si="0"/>
        <v>0</v>
      </c>
    </row>
    <row r="20" spans="2:15" ht="15.6" x14ac:dyDescent="0.3">
      <c r="B20" s="187"/>
      <c r="C20" s="188"/>
      <c r="D20" s="175" t="s">
        <v>17</v>
      </c>
      <c r="E20" s="176"/>
      <c r="F20" s="176"/>
      <c r="G20" s="176"/>
      <c r="H20" s="177"/>
      <c r="I20" s="20" t="e">
        <f>SUM(I18:I19)</f>
        <v>#REF!</v>
      </c>
      <c r="J20" s="14"/>
      <c r="K20" s="20" t="e">
        <f>SUM(K18:K19)</f>
        <v>#REF!</v>
      </c>
      <c r="L20" s="24" t="e">
        <f>SUM(L18:L19)</f>
        <v>#REF!</v>
      </c>
      <c r="M20" s="24"/>
    </row>
    <row r="21" spans="2:15" ht="19.2" customHeight="1" x14ac:dyDescent="0.3">
      <c r="B21" s="187"/>
      <c r="C21" s="169" t="s">
        <v>8</v>
      </c>
      <c r="D21" s="170"/>
      <c r="E21" s="170"/>
      <c r="F21" s="170"/>
      <c r="G21" s="170"/>
      <c r="H21" s="171"/>
      <c r="I21" s="21" t="e">
        <f>I17+I20</f>
        <v>#REF!</v>
      </c>
      <c r="J21" s="5"/>
      <c r="K21" s="21" t="e">
        <f>K17+K20</f>
        <v>#REF!</v>
      </c>
      <c r="L21" s="21" t="e">
        <f>L17+L20</f>
        <v>#REF!</v>
      </c>
      <c r="M21" s="21"/>
    </row>
    <row r="22" spans="2:15" ht="15.6" x14ac:dyDescent="0.3">
      <c r="B22" s="178"/>
      <c r="C22" s="180" t="s">
        <v>16</v>
      </c>
      <c r="D22" s="180" t="s">
        <v>90</v>
      </c>
      <c r="E22" s="2" t="s">
        <v>152</v>
      </c>
      <c r="F22" s="2" t="s">
        <v>11</v>
      </c>
      <c r="G22" s="19" t="e">
        <f>#REF!</f>
        <v>#REF!</v>
      </c>
      <c r="H22" s="62">
        <f>D4</f>
        <v>5</v>
      </c>
      <c r="I22" s="19" t="e">
        <f>G22*H22</f>
        <v>#REF!</v>
      </c>
      <c r="J22" s="82">
        <v>1.2500000000000001E-2</v>
      </c>
      <c r="K22" s="28" t="e">
        <f>IF(H22=0,(I22/(1-J22)),(I22/H22)/(1-J22)*H22/$D$4)</f>
        <v>#REF!</v>
      </c>
      <c r="L22" s="23" t="e">
        <f>I22/(1-J22)</f>
        <v>#REF!</v>
      </c>
      <c r="M22" s="23" t="e">
        <f t="shared" si="0"/>
        <v>#REF!</v>
      </c>
    </row>
    <row r="23" spans="2:15" ht="15.6" x14ac:dyDescent="0.3">
      <c r="B23" s="178"/>
      <c r="C23" s="181"/>
      <c r="D23" s="182"/>
      <c r="E23" s="2" t="s">
        <v>153</v>
      </c>
      <c r="F23" s="2" t="s">
        <v>11</v>
      </c>
      <c r="G23" s="19" t="e">
        <f>#REF!</f>
        <v>#REF!</v>
      </c>
      <c r="H23" s="62">
        <f>D4</f>
        <v>5</v>
      </c>
      <c r="I23" s="19" t="e">
        <f>G23*H23</f>
        <v>#REF!</v>
      </c>
      <c r="J23" s="82">
        <v>1.2500000000000001E-2</v>
      </c>
      <c r="K23" s="28" t="e">
        <f>IF(H23=0,(I23/(1-J23)),(I23/H23)/(1-J23)*H23/$D$4)</f>
        <v>#REF!</v>
      </c>
      <c r="L23" s="23" t="e">
        <f>I23/(1-J23)</f>
        <v>#REF!</v>
      </c>
      <c r="M23" s="23" t="e">
        <f t="shared" si="0"/>
        <v>#REF!</v>
      </c>
    </row>
    <row r="24" spans="2:15" ht="15.6" x14ac:dyDescent="0.3">
      <c r="B24" s="178"/>
      <c r="C24" s="181"/>
      <c r="D24" s="175" t="s">
        <v>107</v>
      </c>
      <c r="E24" s="176"/>
      <c r="F24" s="176"/>
      <c r="G24" s="176"/>
      <c r="H24" s="177"/>
      <c r="I24" s="20" t="e">
        <f>SUM(I22:I23)</f>
        <v>#REF!</v>
      </c>
      <c r="J24" s="14"/>
      <c r="K24" s="20" t="e">
        <f>SUM(K22:K23)</f>
        <v>#REF!</v>
      </c>
      <c r="L24" s="20" t="e">
        <f>SUM(L22:L23)</f>
        <v>#REF!</v>
      </c>
      <c r="M24" s="20"/>
      <c r="N24" s="27"/>
    </row>
    <row r="25" spans="2:15" ht="15.6" x14ac:dyDescent="0.3">
      <c r="B25" s="178"/>
      <c r="C25" s="181"/>
      <c r="D25" s="30" t="s">
        <v>6</v>
      </c>
      <c r="E25" s="2" t="s">
        <v>6</v>
      </c>
      <c r="F25" s="2" t="s">
        <v>11</v>
      </c>
      <c r="G25" s="19">
        <f>D8*12</f>
        <v>2280000</v>
      </c>
      <c r="H25" s="31">
        <f>D4</f>
        <v>5</v>
      </c>
      <c r="I25" s="19">
        <f>G25*H25</f>
        <v>11400000</v>
      </c>
      <c r="J25" s="4">
        <v>0</v>
      </c>
      <c r="K25" s="28">
        <f>IF(H25=0,(I25/(1-J25)),(I25/H25)/(1-J25))</f>
        <v>2280000</v>
      </c>
      <c r="L25" s="23">
        <f>I25/(1-J25)</f>
        <v>11400000</v>
      </c>
      <c r="M25" s="23">
        <f>L25*0.5</f>
        <v>5700000</v>
      </c>
      <c r="N25" s="78">
        <v>0.5</v>
      </c>
    </row>
    <row r="26" spans="2:15" ht="15.6" x14ac:dyDescent="0.3">
      <c r="B26" s="178"/>
      <c r="C26" s="182"/>
      <c r="D26" s="175" t="s">
        <v>108</v>
      </c>
      <c r="E26" s="176"/>
      <c r="F26" s="176"/>
      <c r="G26" s="176"/>
      <c r="H26" s="177"/>
      <c r="I26" s="20">
        <f>SUM(I25)</f>
        <v>11400000</v>
      </c>
      <c r="J26" s="14"/>
      <c r="K26" s="20">
        <f>SUM(K25)</f>
        <v>2280000</v>
      </c>
      <c r="L26" s="20">
        <f>SUM(L25)</f>
        <v>11400000</v>
      </c>
      <c r="M26" s="20"/>
    </row>
    <row r="27" spans="2:15" ht="19.2" customHeight="1" x14ac:dyDescent="0.3">
      <c r="B27" s="179"/>
      <c r="C27" s="169" t="s">
        <v>24</v>
      </c>
      <c r="D27" s="170"/>
      <c r="E27" s="170"/>
      <c r="F27" s="170"/>
      <c r="G27" s="170"/>
      <c r="H27" s="171"/>
      <c r="I27" s="21" t="e">
        <f>I24+I26</f>
        <v>#REF!</v>
      </c>
      <c r="J27" s="5"/>
      <c r="K27" s="21" t="e">
        <f>K24+K26</f>
        <v>#REF!</v>
      </c>
      <c r="L27" s="21" t="e">
        <f>L24+L26</f>
        <v>#REF!</v>
      </c>
      <c r="M27" s="21"/>
    </row>
    <row r="28" spans="2:15" ht="15.6" x14ac:dyDescent="0.3">
      <c r="B28" s="167" t="s">
        <v>25</v>
      </c>
      <c r="C28" s="43" t="s">
        <v>25</v>
      </c>
      <c r="D28" s="42" t="s">
        <v>132</v>
      </c>
      <c r="E28" s="8" t="s">
        <v>133</v>
      </c>
      <c r="F28" s="8" t="s">
        <v>11</v>
      </c>
      <c r="G28" s="18" t="e">
        <f>(I11+I14)*D5</f>
        <v>#REF!</v>
      </c>
      <c r="H28" s="91">
        <f>('AMC &amp; months'!C6-'AMC &amp; months'!C7)/12</f>
        <v>4.083333333333333</v>
      </c>
      <c r="I28" s="19" t="e">
        <f>_xlfn.IFNA(G28*H28,0)</f>
        <v>#REF!</v>
      </c>
      <c r="J28" s="10">
        <v>0.2</v>
      </c>
      <c r="K28" s="28" t="e">
        <f>IF(H28=0,(I28/(1-J28)),(I28/H28)/(1-J28)*H28/($D$4-1))</f>
        <v>#REF!</v>
      </c>
      <c r="L28" s="23" t="e">
        <f>I28/(1-J28)</f>
        <v>#REF!</v>
      </c>
      <c r="M28" s="23" t="e">
        <f t="shared" si="0"/>
        <v>#REF!</v>
      </c>
      <c r="O28" s="27"/>
    </row>
    <row r="29" spans="2:15" ht="19.2" customHeight="1" x14ac:dyDescent="0.3">
      <c r="B29" s="168"/>
      <c r="C29" s="169" t="s">
        <v>58</v>
      </c>
      <c r="D29" s="170"/>
      <c r="E29" s="170"/>
      <c r="F29" s="170"/>
      <c r="G29" s="170"/>
      <c r="H29" s="171"/>
      <c r="I29" s="21" t="e">
        <f>SUM(I28:I28)</f>
        <v>#REF!</v>
      </c>
      <c r="J29" s="5"/>
      <c r="K29" s="21" t="e">
        <f>SUM(K28:K28)</f>
        <v>#REF!</v>
      </c>
      <c r="L29" s="25" t="e">
        <f>SUM(L28:L28)</f>
        <v>#REF!</v>
      </c>
      <c r="M29" s="25"/>
      <c r="N29" s="27"/>
    </row>
    <row r="30" spans="2:15" ht="23.4" customHeight="1" thickBot="1" x14ac:dyDescent="0.35">
      <c r="B30" s="172" t="s">
        <v>59</v>
      </c>
      <c r="C30" s="173"/>
      <c r="D30" s="173"/>
      <c r="E30" s="173"/>
      <c r="F30" s="173"/>
      <c r="G30" s="173"/>
      <c r="H30" s="174"/>
      <c r="I30" s="22" t="e">
        <f>I21+I27+I29</f>
        <v>#REF!</v>
      </c>
      <c r="J30" s="16"/>
      <c r="K30" s="29"/>
      <c r="L30" s="22" t="e">
        <f>L21+L27+L29</f>
        <v>#REF!</v>
      </c>
      <c r="M30" s="86" t="e">
        <f>SUM(M11:M29)</f>
        <v>#REF!</v>
      </c>
    </row>
    <row r="31" spans="2:15" ht="25.8" x14ac:dyDescent="0.5">
      <c r="J31" s="15"/>
      <c r="K31" s="15"/>
      <c r="M31" s="87" t="e">
        <f>M30/L30</f>
        <v>#REF!</v>
      </c>
    </row>
    <row r="33" spans="3:13" ht="60.6" customHeight="1" x14ac:dyDescent="0.3">
      <c r="C33" s="90"/>
      <c r="D33" s="90" t="s">
        <v>140</v>
      </c>
      <c r="E33" s="90" t="s">
        <v>169</v>
      </c>
      <c r="F33" s="90" t="s">
        <v>35</v>
      </c>
      <c r="G33" s="90" t="s">
        <v>176</v>
      </c>
      <c r="H33" s="90" t="s">
        <v>141</v>
      </c>
      <c r="I33" s="90" t="s">
        <v>142</v>
      </c>
      <c r="J33" s="90" t="s">
        <v>143</v>
      </c>
      <c r="K33" s="90" t="s">
        <v>132</v>
      </c>
      <c r="L33" s="90" t="s">
        <v>0</v>
      </c>
    </row>
    <row r="34" spans="3:13" ht="24" customHeight="1" x14ac:dyDescent="0.3">
      <c r="C34" s="92" t="s">
        <v>136</v>
      </c>
      <c r="D34" s="93" t="e">
        <f>L11</f>
        <v>#REF!</v>
      </c>
      <c r="E34" s="93" t="e">
        <f>L12</f>
        <v>#REF!</v>
      </c>
      <c r="F34" s="93" t="e">
        <f>L14</f>
        <v>#REF!</v>
      </c>
      <c r="G34" s="93" t="e">
        <f>L18</f>
        <v>#REF!</v>
      </c>
      <c r="H34" s="93">
        <f>L19</f>
        <v>0</v>
      </c>
      <c r="I34" s="93"/>
      <c r="J34" s="92"/>
      <c r="K34" s="92"/>
      <c r="L34" s="94" t="e">
        <f>SUM(D34:K34)</f>
        <v>#REF!</v>
      </c>
      <c r="M34" s="49" t="e">
        <f>L34=L21</f>
        <v>#REF!</v>
      </c>
    </row>
    <row r="35" spans="3:13" ht="24" customHeight="1" x14ac:dyDescent="0.3">
      <c r="C35" s="92" t="s">
        <v>137</v>
      </c>
      <c r="D35" s="92"/>
      <c r="E35" s="92"/>
      <c r="F35" s="92"/>
      <c r="G35" s="92"/>
      <c r="H35" s="92"/>
      <c r="I35" s="93" t="e">
        <f>$K$22+$K$23</f>
        <v>#REF!</v>
      </c>
      <c r="J35" s="93">
        <f>$K$25</f>
        <v>2280000</v>
      </c>
      <c r="K35" s="93"/>
      <c r="L35" s="94" t="e">
        <f t="shared" ref="L35:L39" si="1">SUM(D35:K35)</f>
        <v>#REF!</v>
      </c>
      <c r="M35" s="49" t="e">
        <f>L35=K27</f>
        <v>#REF!</v>
      </c>
    </row>
    <row r="36" spans="3:13" ht="24" customHeight="1" x14ac:dyDescent="0.3">
      <c r="C36" s="92" t="s">
        <v>138</v>
      </c>
      <c r="D36" s="92"/>
      <c r="E36" s="92"/>
      <c r="F36" s="92"/>
      <c r="G36" s="92"/>
      <c r="H36" s="92"/>
      <c r="I36" s="93" t="e">
        <f>$K$22+$K$23</f>
        <v>#REF!</v>
      </c>
      <c r="J36" s="93">
        <f>$K$25</f>
        <v>2280000</v>
      </c>
      <c r="K36" s="93" t="e">
        <f>$K$28</f>
        <v>#REF!</v>
      </c>
      <c r="L36" s="94" t="e">
        <f t="shared" si="1"/>
        <v>#REF!</v>
      </c>
      <c r="M36" s="49" t="e">
        <f>L36=K27+K29</f>
        <v>#REF!</v>
      </c>
    </row>
    <row r="37" spans="3:13" ht="24" customHeight="1" x14ac:dyDescent="0.3">
      <c r="C37" s="92" t="s">
        <v>139</v>
      </c>
      <c r="D37" s="92"/>
      <c r="E37" s="92"/>
      <c r="F37" s="92"/>
      <c r="G37" s="92"/>
      <c r="H37" s="92"/>
      <c r="I37" s="93" t="e">
        <f>$K$22+$K$23</f>
        <v>#REF!</v>
      </c>
      <c r="J37" s="93">
        <f>$K$25</f>
        <v>2280000</v>
      </c>
      <c r="K37" s="93" t="e">
        <f>$K$28</f>
        <v>#REF!</v>
      </c>
      <c r="L37" s="94" t="e">
        <f t="shared" si="1"/>
        <v>#REF!</v>
      </c>
      <c r="M37" s="49"/>
    </row>
    <row r="38" spans="3:13" ht="24" customHeight="1" x14ac:dyDescent="0.3">
      <c r="C38" s="92" t="s">
        <v>178</v>
      </c>
      <c r="D38" s="92"/>
      <c r="E38" s="92"/>
      <c r="F38" s="92"/>
      <c r="G38" s="92"/>
      <c r="H38" s="92"/>
      <c r="I38" s="93" t="e">
        <f>$K$22+$K$23</f>
        <v>#REF!</v>
      </c>
      <c r="J38" s="93">
        <f>$K$25</f>
        <v>2280000</v>
      </c>
      <c r="K38" s="93" t="e">
        <f>$K$28</f>
        <v>#REF!</v>
      </c>
      <c r="L38" s="94" t="e">
        <f t="shared" si="1"/>
        <v>#REF!</v>
      </c>
      <c r="M38" s="49"/>
    </row>
    <row r="39" spans="3:13" ht="24" customHeight="1" x14ac:dyDescent="0.3">
      <c r="C39" s="92" t="s">
        <v>179</v>
      </c>
      <c r="D39" s="92"/>
      <c r="E39" s="92"/>
      <c r="F39" s="92"/>
      <c r="G39" s="92"/>
      <c r="H39" s="92"/>
      <c r="I39" s="93" t="e">
        <f>$K$22+$K$23</f>
        <v>#REF!</v>
      </c>
      <c r="J39" s="93">
        <f>$K$25</f>
        <v>2280000</v>
      </c>
      <c r="K39" s="93" t="e">
        <f>$K$28</f>
        <v>#REF!</v>
      </c>
      <c r="L39" s="94" t="e">
        <f t="shared" si="1"/>
        <v>#REF!</v>
      </c>
      <c r="M39" s="49" t="e">
        <f>L39=K27+K29</f>
        <v>#REF!</v>
      </c>
    </row>
    <row r="40" spans="3:13" ht="24" customHeight="1" x14ac:dyDescent="0.3">
      <c r="C40" s="95"/>
      <c r="D40" s="96" t="e">
        <f>SUM(D34:D39)</f>
        <v>#REF!</v>
      </c>
      <c r="E40" s="96" t="e">
        <f t="shared" ref="E40:L40" si="2">SUM(E34:E39)</f>
        <v>#REF!</v>
      </c>
      <c r="F40" s="96" t="e">
        <f t="shared" si="2"/>
        <v>#REF!</v>
      </c>
      <c r="G40" s="96" t="e">
        <f t="shared" si="2"/>
        <v>#REF!</v>
      </c>
      <c r="H40" s="96">
        <f t="shared" si="2"/>
        <v>0</v>
      </c>
      <c r="I40" s="96" t="e">
        <f t="shared" si="2"/>
        <v>#REF!</v>
      </c>
      <c r="J40" s="96">
        <f t="shared" si="2"/>
        <v>11400000</v>
      </c>
      <c r="K40" s="96" t="e">
        <f t="shared" si="2"/>
        <v>#REF!</v>
      </c>
      <c r="L40" s="96" t="e">
        <f t="shared" si="2"/>
        <v>#REF!</v>
      </c>
      <c r="M40" s="97" t="e">
        <f>L40=L30</f>
        <v>#REF!</v>
      </c>
    </row>
    <row r="41" spans="3:13" ht="24" customHeight="1" x14ac:dyDescent="0.3">
      <c r="C41" s="49"/>
      <c r="D41" s="49" t="e">
        <f>D40=L11</f>
        <v>#REF!</v>
      </c>
      <c r="E41" s="49" t="e">
        <f>E40=L12</f>
        <v>#REF!</v>
      </c>
      <c r="F41" s="49" t="e">
        <f>F40=L14</f>
        <v>#REF!</v>
      </c>
      <c r="G41" s="49" t="e">
        <f>G40=L18</f>
        <v>#REF!</v>
      </c>
      <c r="H41" s="49" t="b">
        <f>H40=L19</f>
        <v>1</v>
      </c>
      <c r="I41" s="49" t="e">
        <f>I40=L24</f>
        <v>#REF!</v>
      </c>
      <c r="J41" s="98" t="b">
        <f>J40=L26</f>
        <v>1</v>
      </c>
      <c r="K41" s="49" t="e">
        <f>K40=L29</f>
        <v>#REF!</v>
      </c>
      <c r="L41" s="99" t="e">
        <f>L40</f>
        <v>#REF!</v>
      </c>
      <c r="M41" s="49"/>
    </row>
  </sheetData>
  <mergeCells count="27">
    <mergeCell ref="D24:H24"/>
    <mergeCell ref="B28:B29"/>
    <mergeCell ref="C29:H29"/>
    <mergeCell ref="B30:H30"/>
    <mergeCell ref="B11:B21"/>
    <mergeCell ref="C11:C17"/>
    <mergeCell ref="C18:C20"/>
    <mergeCell ref="C21:H21"/>
    <mergeCell ref="B22:B27"/>
    <mergeCell ref="C27:H27"/>
    <mergeCell ref="D11:D13"/>
    <mergeCell ref="E13:H13"/>
    <mergeCell ref="E16:H16"/>
    <mergeCell ref="D26:H26"/>
    <mergeCell ref="D14:D16"/>
    <mergeCell ref="C22:C26"/>
    <mergeCell ref="D22:D23"/>
    <mergeCell ref="D17:H17"/>
    <mergeCell ref="D20:H20"/>
    <mergeCell ref="B8:C8"/>
    <mergeCell ref="B2:C2"/>
    <mergeCell ref="B3:C3"/>
    <mergeCell ref="B4:C4"/>
    <mergeCell ref="B5:C5"/>
    <mergeCell ref="B6:C6"/>
    <mergeCell ref="B7:C7"/>
    <mergeCell ref="F4:M4"/>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66921-0D90-4625-BEBD-2BBB82DB24F6}">
  <sheetPr>
    <tabColor theme="7" tint="0.59999389629810485"/>
  </sheetPr>
  <dimension ref="A1:G24"/>
  <sheetViews>
    <sheetView topLeftCell="A7" zoomScale="130" zoomScaleNormal="130" workbookViewId="0">
      <selection activeCell="C14" sqref="C14"/>
    </sheetView>
  </sheetViews>
  <sheetFormatPr defaultRowHeight="14.4" x14ac:dyDescent="0.3"/>
  <cols>
    <col min="1" max="1" width="15.6640625" customWidth="1"/>
    <col min="2" max="2" width="20.109375" bestFit="1" customWidth="1"/>
    <col min="3" max="3" width="38.88671875" bestFit="1" customWidth="1"/>
    <col min="4" max="4" width="23.5546875" customWidth="1"/>
    <col min="5" max="5" width="20.33203125" bestFit="1" customWidth="1"/>
    <col min="6" max="6" width="16.21875" customWidth="1"/>
    <col min="7" max="7" width="16.88671875" customWidth="1"/>
    <col min="8" max="8" width="4.6640625" customWidth="1"/>
  </cols>
  <sheetData>
    <row r="1" spans="1:7" x14ac:dyDescent="0.3">
      <c r="A1" s="198"/>
      <c r="B1" s="199"/>
      <c r="C1" s="200"/>
      <c r="D1" s="73" t="s">
        <v>9</v>
      </c>
      <c r="E1" s="71" t="s">
        <v>111</v>
      </c>
      <c r="F1" s="71" t="s">
        <v>112</v>
      </c>
    </row>
    <row r="2" spans="1:7" ht="14.4" customHeight="1" x14ac:dyDescent="0.3">
      <c r="A2" s="197" t="s">
        <v>8</v>
      </c>
      <c r="B2" s="66" t="s">
        <v>10</v>
      </c>
      <c r="C2" s="64" t="s">
        <v>109</v>
      </c>
      <c r="D2" s="64" t="s">
        <v>1</v>
      </c>
      <c r="E2" s="65" t="e">
        <f>'Commercials (C) - 29&gt; with Tab'!I17</f>
        <v>#REF!</v>
      </c>
      <c r="F2" s="65" t="e">
        <f>'Commercials (C) - 29&gt; with Tab'!K17</f>
        <v>#REF!</v>
      </c>
    </row>
    <row r="3" spans="1:7" x14ac:dyDescent="0.3">
      <c r="A3" s="197"/>
      <c r="B3" s="196" t="s">
        <v>22</v>
      </c>
      <c r="C3" s="64" t="s">
        <v>110</v>
      </c>
      <c r="D3" s="64" t="s">
        <v>1</v>
      </c>
      <c r="E3" s="65" t="e">
        <f>'Commercials (C) - 29&gt; with Tab'!I18</f>
        <v>#REF!</v>
      </c>
      <c r="F3" s="65" t="e">
        <f>'Commercials (C) - 29&gt; with Tab'!L18</f>
        <v>#REF!</v>
      </c>
    </row>
    <row r="4" spans="1:7" x14ac:dyDescent="0.3">
      <c r="A4" s="197"/>
      <c r="B4" s="196"/>
      <c r="C4" s="64" t="s">
        <v>21</v>
      </c>
      <c r="D4" s="64" t="s">
        <v>1</v>
      </c>
      <c r="E4" s="65">
        <f>'Commercials (C) - 29&gt; with Tab'!I19</f>
        <v>0</v>
      </c>
      <c r="F4" s="65">
        <f>'Commercials (C) - 29&gt; with Tab'!L19</f>
        <v>0</v>
      </c>
    </row>
    <row r="5" spans="1:7" x14ac:dyDescent="0.3">
      <c r="A5" s="197"/>
      <c r="B5" s="201" t="s">
        <v>113</v>
      </c>
      <c r="C5" s="202"/>
      <c r="D5" s="203"/>
      <c r="E5" s="67" t="e">
        <f>SUM(E2:E4)</f>
        <v>#REF!</v>
      </c>
      <c r="F5" s="67" t="e">
        <f>SUM(F2:F4)</f>
        <v>#REF!</v>
      </c>
    </row>
    <row r="6" spans="1:7" ht="14.4" customHeight="1" x14ac:dyDescent="0.3">
      <c r="A6" s="208" t="s">
        <v>25</v>
      </c>
      <c r="B6" s="1" t="s">
        <v>25</v>
      </c>
      <c r="C6" s="64" t="s">
        <v>114</v>
      </c>
      <c r="D6" s="48" t="s">
        <v>11</v>
      </c>
      <c r="E6" s="26" t="e">
        <f>'Commercials (C) - 29&gt; with Tab'!G28</f>
        <v>#REF!</v>
      </c>
      <c r="F6" s="26" t="e">
        <f>'Commercials (C) - 29&gt; with Tab'!K28</f>
        <v>#REF!</v>
      </c>
      <c r="G6" s="63"/>
    </row>
    <row r="7" spans="1:7" ht="14.4" customHeight="1" x14ac:dyDescent="0.3">
      <c r="A7" s="208"/>
      <c r="B7" s="201" t="s">
        <v>25</v>
      </c>
      <c r="C7" s="202"/>
      <c r="D7" s="203"/>
      <c r="E7" s="67" t="e">
        <f>E6</f>
        <v>#REF!</v>
      </c>
      <c r="F7" s="67" t="e">
        <f>F6</f>
        <v>#REF!</v>
      </c>
    </row>
    <row r="8" spans="1:7" ht="14.4" customHeight="1" x14ac:dyDescent="0.3">
      <c r="A8" s="69"/>
    </row>
    <row r="9" spans="1:7" ht="14.4" customHeight="1" x14ac:dyDescent="0.3">
      <c r="A9" s="209" t="s">
        <v>16</v>
      </c>
      <c r="B9" s="196" t="s">
        <v>115</v>
      </c>
      <c r="C9" s="64" t="s">
        <v>67</v>
      </c>
      <c r="D9" s="64" t="s">
        <v>11</v>
      </c>
      <c r="E9" s="65" t="e">
        <f>'Commercials (C) - 29&gt; with Tab'!G23</f>
        <v>#REF!</v>
      </c>
      <c r="F9" s="65" t="e">
        <f>'Commercials (C) - 29&gt; with Tab'!K23</f>
        <v>#REF!</v>
      </c>
    </row>
    <row r="10" spans="1:7" ht="14.4" customHeight="1" x14ac:dyDescent="0.3">
      <c r="A10" s="209"/>
      <c r="B10" s="196"/>
      <c r="C10" s="64" t="s">
        <v>108</v>
      </c>
      <c r="D10" s="64" t="s">
        <v>11</v>
      </c>
      <c r="E10" s="65">
        <f>'Commercials (C) - 29&gt; with Tab'!G25</f>
        <v>2280000</v>
      </c>
      <c r="F10" s="65">
        <f>'Commercials (C) - 29&gt; with Tab'!K25</f>
        <v>2280000</v>
      </c>
    </row>
    <row r="11" spans="1:7" ht="14.4" customHeight="1" x14ac:dyDescent="0.3">
      <c r="A11" s="209"/>
      <c r="B11" s="201" t="s">
        <v>120</v>
      </c>
      <c r="C11" s="202"/>
      <c r="D11" s="203"/>
      <c r="E11" s="67" t="e">
        <f>SUM(E9:E10)</f>
        <v>#REF!</v>
      </c>
      <c r="F11" s="67" t="e">
        <f>SUM(F9:F10)</f>
        <v>#REF!</v>
      </c>
    </row>
    <row r="12" spans="1:7" ht="14.4" customHeight="1" x14ac:dyDescent="0.3">
      <c r="A12" s="70"/>
    </row>
    <row r="13" spans="1:7" ht="14.4" customHeight="1" x14ac:dyDescent="0.3">
      <c r="A13" s="205" t="s">
        <v>119</v>
      </c>
      <c r="B13" s="72"/>
      <c r="C13" s="72" t="s">
        <v>8</v>
      </c>
      <c r="D13" s="72" t="s">
        <v>134</v>
      </c>
      <c r="E13" s="72" t="s">
        <v>135</v>
      </c>
      <c r="F13" s="72" t="s">
        <v>0</v>
      </c>
    </row>
    <row r="14" spans="1:7" x14ac:dyDescent="0.3">
      <c r="A14" s="205"/>
      <c r="B14" s="41" t="s">
        <v>116</v>
      </c>
      <c r="C14" s="45" t="e">
        <f>F5</f>
        <v>#REF!</v>
      </c>
      <c r="D14" s="45" t="e">
        <f>F11</f>
        <v>#REF!</v>
      </c>
      <c r="E14" s="1"/>
      <c r="F14" s="45" t="e">
        <f>SUM(C14:E14)</f>
        <v>#REF!</v>
      </c>
      <c r="G14" s="58" t="e">
        <f>F14/F17</f>
        <v>#REF!</v>
      </c>
    </row>
    <row r="15" spans="1:7" x14ac:dyDescent="0.3">
      <c r="A15" s="205"/>
      <c r="B15" s="41" t="s">
        <v>117</v>
      </c>
      <c r="C15" s="1"/>
      <c r="D15" s="45" t="e">
        <f>F11</f>
        <v>#REF!</v>
      </c>
      <c r="E15" s="45" t="e">
        <f>F7</f>
        <v>#REF!</v>
      </c>
      <c r="F15" s="45" t="e">
        <f>SUM(C15:E15)</f>
        <v>#REF!</v>
      </c>
      <c r="G15" s="58" t="e">
        <f>F15/F17</f>
        <v>#REF!</v>
      </c>
    </row>
    <row r="16" spans="1:7" x14ac:dyDescent="0.3">
      <c r="A16" s="205"/>
      <c r="B16" s="41" t="s">
        <v>118</v>
      </c>
      <c r="C16" s="1"/>
      <c r="D16" s="45" t="e">
        <f>F11</f>
        <v>#REF!</v>
      </c>
      <c r="E16" s="45" t="e">
        <f>F7</f>
        <v>#REF!</v>
      </c>
      <c r="F16" s="45" t="e">
        <f>SUM(C16:E16)</f>
        <v>#REF!</v>
      </c>
      <c r="G16" s="58" t="e">
        <f>F16/F17</f>
        <v>#REF!</v>
      </c>
    </row>
    <row r="17" spans="1:7" x14ac:dyDescent="0.3">
      <c r="A17" s="205"/>
      <c r="B17" s="1"/>
      <c r="C17" s="68" t="e">
        <f t="shared" ref="C17:E17" si="0">SUM(C14:C16)</f>
        <v>#REF!</v>
      </c>
      <c r="D17" s="68" t="e">
        <f t="shared" si="0"/>
        <v>#REF!</v>
      </c>
      <c r="E17" s="68" t="e">
        <f t="shared" si="0"/>
        <v>#REF!</v>
      </c>
      <c r="F17" s="68" t="e">
        <f>SUM(F14:F16)</f>
        <v>#REF!</v>
      </c>
    </row>
    <row r="19" spans="1:7" x14ac:dyDescent="0.3">
      <c r="A19" s="206" t="s">
        <v>130</v>
      </c>
      <c r="B19" s="74" t="s">
        <v>122</v>
      </c>
      <c r="C19" s="74" t="s">
        <v>123</v>
      </c>
      <c r="D19" s="75" t="s">
        <v>121</v>
      </c>
      <c r="E19" s="75" t="s">
        <v>129</v>
      </c>
      <c r="F19" s="204" t="s">
        <v>131</v>
      </c>
      <c r="G19" s="204"/>
    </row>
    <row r="20" spans="1:7" x14ac:dyDescent="0.3">
      <c r="A20" s="207"/>
      <c r="B20" s="41" t="s">
        <v>124</v>
      </c>
      <c r="C20" s="3">
        <v>1000</v>
      </c>
      <c r="D20" s="45" t="e">
        <f>$F$11/12/C20</f>
        <v>#REF!</v>
      </c>
      <c r="E20" s="76" t="e">
        <f>C20*D20</f>
        <v>#REF!</v>
      </c>
      <c r="F20" s="204"/>
      <c r="G20" s="204"/>
    </row>
    <row r="21" spans="1:7" x14ac:dyDescent="0.3">
      <c r="A21" s="207"/>
      <c r="B21" s="41" t="s">
        <v>125</v>
      </c>
      <c r="C21" s="3">
        <v>1250</v>
      </c>
      <c r="D21" s="45"/>
      <c r="E21" s="76" t="e">
        <f>$D$20*C21</f>
        <v>#REF!</v>
      </c>
      <c r="F21" s="204"/>
      <c r="G21" s="204"/>
    </row>
    <row r="22" spans="1:7" x14ac:dyDescent="0.3">
      <c r="A22" s="207"/>
      <c r="B22" s="41" t="s">
        <v>126</v>
      </c>
      <c r="C22" s="3">
        <v>1500</v>
      </c>
      <c r="D22" s="45"/>
      <c r="E22" s="76" t="e">
        <f>$D$20*C22</f>
        <v>#REF!</v>
      </c>
      <c r="F22" s="204"/>
      <c r="G22" s="204"/>
    </row>
    <row r="23" spans="1:7" x14ac:dyDescent="0.3">
      <c r="A23" s="207"/>
      <c r="B23" s="41" t="s">
        <v>127</v>
      </c>
      <c r="C23" s="3">
        <v>1750</v>
      </c>
      <c r="D23" s="45"/>
      <c r="E23" s="76" t="e">
        <f>$D$20*C23</f>
        <v>#REF!</v>
      </c>
      <c r="F23" s="204"/>
      <c r="G23" s="204"/>
    </row>
    <row r="24" spans="1:7" x14ac:dyDescent="0.3">
      <c r="A24" s="207"/>
      <c r="B24" s="77" t="s">
        <v>128</v>
      </c>
      <c r="C24" s="3">
        <v>2000</v>
      </c>
      <c r="D24" s="45"/>
      <c r="E24" s="76" t="e">
        <f>$D$20*C24</f>
        <v>#REF!</v>
      </c>
      <c r="F24" s="204"/>
      <c r="G24" s="204"/>
    </row>
  </sheetData>
  <mergeCells count="12">
    <mergeCell ref="B3:B4"/>
    <mergeCell ref="A2:A5"/>
    <mergeCell ref="A1:C1"/>
    <mergeCell ref="B5:D5"/>
    <mergeCell ref="F19:G24"/>
    <mergeCell ref="A13:A17"/>
    <mergeCell ref="A19:A24"/>
    <mergeCell ref="A6:A7"/>
    <mergeCell ref="B9:B10"/>
    <mergeCell ref="A9:A11"/>
    <mergeCell ref="B11:D11"/>
    <mergeCell ref="B7:D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C4E2C-AEC9-46D9-8733-0AEFFEA29776}">
  <dimension ref="B3:F11"/>
  <sheetViews>
    <sheetView workbookViewId="0">
      <selection activeCell="B3" sqref="B3:F3"/>
    </sheetView>
  </sheetViews>
  <sheetFormatPr defaultRowHeight="14.4" x14ac:dyDescent="0.3"/>
  <cols>
    <col min="2" max="2" width="22.44140625" bestFit="1" customWidth="1"/>
    <col min="3" max="3" width="31.33203125" bestFit="1" customWidth="1"/>
    <col min="4" max="4" width="14.44140625" customWidth="1"/>
    <col min="5" max="5" width="21" customWidth="1"/>
  </cols>
  <sheetData>
    <row r="3" spans="2:6" x14ac:dyDescent="0.3">
      <c r="B3" s="56" t="s">
        <v>95</v>
      </c>
      <c r="C3" s="210" t="s">
        <v>104</v>
      </c>
      <c r="D3" s="211"/>
      <c r="E3" s="211"/>
      <c r="F3" s="212"/>
    </row>
    <row r="4" spans="2:6" x14ac:dyDescent="0.3">
      <c r="B4" s="1" t="s">
        <v>96</v>
      </c>
      <c r="C4" s="1" t="s">
        <v>97</v>
      </c>
      <c r="D4" s="1" t="s">
        <v>98</v>
      </c>
      <c r="E4" s="1" t="s">
        <v>99</v>
      </c>
      <c r="F4" s="1"/>
    </row>
    <row r="5" spans="2:6" x14ac:dyDescent="0.3">
      <c r="B5" s="1" t="s">
        <v>100</v>
      </c>
      <c r="C5" s="1"/>
      <c r="D5" s="1"/>
      <c r="E5" s="1"/>
      <c r="F5" s="1"/>
    </row>
    <row r="6" spans="2:6" x14ac:dyDescent="0.3">
      <c r="B6" s="1" t="s">
        <v>35</v>
      </c>
      <c r="C6" s="1"/>
      <c r="D6" s="1"/>
      <c r="E6" s="1"/>
      <c r="F6" s="1"/>
    </row>
    <row r="7" spans="2:6" x14ac:dyDescent="0.3">
      <c r="B7" s="1" t="s">
        <v>101</v>
      </c>
      <c r="C7" s="1"/>
      <c r="D7" s="1"/>
      <c r="E7" s="1"/>
      <c r="F7" s="1"/>
    </row>
    <row r="8" spans="2:6" ht="15.6" x14ac:dyDescent="0.3">
      <c r="B8" s="13" t="s">
        <v>102</v>
      </c>
      <c r="C8" s="1" t="s">
        <v>57</v>
      </c>
      <c r="D8" s="2" t="s">
        <v>21</v>
      </c>
      <c r="E8" s="1"/>
      <c r="F8" s="1"/>
    </row>
    <row r="9" spans="2:6" ht="15.6" x14ac:dyDescent="0.3">
      <c r="B9" s="1" t="s">
        <v>16</v>
      </c>
      <c r="C9" s="2" t="s">
        <v>56</v>
      </c>
      <c r="D9" s="2" t="s">
        <v>67</v>
      </c>
      <c r="E9" s="1" t="s">
        <v>6</v>
      </c>
      <c r="F9" s="1"/>
    </row>
    <row r="10" spans="2:6" x14ac:dyDescent="0.3">
      <c r="B10" s="1" t="s">
        <v>25</v>
      </c>
      <c r="C10" s="1" t="s">
        <v>103</v>
      </c>
      <c r="D10" s="1"/>
      <c r="E10" s="1"/>
      <c r="F10" s="1"/>
    </row>
    <row r="11" spans="2:6" x14ac:dyDescent="0.3">
      <c r="B11" s="1"/>
      <c r="C11" s="1"/>
      <c r="D11" s="1"/>
      <c r="E11" s="1"/>
      <c r="F11" s="1"/>
    </row>
  </sheetData>
  <mergeCells count="1">
    <mergeCell ref="C3:F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8B583-953C-4327-88E0-8C234125707B}">
  <sheetPr>
    <tabColor theme="8" tint="0.79998168889431442"/>
  </sheetPr>
  <dimension ref="A1:C23"/>
  <sheetViews>
    <sheetView workbookViewId="0">
      <selection activeCell="C13" sqref="C13"/>
    </sheetView>
  </sheetViews>
  <sheetFormatPr defaultRowHeight="14.4" x14ac:dyDescent="0.3"/>
  <cols>
    <col min="1" max="1" width="12" customWidth="1"/>
    <col min="2" max="2" width="22" customWidth="1"/>
    <col min="3" max="3" width="16.77734375" customWidth="1"/>
    <col min="5" max="5" width="12" customWidth="1"/>
    <col min="6" max="6" width="22" customWidth="1"/>
    <col min="7" max="7" width="16.77734375" customWidth="1"/>
  </cols>
  <sheetData>
    <row r="1" spans="1:3" x14ac:dyDescent="0.3">
      <c r="A1" s="213" t="s">
        <v>144</v>
      </c>
      <c r="B1" s="213"/>
      <c r="C1" s="213"/>
    </row>
    <row r="2" spans="1:3" x14ac:dyDescent="0.3">
      <c r="A2" s="1"/>
      <c r="B2" s="1"/>
      <c r="C2" s="1" t="s">
        <v>70</v>
      </c>
    </row>
    <row r="3" spans="1:3" x14ac:dyDescent="0.3">
      <c r="A3" s="1"/>
      <c r="B3" s="1" t="s">
        <v>79</v>
      </c>
      <c r="C3" s="59">
        <v>2</v>
      </c>
    </row>
    <row r="4" spans="1:3" x14ac:dyDescent="0.3">
      <c r="A4" s="1"/>
      <c r="B4" s="1" t="s">
        <v>78</v>
      </c>
      <c r="C4" s="59">
        <v>1</v>
      </c>
    </row>
    <row r="5" spans="1:3" x14ac:dyDescent="0.3">
      <c r="A5" s="1"/>
      <c r="B5" s="1" t="s">
        <v>80</v>
      </c>
      <c r="C5" s="59">
        <v>1</v>
      </c>
    </row>
    <row r="6" spans="1:3" x14ac:dyDescent="0.3">
      <c r="A6" s="1"/>
      <c r="B6" s="44" t="s">
        <v>69</v>
      </c>
      <c r="C6" s="44">
        <f>'Commercials (C) - 29&gt; with Tab'!D4*12+C3</f>
        <v>62</v>
      </c>
    </row>
    <row r="7" spans="1:3" x14ac:dyDescent="0.3">
      <c r="A7" s="1"/>
      <c r="B7" s="1" t="s">
        <v>81</v>
      </c>
      <c r="C7" s="1">
        <f>C5+12</f>
        <v>13</v>
      </c>
    </row>
    <row r="8" spans="1:3" x14ac:dyDescent="0.3">
      <c r="A8" s="1" t="s">
        <v>74</v>
      </c>
      <c r="B8" s="1" t="s">
        <v>71</v>
      </c>
      <c r="C8" s="1">
        <f>C7+12</f>
        <v>25</v>
      </c>
    </row>
    <row r="9" spans="1:3" x14ac:dyDescent="0.3">
      <c r="A9" s="1" t="s">
        <v>75</v>
      </c>
      <c r="B9" s="1" t="s">
        <v>72</v>
      </c>
      <c r="C9" s="1">
        <f>C8+12</f>
        <v>37</v>
      </c>
    </row>
    <row r="10" spans="1:3" x14ac:dyDescent="0.3">
      <c r="A10" s="1" t="s">
        <v>180</v>
      </c>
      <c r="B10" s="1" t="s">
        <v>182</v>
      </c>
      <c r="C10" s="1">
        <f>C9+12</f>
        <v>49</v>
      </c>
    </row>
    <row r="11" spans="1:3" x14ac:dyDescent="0.3">
      <c r="A11" s="1" t="s">
        <v>181</v>
      </c>
      <c r="B11" s="1" t="s">
        <v>183</v>
      </c>
      <c r="C11" s="1">
        <f>C10+12</f>
        <v>61</v>
      </c>
    </row>
    <row r="12" spans="1:3" x14ac:dyDescent="0.3">
      <c r="A12" s="41"/>
      <c r="B12" s="41" t="s">
        <v>73</v>
      </c>
      <c r="C12" s="41">
        <f>C6-C11</f>
        <v>1</v>
      </c>
    </row>
    <row r="14" spans="1:3" x14ac:dyDescent="0.3">
      <c r="A14" t="s">
        <v>82</v>
      </c>
    </row>
    <row r="15" spans="1:3" x14ac:dyDescent="0.3">
      <c r="A15" s="1"/>
      <c r="B15" s="1"/>
      <c r="C15" s="1" t="s">
        <v>70</v>
      </c>
    </row>
    <row r="16" spans="1:3" x14ac:dyDescent="0.3">
      <c r="A16" s="1"/>
      <c r="B16" s="1" t="s">
        <v>79</v>
      </c>
      <c r="C16" s="1">
        <f>C3</f>
        <v>2</v>
      </c>
    </row>
    <row r="17" spans="1:3" x14ac:dyDescent="0.3">
      <c r="A17" s="1"/>
      <c r="B17" s="1" t="s">
        <v>78</v>
      </c>
      <c r="C17" s="1">
        <f>C4</f>
        <v>1</v>
      </c>
    </row>
    <row r="18" spans="1:3" x14ac:dyDescent="0.3">
      <c r="A18" s="1"/>
      <c r="B18" s="44" t="s">
        <v>69</v>
      </c>
      <c r="C18" s="44">
        <f>C6</f>
        <v>62</v>
      </c>
    </row>
    <row r="19" spans="1:3" x14ac:dyDescent="0.3">
      <c r="A19" s="1" t="s">
        <v>83</v>
      </c>
      <c r="B19" s="1" t="s">
        <v>86</v>
      </c>
      <c r="C19" s="1">
        <v>0</v>
      </c>
    </row>
    <row r="20" spans="1:3" x14ac:dyDescent="0.3">
      <c r="A20" s="1" t="s">
        <v>84</v>
      </c>
      <c r="B20" s="1" t="s">
        <v>87</v>
      </c>
      <c r="C20" s="1">
        <v>0</v>
      </c>
    </row>
    <row r="21" spans="1:3" x14ac:dyDescent="0.3">
      <c r="A21" s="1" t="s">
        <v>85</v>
      </c>
      <c r="B21" s="1" t="s">
        <v>88</v>
      </c>
      <c r="C21" s="1">
        <v>0</v>
      </c>
    </row>
    <row r="23" spans="1:3" x14ac:dyDescent="0.3">
      <c r="B23" t="s">
        <v>89</v>
      </c>
      <c r="C23">
        <v>0</v>
      </c>
    </row>
  </sheetData>
  <mergeCells count="1">
    <mergeCell ref="A1:C1"/>
  </mergeCells>
  <phoneticPr fontId="15"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E3F0E-21DD-46DD-B185-C3068741424E}">
  <dimension ref="B1:G2"/>
  <sheetViews>
    <sheetView workbookViewId="0">
      <selection activeCell="E6" sqref="E6"/>
    </sheetView>
  </sheetViews>
  <sheetFormatPr defaultRowHeight="14.4" x14ac:dyDescent="0.3"/>
  <cols>
    <col min="2" max="2" width="19" customWidth="1"/>
  </cols>
  <sheetData>
    <row r="1" spans="2:7" ht="18" x14ac:dyDescent="0.3">
      <c r="C1" s="100" t="s">
        <v>166</v>
      </c>
      <c r="D1" s="101"/>
      <c r="E1" s="101"/>
      <c r="F1" s="101"/>
      <c r="G1" s="101"/>
    </row>
    <row r="2" spans="2:7" x14ac:dyDescent="0.3">
      <c r="B2" t="s">
        <v>185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693E6-492A-4D6A-8FD6-7900B8DFABAD}">
  <dimension ref="A1:E12"/>
  <sheetViews>
    <sheetView workbookViewId="0">
      <selection activeCell="B11" sqref="B11"/>
    </sheetView>
  </sheetViews>
  <sheetFormatPr defaultRowHeight="14.4" x14ac:dyDescent="0.3"/>
  <cols>
    <col min="2" max="2" width="11.6640625" bestFit="1" customWidth="1"/>
    <col min="3" max="3" width="14.5546875" bestFit="1" customWidth="1"/>
    <col min="4" max="4" width="11.44140625" customWidth="1"/>
  </cols>
  <sheetData>
    <row r="1" spans="1:5" x14ac:dyDescent="0.3">
      <c r="A1" t="s">
        <v>168</v>
      </c>
      <c r="B1" s="80" t="s">
        <v>170</v>
      </c>
      <c r="C1" t="s">
        <v>172</v>
      </c>
      <c r="D1" t="s">
        <v>171</v>
      </c>
    </row>
    <row r="2" spans="1:5" x14ac:dyDescent="0.3">
      <c r="B2" s="79">
        <v>236600</v>
      </c>
      <c r="D2" s="79">
        <v>236600</v>
      </c>
    </row>
    <row r="3" spans="1:5" x14ac:dyDescent="0.3">
      <c r="B3" s="79">
        <v>486200</v>
      </c>
      <c r="D3" s="79">
        <v>364000</v>
      </c>
    </row>
    <row r="4" spans="1:5" x14ac:dyDescent="0.3">
      <c r="B4" s="79">
        <v>807300</v>
      </c>
      <c r="D4" s="79">
        <v>807300</v>
      </c>
    </row>
    <row r="5" spans="1:5" x14ac:dyDescent="0.3">
      <c r="B5" s="79">
        <v>353600</v>
      </c>
      <c r="D5" s="79">
        <v>231400</v>
      </c>
    </row>
    <row r="6" spans="1:5" x14ac:dyDescent="0.3">
      <c r="B6" s="79">
        <v>1222000</v>
      </c>
      <c r="D6" s="79">
        <v>702000</v>
      </c>
    </row>
    <row r="7" spans="1:5" x14ac:dyDescent="0.3">
      <c r="B7" s="79">
        <v>1007500</v>
      </c>
      <c r="D7" s="79"/>
    </row>
    <row r="8" spans="1:5" x14ac:dyDescent="0.3">
      <c r="B8" s="79"/>
      <c r="D8" s="79"/>
    </row>
    <row r="9" spans="1:5" x14ac:dyDescent="0.3">
      <c r="B9" s="79">
        <f>SUM(B2:B7)</f>
        <v>4113200</v>
      </c>
      <c r="D9" s="79">
        <f>SUM(D2:D7)</f>
        <v>2341300</v>
      </c>
    </row>
    <row r="11" spans="1:5" x14ac:dyDescent="0.3">
      <c r="A11" t="s">
        <v>169</v>
      </c>
      <c r="B11" s="79">
        <v>158700</v>
      </c>
      <c r="D11" s="79">
        <v>158700</v>
      </c>
    </row>
    <row r="12" spans="1:5" x14ac:dyDescent="0.3">
      <c r="B12" s="81">
        <f>B11/B9</f>
        <v>3.8583098317611593E-2</v>
      </c>
      <c r="D12" s="81">
        <f>D11/D9</f>
        <v>6.7782855678469228E-2</v>
      </c>
      <c r="E12" s="8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Quotation</vt:lpstr>
      <vt:lpstr>Appendix</vt:lpstr>
      <vt:lpstr>Outcome Based</vt:lpstr>
      <vt:lpstr>Quotation Year.wise (3 Years)</vt:lpstr>
      <vt:lpstr>Quote Nomeclature</vt:lpstr>
      <vt:lpstr>Commercials (C) - Full</vt:lpstr>
      <vt:lpstr>Commercials (C) - 29&gt; with Tab</vt:lpstr>
      <vt:lpstr>Slab wise</vt:lpstr>
      <vt:lpstr>Sheet1</vt:lpstr>
      <vt:lpstr>AMC &amp; months</vt:lpstr>
      <vt:lpstr>Sheet4</vt:lpstr>
      <vt:lpstr>Sheet2</vt:lpstr>
      <vt:lpstr>Appendix!Print_Area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2025-07-25T09:02:55Z</cp:lastPrinted>
  <dcterms:created xsi:type="dcterms:W3CDTF">2024-09-10T04:33:48Z</dcterms:created>
  <dcterms:modified xsi:type="dcterms:W3CDTF">2025-07-25T09:03:00Z</dcterms:modified>
</cp:coreProperties>
</file>