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Solution 2024\Amara Raja\"/>
    </mc:Choice>
  </mc:AlternateContent>
  <xr:revisionPtr revIDLastSave="0" documentId="13_ncr:1_{80EE3DAB-D16B-41B1-A594-C6FAB18C7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otation" sheetId="5" r:id="rId1"/>
    <sheet name="Quote Nomeclature" sheetId="6" r:id="rId2"/>
    <sheet name="OPEX" sheetId="8" r:id="rId3"/>
    <sheet name="CAPEX" sheetId="7" r:id="rId4"/>
    <sheet name="Sheet1" sheetId="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lWPf3RmekSs9KRnla0hwqJyrbR+ZteHrAIKI8BFvEvQ="/>
    </ext>
  </extLst>
</workbook>
</file>

<file path=xl/calcChain.xml><?xml version="1.0" encoding="utf-8"?>
<calcChain xmlns="http://schemas.openxmlformats.org/spreadsheetml/2006/main">
  <c r="I16" i="8" l="1"/>
  <c r="D16" i="8"/>
  <c r="D18" i="8" s="1"/>
  <c r="I15" i="8"/>
  <c r="D15" i="8"/>
  <c r="D14" i="8"/>
  <c r="I5" i="8" s="1"/>
  <c r="D7" i="8"/>
  <c r="D6" i="8"/>
  <c r="I6" i="8" s="1"/>
  <c r="I16" i="7"/>
  <c r="D16" i="7"/>
  <c r="D18" i="7" s="1"/>
  <c r="I15" i="7"/>
  <c r="D15" i="7"/>
  <c r="D14" i="7"/>
  <c r="I5" i="7" s="1"/>
  <c r="D7" i="7"/>
  <c r="D6" i="7"/>
  <c r="I6" i="7" s="1"/>
  <c r="D20" i="8" l="1"/>
  <c r="I4" i="8" s="1"/>
  <c r="I14" i="8" s="1"/>
  <c r="D20" i="7"/>
  <c r="I4" i="7" s="1"/>
  <c r="I14" i="7" s="1"/>
  <c r="I13" i="8" l="1"/>
  <c r="I13" i="7"/>
  <c r="H22" i="5" s="1"/>
  <c r="J4" i="8" l="1"/>
  <c r="H25" i="5"/>
  <c r="J13" i="7"/>
  <c r="J10" i="7"/>
  <c r="J7" i="7"/>
  <c r="J9" i="7"/>
  <c r="J12" i="7"/>
  <c r="J8" i="7"/>
  <c r="J11" i="7"/>
  <c r="M5" i="7"/>
  <c r="J5" i="7"/>
  <c r="J6" i="7"/>
  <c r="J4" i="7"/>
  <c r="J13" i="8"/>
  <c r="J10" i="8"/>
  <c r="J7" i="8"/>
  <c r="J9" i="8"/>
  <c r="J11" i="8"/>
  <c r="M5" i="8"/>
  <c r="J12" i="8"/>
  <c r="J8" i="8"/>
  <c r="J6" i="8"/>
  <c r="J5" i="8"/>
  <c r="M6" i="7" l="1"/>
  <c r="M7" i="7"/>
  <c r="M6" i="8"/>
  <c r="M7" i="8"/>
  <c r="H4" i="5" l="1"/>
</calcChain>
</file>

<file path=xl/sharedStrings.xml><?xml version="1.0" encoding="utf-8"?>
<sst xmlns="http://schemas.openxmlformats.org/spreadsheetml/2006/main" count="156" uniqueCount="100">
  <si>
    <t>Inputs</t>
  </si>
  <si>
    <t>Commercial Values</t>
  </si>
  <si>
    <t>Capital</t>
  </si>
  <si>
    <t>Duration (Months)</t>
  </si>
  <si>
    <t>Manpower</t>
  </si>
  <si>
    <t>Monthly CV</t>
  </si>
  <si>
    <t>SIM</t>
  </si>
  <si>
    <t>Annual CV</t>
  </si>
  <si>
    <t>Buffer Inventory</t>
  </si>
  <si>
    <t>Server+License</t>
  </si>
  <si>
    <t>TCV</t>
  </si>
  <si>
    <t>Device Quantity</t>
  </si>
  <si>
    <t>Field Technicians</t>
  </si>
  <si>
    <t>Penalties</t>
  </si>
  <si>
    <t>RL Courier Exp</t>
  </si>
  <si>
    <t>RL Executives</t>
  </si>
  <si>
    <t>Man+Dev Cost</t>
  </si>
  <si>
    <t>Customer Success</t>
  </si>
  <si>
    <t>Net Margin</t>
  </si>
  <si>
    <t>Project Manager</t>
  </si>
  <si>
    <t>Net Quote</t>
  </si>
  <si>
    <t>Laptops</t>
  </si>
  <si>
    <t>Int+Dep</t>
  </si>
  <si>
    <t>Cash Gen (Ops)</t>
  </si>
  <si>
    <t>Monthly Manpower</t>
  </si>
  <si>
    <t>Months Capital Offset</t>
  </si>
  <si>
    <t>Standard Model (Per Vehicle Per Month)</t>
  </si>
  <si>
    <t>Per Month Costings</t>
  </si>
  <si>
    <t>Vehicles</t>
  </si>
  <si>
    <t>Cable</t>
  </si>
  <si>
    <t>Cost</t>
  </si>
  <si>
    <t>Estimates</t>
  </si>
  <si>
    <t>Control Tower / MCT Executives</t>
  </si>
  <si>
    <t xml:space="preserve">Capital </t>
  </si>
  <si>
    <t>Intrest per month</t>
  </si>
  <si>
    <t>Actual Capital with intrest</t>
  </si>
  <si>
    <t>Dep</t>
  </si>
  <si>
    <t>Consumables (Other)</t>
  </si>
  <si>
    <t>constant</t>
  </si>
  <si>
    <t>Total Capital (Laptop Assets)</t>
  </si>
  <si>
    <t>Recovery exepected in month Laptop</t>
  </si>
  <si>
    <t>Capex</t>
  </si>
  <si>
    <t>Opex</t>
  </si>
  <si>
    <t>AT_02 Channel</t>
  </si>
  <si>
    <t>AT_04 Channel</t>
  </si>
  <si>
    <t xml:space="preserve">Monthly Charges </t>
  </si>
  <si>
    <t>Streamax 2 Channel</t>
  </si>
  <si>
    <t>Streamax 4 Channel</t>
  </si>
  <si>
    <t>Hardware Model</t>
  </si>
  <si>
    <t>INR Rs.3500 will be applicable for additional camera &amp; Rs.500 for 10 mtr cable</t>
  </si>
  <si>
    <t>Quotation</t>
  </si>
  <si>
    <r>
      <rPr>
        <b/>
        <sz val="10"/>
        <color theme="1"/>
        <rFont val="Arial"/>
        <family val="2"/>
      </rPr>
      <t xml:space="preserve">Address </t>
    </r>
    <r>
      <rPr>
        <sz val="10"/>
        <color theme="1"/>
        <rFont val="Arial"/>
        <family val="2"/>
      </rPr>
      <t>- Corporate HQ : 
Axestrack Software Solutions Pvt. Ltd., Office No.-19, 6th Floor, Jaipur Electronic Market, 
Near Riddhi Siddhi, Gopalpura bypass, Jaipur - 302018 , Rajasthan, India</t>
    </r>
  </si>
  <si>
    <t>GSTIN</t>
  </si>
  <si>
    <t>08AACCH0299P1Z1</t>
  </si>
  <si>
    <t>QUOTE #</t>
  </si>
  <si>
    <t>DATE</t>
  </si>
  <si>
    <t>MSME No</t>
  </si>
  <si>
    <t>UDYAM-RJ-17-0051921</t>
  </si>
  <si>
    <t>Contact Person</t>
  </si>
  <si>
    <t>Phone</t>
  </si>
  <si>
    <t>Quote Validity : 15 days from submitted date</t>
  </si>
  <si>
    <t>Email Id</t>
  </si>
  <si>
    <t>CUSTOMER INFO</t>
  </si>
  <si>
    <t>Company Name</t>
  </si>
  <si>
    <t>Address</t>
  </si>
  <si>
    <t>DESCRIPTION OF WORK</t>
  </si>
  <si>
    <t xml:space="preserve">Commercials for ADAS/DMS solution with platform capabilities </t>
  </si>
  <si>
    <t>S.No.</t>
  </si>
  <si>
    <t>Item</t>
  </si>
  <si>
    <t>Per Device/ per month</t>
  </si>
  <si>
    <t>Terms &amp; Conditions</t>
  </si>
  <si>
    <t>Thanks for business with Axestrack Software Solution Pvt. Ltd.</t>
  </si>
  <si>
    <t>Quote no Format</t>
  </si>
  <si>
    <t>ABC/XY/YYMM##</t>
  </si>
  <si>
    <t xml:space="preserve">ABC </t>
  </si>
  <si>
    <t>Client name short Form like Hindalco Industries Limited will be HIL</t>
  </si>
  <si>
    <t>XY</t>
  </si>
  <si>
    <t xml:space="preserve">Axestrack Sales SPOC Intials </t>
  </si>
  <si>
    <t>YY</t>
  </si>
  <si>
    <t>Year</t>
  </si>
  <si>
    <t>MM</t>
  </si>
  <si>
    <t>Month</t>
  </si>
  <si>
    <t>##</t>
  </si>
  <si>
    <t>Quote send by Sales SPOC in that particular month, quote nos. should be start from 11</t>
  </si>
  <si>
    <t>Type</t>
  </si>
  <si>
    <r>
      <rPr>
        <b/>
        <sz val="10"/>
        <color theme="1"/>
        <rFont val="Arial"/>
        <family val="2"/>
      </rPr>
      <t xml:space="preserve">Subscription : </t>
    </r>
    <r>
      <rPr>
        <sz val="10"/>
        <color theme="1"/>
        <rFont val="Arial"/>
        <family val="2"/>
      </rPr>
      <t>Platform Capabilities, Video Telematics &amp; Alerts</t>
    </r>
  </si>
  <si>
    <t>Per Device 
(One Time)</t>
  </si>
  <si>
    <t>Rohil Chaddha</t>
  </si>
  <si>
    <t>Amara Raja</t>
  </si>
  <si>
    <t xml:space="preserve">One Time/ per device </t>
  </si>
  <si>
    <r>
      <t xml:space="preserve">Installation Charges : </t>
    </r>
    <r>
      <rPr>
        <sz val="10"/>
        <color theme="1"/>
        <rFont val="Arial"/>
        <family val="2"/>
      </rPr>
      <t xml:space="preserve">ADAS/DMS Device installation </t>
    </r>
  </si>
  <si>
    <t>Total Capital (Assets)</t>
  </si>
  <si>
    <t>Recovery exepected in month</t>
  </si>
  <si>
    <t>CAPEX Model</t>
  </si>
  <si>
    <t>OPEX Model</t>
  </si>
  <si>
    <t>Please refer to the next page for Terms and Conditions</t>
  </si>
  <si>
    <t>Subscription Description</t>
  </si>
  <si>
    <r>
      <rPr>
        <b/>
        <sz val="10"/>
        <color theme="1"/>
        <rFont val="Arial"/>
        <family val="2"/>
      </rPr>
      <t>Hardware : 2</t>
    </r>
    <r>
      <rPr>
        <sz val="10"/>
        <color theme="1"/>
        <rFont val="Arial"/>
        <family val="2"/>
      </rPr>
      <t>-Channel ADAS/DMS Device</t>
    </r>
  </si>
  <si>
    <r>
      <rPr>
        <b/>
        <sz val="10"/>
        <color theme="1"/>
        <rFont val="Arial"/>
        <family val="2"/>
      </rPr>
      <t>Subscription : 2</t>
    </r>
    <r>
      <rPr>
        <sz val="10"/>
        <color theme="1"/>
        <rFont val="Arial"/>
        <family val="2"/>
      </rPr>
      <t>-Channel ADAS/DMS Device with one Additional Camera for the cabin view</t>
    </r>
    <r>
      <rPr>
        <b/>
        <sz val="10"/>
        <color theme="1"/>
        <rFont val="Arial"/>
        <family val="2"/>
      </rPr>
      <t xml:space="preserve">, </t>
    </r>
    <r>
      <rPr>
        <sz val="10"/>
        <color theme="1"/>
        <rFont val="Arial"/>
        <family val="2"/>
      </rPr>
      <t>Platform Capabilities, Video Telematics &amp; Alerts</t>
    </r>
  </si>
  <si>
    <r>
      <t xml:space="preserve">•	All the prices mentioned in the proposal are in rupees and exclusive of GST. Taxes as applicable
•	The above commercial terms are considered for a minimum installation </t>
    </r>
    <r>
      <rPr>
        <sz val="10"/>
        <rFont val="Arial"/>
        <family val="2"/>
      </rPr>
      <t>of 30</t>
    </r>
    <r>
      <rPr>
        <sz val="10"/>
        <color theme="1"/>
        <rFont val="Arial"/>
        <family val="2"/>
      </rPr>
      <t xml:space="preserve"> devices. The commercial terms will be revised if there is a change in the threshold quantity.
•	Any new requirements beyond the scope of this proposal will be considered as change request for which separate effort &amp; cost to be estimated.
•	The minimum contract period for the project is 3 years
•	Standard Telematics data will be available for 3 months. Video alert history of up to 15 days may be provided.
•	Each ADAS/DMS device includes a monthly allocation of 10 GB of 4G data. Data usage exceeding this limit will be subject to additional charges.
</t>
    </r>
    <r>
      <rPr>
        <b/>
        <sz val="10"/>
        <color theme="1"/>
        <rFont val="Arial"/>
        <family val="2"/>
      </rPr>
      <t xml:space="preserve">CAPEX Model :
</t>
    </r>
    <r>
      <rPr>
        <sz val="10"/>
        <color theme="1"/>
        <rFont val="Arial"/>
        <family val="2"/>
      </rPr>
      <t xml:space="preserve">•	Device ownership remains with Client, with standard hardware warranty as provided by the OEM.
•	The billing will be in advance and payment to be paid upfront for Devices &amp; Subcription fee per month on pro-rata basis. .
•	100% payments to be made within 15 days from the date of receipt of original or digitally signed invoice. In case of further delay, overdue charges of 1.5% per month will be charged
•	Billing validation/certification to be made within 7 days from the date of provisional bill submission.
•	Installaition charges will be seperate on per device basis.
</t>
    </r>
    <r>
      <rPr>
        <b/>
        <sz val="10"/>
        <color theme="1"/>
        <rFont val="Arial"/>
        <family val="2"/>
      </rPr>
      <t xml:space="preserve">
OPEX Model :
</t>
    </r>
    <r>
      <rPr>
        <sz val="10"/>
        <color theme="1"/>
        <rFont val="Arial"/>
        <family val="2"/>
      </rPr>
      <t>•	Device ownership remains with Axestarck, with standard hardware warranty as provided by the OEM.
•	The billing will be in advance for minimum 30 Devices/per month on pro-rata basis. .
•	100% payments to be made within 15 days from the date of receipt of original or digitally signed invoice. In case of further delay, overdue charges of 1.5% per month will be charged
•	Billing validation/certification to be made within 7 days from the date of provisional bill submission. 
•	Installaition charges will be seperate on per device basis.
•	Upon project closure, all devices must be returned to Axestrack within 15 days of receiving the project closure notification.
•	In the event of any loss, damage, tampering, theft or discrepancy in the device count, a charge of INR 13,000 per device, plus applicable GST, will be applied.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</si>
</sst>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"/>
    <numFmt numFmtId="166" formatCode="_ * #,##0_ ;_ * \-#,##0_ ;_ * &quot;-&quot;??_ ;_ @_ "/>
    <numFmt numFmtId="167" formatCode="[$-14009]dd\ mmmm\ yyyy;@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4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</font>
    <font>
      <i/>
      <u/>
      <sz val="11"/>
      <color theme="1"/>
      <name val="Calibri"/>
      <family val="2"/>
    </font>
    <font>
      <i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theme="7" tint="0.59999389629810485"/>
        <bgColor rgb="FFECECE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rgb="FFD4D4D4"/>
      </patternFill>
    </fill>
    <fill>
      <patternFill patternType="solid">
        <fgColor theme="2"/>
        <bgColor rgb="FFD4D4D4"/>
      </patternFill>
    </fill>
    <fill>
      <patternFill patternType="solid">
        <fgColor theme="4" tint="0.79998168889431442"/>
        <bgColor rgb="FFD4D4D4"/>
      </patternFill>
    </fill>
    <fill>
      <patternFill patternType="solid">
        <fgColor theme="4"/>
        <bgColor rgb="FFD4D4D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2"/>
    <xf numFmtId="0" fontId="11" fillId="0" borderId="2" applyNumberFormat="0" applyFill="0" applyBorder="0" applyAlignment="0" applyProtection="0"/>
    <xf numFmtId="0" fontId="1" fillId="0" borderId="2"/>
    <xf numFmtId="164" fontId="1" fillId="0" borderId="2" applyFont="0" applyFill="0" applyBorder="0" applyAlignment="0" applyProtection="0"/>
    <xf numFmtId="9" fontId="1" fillId="0" borderId="2" applyFont="0" applyFill="0" applyBorder="0" applyAlignment="0" applyProtection="0"/>
  </cellStyleXfs>
  <cellXfs count="103">
    <xf numFmtId="0" fontId="0" fillId="0" borderId="0" xfId="0"/>
    <xf numFmtId="0" fontId="6" fillId="0" borderId="0" xfId="0" applyFont="1"/>
    <xf numFmtId="0" fontId="7" fillId="0" borderId="3" xfId="1" applyFont="1" applyBorder="1" applyAlignment="1">
      <alignment horizontal="center" vertical="center"/>
    </xf>
    <xf numFmtId="0" fontId="7" fillId="0" borderId="2" xfId="1" applyFont="1" applyAlignment="1">
      <alignment vertical="center"/>
    </xf>
    <xf numFmtId="0" fontId="7" fillId="0" borderId="2" xfId="1" applyFont="1" applyAlignment="1">
      <alignment horizontal="center" vertical="center" wrapText="1"/>
    </xf>
    <xf numFmtId="0" fontId="7" fillId="0" borderId="2" xfId="1" applyFont="1" applyAlignment="1">
      <alignment vertical="center" wrapText="1"/>
    </xf>
    <xf numFmtId="0" fontId="3" fillId="0" borderId="2" xfId="1"/>
    <xf numFmtId="0" fontId="2" fillId="0" borderId="2" xfId="1" applyFont="1"/>
    <xf numFmtId="0" fontId="7" fillId="0" borderId="25" xfId="1" applyFont="1" applyBorder="1" applyAlignment="1">
      <alignment horizontal="center" vertical="center" wrapText="1"/>
    </xf>
    <xf numFmtId="0" fontId="1" fillId="0" borderId="2" xfId="3"/>
    <xf numFmtId="0" fontId="15" fillId="0" borderId="2" xfId="3" applyFont="1"/>
    <xf numFmtId="0" fontId="16" fillId="0" borderId="2" xfId="3" applyFont="1"/>
    <xf numFmtId="0" fontId="4" fillId="0" borderId="3" xfId="3" applyFont="1" applyBorder="1"/>
    <xf numFmtId="0" fontId="4" fillId="3" borderId="3" xfId="3" applyFont="1" applyFill="1" applyBorder="1"/>
    <xf numFmtId="0" fontId="1" fillId="0" borderId="3" xfId="3" applyBorder="1"/>
    <xf numFmtId="0" fontId="4" fillId="0" borderId="1" xfId="3" applyFont="1" applyBorder="1"/>
    <xf numFmtId="165" fontId="4" fillId="5" borderId="1" xfId="3" applyNumberFormat="1" applyFont="1" applyFill="1" applyBorder="1"/>
    <xf numFmtId="9" fontId="17" fillId="0" borderId="2" xfId="3" applyNumberFormat="1" applyFont="1"/>
    <xf numFmtId="1" fontId="4" fillId="5" borderId="3" xfId="3" applyNumberFormat="1" applyFont="1" applyFill="1" applyBorder="1"/>
    <xf numFmtId="9" fontId="4" fillId="3" borderId="3" xfId="3" applyNumberFormat="1" applyFont="1" applyFill="1" applyBorder="1"/>
    <xf numFmtId="166" fontId="4" fillId="0" borderId="3" xfId="4" applyNumberFormat="1" applyFont="1" applyBorder="1"/>
    <xf numFmtId="1" fontId="4" fillId="0" borderId="3" xfId="3" applyNumberFormat="1" applyFont="1" applyBorder="1"/>
    <xf numFmtId="0" fontId="4" fillId="3" borderId="1" xfId="3" applyFont="1" applyFill="1" applyBorder="1"/>
    <xf numFmtId="1" fontId="1" fillId="0" borderId="3" xfId="3" applyNumberFormat="1" applyBorder="1"/>
    <xf numFmtId="0" fontId="4" fillId="5" borderId="1" xfId="3" applyFont="1" applyFill="1" applyBorder="1"/>
    <xf numFmtId="1" fontId="4" fillId="5" borderId="1" xfId="3" applyNumberFormat="1" applyFont="1" applyFill="1" applyBorder="1"/>
    <xf numFmtId="0" fontId="4" fillId="2" borderId="1" xfId="3" applyFont="1" applyFill="1" applyBorder="1"/>
    <xf numFmtId="0" fontId="4" fillId="0" borderId="5" xfId="3" applyFont="1" applyBorder="1"/>
    <xf numFmtId="1" fontId="4" fillId="5" borderId="5" xfId="3" applyNumberFormat="1" applyFont="1" applyFill="1" applyBorder="1"/>
    <xf numFmtId="0" fontId="4" fillId="2" borderId="5" xfId="3" applyFont="1" applyFill="1" applyBorder="1"/>
    <xf numFmtId="0" fontId="4" fillId="3" borderId="5" xfId="3" applyFont="1" applyFill="1" applyBorder="1"/>
    <xf numFmtId="165" fontId="4" fillId="0" borderId="3" xfId="3" applyNumberFormat="1" applyFont="1" applyBorder="1"/>
    <xf numFmtId="165" fontId="1" fillId="0" borderId="2" xfId="3" applyNumberFormat="1"/>
    <xf numFmtId="0" fontId="4" fillId="4" borderId="3" xfId="3" applyFont="1" applyFill="1" applyBorder="1"/>
    <xf numFmtId="9" fontId="4" fillId="0" borderId="3" xfId="3" applyNumberFormat="1" applyFont="1" applyBorder="1"/>
    <xf numFmtId="0" fontId="4" fillId="6" borderId="3" xfId="3" applyFont="1" applyFill="1" applyBorder="1"/>
    <xf numFmtId="9" fontId="1" fillId="6" borderId="3" xfId="3" applyNumberFormat="1" applyFill="1" applyBorder="1"/>
    <xf numFmtId="0" fontId="1" fillId="6" borderId="3" xfId="3" applyFill="1" applyBorder="1"/>
    <xf numFmtId="0" fontId="1" fillId="4" borderId="3" xfId="3" applyFill="1" applyBorder="1"/>
    <xf numFmtId="9" fontId="0" fillId="0" borderId="3" xfId="5" applyFont="1" applyFill="1" applyBorder="1"/>
    <xf numFmtId="1" fontId="1" fillId="0" borderId="2" xfId="3" applyNumberFormat="1"/>
    <xf numFmtId="9" fontId="0" fillId="0" borderId="2" xfId="5" applyFont="1"/>
    <xf numFmtId="0" fontId="5" fillId="0" borderId="2" xfId="3" applyFont="1"/>
    <xf numFmtId="9" fontId="1" fillId="4" borderId="3" xfId="3" applyNumberFormat="1" applyFill="1" applyBorder="1"/>
    <xf numFmtId="166" fontId="0" fillId="0" borderId="3" xfId="4" applyNumberFormat="1" applyFont="1" applyBorder="1"/>
    <xf numFmtId="0" fontId="7" fillId="6" borderId="2" xfId="1" applyFont="1" applyFill="1" applyAlignment="1">
      <alignment vertical="center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left" vertical="center" wrapText="1"/>
    </xf>
    <xf numFmtId="0" fontId="7" fillId="0" borderId="24" xfId="1" applyFont="1" applyBorder="1" applyAlignment="1">
      <alignment horizontal="left" vertical="center" wrapText="1"/>
    </xf>
    <xf numFmtId="0" fontId="7" fillId="0" borderId="7" xfId="1" applyFont="1" applyBorder="1" applyAlignment="1">
      <alignment horizontal="left" vertical="center" wrapText="1"/>
    </xf>
    <xf numFmtId="0" fontId="7" fillId="6" borderId="6" xfId="1" applyFont="1" applyFill="1" applyBorder="1" applyAlignment="1">
      <alignment horizontal="center" vertical="center" wrapText="1"/>
    </xf>
    <xf numFmtId="0" fontId="7" fillId="6" borderId="7" xfId="1" applyFont="1" applyFill="1" applyBorder="1" applyAlignment="1">
      <alignment horizontal="center" vertical="center" wrapText="1"/>
    </xf>
    <xf numFmtId="0" fontId="9" fillId="13" borderId="3" xfId="1" applyFont="1" applyFill="1" applyBorder="1" applyAlignment="1">
      <alignment horizontal="center" vertical="center"/>
    </xf>
    <xf numFmtId="0" fontId="9" fillId="10" borderId="3" xfId="1" applyFont="1" applyFill="1" applyBorder="1" applyAlignment="1">
      <alignment horizontal="center" vertical="center"/>
    </xf>
    <xf numFmtId="0" fontId="12" fillId="0" borderId="8" xfId="1" applyFont="1" applyBorder="1" applyAlignment="1">
      <alignment horizontal="left" vertical="center" wrapText="1"/>
    </xf>
    <xf numFmtId="0" fontId="13" fillId="0" borderId="12" xfId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4" fillId="11" borderId="13" xfId="1" applyFont="1" applyFill="1" applyBorder="1" applyAlignment="1">
      <alignment horizontal="center" vertical="center" wrapText="1"/>
    </xf>
    <xf numFmtId="0" fontId="14" fillId="11" borderId="20" xfId="1" applyFont="1" applyFill="1" applyBorder="1" applyAlignment="1">
      <alignment horizontal="center" vertical="center" wrapText="1"/>
    </xf>
    <xf numFmtId="0" fontId="14" fillId="11" borderId="14" xfId="1" applyFont="1" applyFill="1" applyBorder="1" applyAlignment="1">
      <alignment horizontal="center" vertical="center" wrapText="1"/>
    </xf>
    <xf numFmtId="0" fontId="14" fillId="11" borderId="15" xfId="1" applyFont="1" applyFill="1" applyBorder="1" applyAlignment="1">
      <alignment horizontal="center" vertical="center" wrapText="1"/>
    </xf>
    <xf numFmtId="0" fontId="14" fillId="11" borderId="16" xfId="1" applyFont="1" applyFill="1" applyBorder="1" applyAlignment="1">
      <alignment horizontal="center" vertical="center" wrapText="1"/>
    </xf>
    <xf numFmtId="0" fontId="14" fillId="11" borderId="18" xfId="1" applyFont="1" applyFill="1" applyBorder="1" applyAlignment="1">
      <alignment horizontal="center" vertical="center" wrapText="1"/>
    </xf>
    <xf numFmtId="0" fontId="14" fillId="11" borderId="2" xfId="1" applyFont="1" applyFill="1" applyAlignment="1">
      <alignment horizontal="center" vertical="center" wrapText="1"/>
    </xf>
    <xf numFmtId="0" fontId="14" fillId="11" borderId="19" xfId="1" applyFont="1" applyFill="1" applyBorder="1" applyAlignment="1">
      <alignment horizontal="center" vertical="center" wrapText="1"/>
    </xf>
    <xf numFmtId="0" fontId="14" fillId="11" borderId="21" xfId="1" applyFont="1" applyFill="1" applyBorder="1" applyAlignment="1">
      <alignment horizontal="center" vertical="center" wrapText="1"/>
    </xf>
    <xf numFmtId="0" fontId="14" fillId="11" borderId="22" xfId="1" applyFont="1" applyFill="1" applyBorder="1" applyAlignment="1">
      <alignment horizontal="center" vertical="center" wrapText="1"/>
    </xf>
    <xf numFmtId="0" fontId="14" fillId="11" borderId="11" xfId="1" applyFont="1" applyFill="1" applyBorder="1" applyAlignment="1">
      <alignment horizontal="center" vertical="center" wrapText="1"/>
    </xf>
    <xf numFmtId="0" fontId="14" fillId="11" borderId="17" xfId="1" applyFont="1" applyFill="1" applyBorder="1" applyAlignment="1">
      <alignment horizontal="center" vertical="center" wrapText="1"/>
    </xf>
    <xf numFmtId="0" fontId="14" fillId="11" borderId="23" xfId="1" applyFont="1" applyFill="1" applyBorder="1" applyAlignment="1">
      <alignment horizontal="center" vertical="center" wrapText="1"/>
    </xf>
    <xf numFmtId="0" fontId="9" fillId="12" borderId="6" xfId="1" applyFont="1" applyFill="1" applyBorder="1" applyAlignment="1">
      <alignment horizontal="center" vertical="center"/>
    </xf>
    <xf numFmtId="0" fontId="9" fillId="12" borderId="24" xfId="1" applyFont="1" applyFill="1" applyBorder="1" applyAlignment="1">
      <alignment horizontal="center" vertical="center"/>
    </xf>
    <xf numFmtId="0" fontId="9" fillId="12" borderId="7" xfId="1" applyFont="1" applyFill="1" applyBorder="1" applyAlignment="1">
      <alignment horizontal="center" vertical="center"/>
    </xf>
    <xf numFmtId="0" fontId="7" fillId="0" borderId="6" xfId="1" applyFont="1" applyBorder="1" applyAlignment="1">
      <alignment horizontal="left" vertical="center" wrapText="1"/>
    </xf>
    <xf numFmtId="0" fontId="14" fillId="0" borderId="3" xfId="1" applyFont="1" applyBorder="1" applyAlignment="1">
      <alignment horizontal="center" vertical="center"/>
    </xf>
    <xf numFmtId="0" fontId="7" fillId="0" borderId="3" xfId="1" quotePrefix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/>
    </xf>
    <xf numFmtId="0" fontId="7" fillId="0" borderId="3" xfId="1" quotePrefix="1" applyFont="1" applyBorder="1" applyAlignment="1">
      <alignment horizontal="left" vertical="center"/>
    </xf>
    <xf numFmtId="0" fontId="9" fillId="7" borderId="6" xfId="1" applyFont="1" applyFill="1" applyBorder="1" applyAlignment="1">
      <alignment horizontal="left" vertical="center"/>
    </xf>
    <xf numFmtId="0" fontId="9" fillId="7" borderId="7" xfId="1" applyFont="1" applyFill="1" applyBorder="1" applyAlignment="1">
      <alignment horizontal="left" vertical="center"/>
    </xf>
    <xf numFmtId="0" fontId="11" fillId="0" borderId="3" xfId="2" applyBorder="1" applyAlignment="1">
      <alignment horizontal="left" vertical="center"/>
    </xf>
    <xf numFmtId="0" fontId="9" fillId="9" borderId="3" xfId="1" applyFont="1" applyFill="1" applyBorder="1" applyAlignment="1">
      <alignment horizontal="left" vertical="center"/>
    </xf>
    <xf numFmtId="0" fontId="7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 wrapText="1"/>
    </xf>
    <xf numFmtId="0" fontId="9" fillId="7" borderId="6" xfId="1" applyFont="1" applyFill="1" applyBorder="1" applyAlignment="1">
      <alignment horizontal="center" vertical="center"/>
    </xf>
    <xf numFmtId="0" fontId="9" fillId="7" borderId="7" xfId="1" applyFont="1" applyFill="1" applyBorder="1" applyAlignment="1">
      <alignment horizontal="center" vertical="center"/>
    </xf>
    <xf numFmtId="0" fontId="9" fillId="8" borderId="6" xfId="1" applyFont="1" applyFill="1" applyBorder="1" applyAlignment="1">
      <alignment horizontal="center" vertical="center"/>
    </xf>
    <xf numFmtId="0" fontId="9" fillId="8" borderId="7" xfId="1" applyFont="1" applyFill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167" fontId="7" fillId="0" borderId="8" xfId="1" applyNumberFormat="1" applyFont="1" applyBorder="1" applyAlignment="1">
      <alignment horizontal="center" vertical="center"/>
    </xf>
    <xf numFmtId="167" fontId="7" fillId="0" borderId="9" xfId="1" applyNumberFormat="1" applyFont="1" applyBorder="1" applyAlignment="1">
      <alignment horizontal="center" vertical="center"/>
    </xf>
    <xf numFmtId="167" fontId="7" fillId="0" borderId="10" xfId="1" applyNumberFormat="1" applyFont="1" applyBorder="1" applyAlignment="1">
      <alignment horizontal="center" vertical="center"/>
    </xf>
    <xf numFmtId="167" fontId="7" fillId="0" borderId="11" xfId="1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 wrapText="1"/>
    </xf>
    <xf numFmtId="0" fontId="9" fillId="9" borderId="3" xfId="1" applyFont="1" applyFill="1" applyBorder="1" applyAlignment="1">
      <alignment horizontal="right" vertical="center"/>
    </xf>
    <xf numFmtId="0" fontId="1" fillId="0" borderId="4" xfId="3" applyBorder="1" applyAlignment="1">
      <alignment horizontal="center"/>
    </xf>
    <xf numFmtId="0" fontId="1" fillId="0" borderId="2" xfId="3" applyAlignment="1">
      <alignment horizontal="center"/>
    </xf>
    <xf numFmtId="0" fontId="6" fillId="0" borderId="0" xfId="0" applyFont="1" applyAlignment="1">
      <alignment horizontal="center"/>
    </xf>
  </cellXfs>
  <cellStyles count="6">
    <cellStyle name="Comma 2" xfId="4" xr:uid="{AACAC77C-5D3C-45A3-8D42-CCBFEB44E79A}"/>
    <cellStyle name="Hyperlink 2" xfId="2" xr:uid="{EA743CE8-5CDB-4E37-B164-089E6C03BEB1}"/>
    <cellStyle name="Normal" xfId="0" builtinId="0"/>
    <cellStyle name="Normal 2" xfId="1" xr:uid="{83762E85-80EE-4383-B6D3-C7A9A260C1EF}"/>
    <cellStyle name="Normal 3" xfId="3" xr:uid="{8A175537-46AA-4BFC-9BA2-ED3E6843B08D}"/>
    <cellStyle name="Percent 2" xfId="5" xr:uid="{441A346F-AB88-4C01-8AE6-F7EE989050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686283</xdr:colOff>
      <xdr:row>0</xdr:row>
      <xdr:rowOff>1832</xdr:rowOff>
    </xdr:from>
    <xdr:to>
      <xdr:col>5</xdr:col>
      <xdr:colOff>258714</xdr:colOff>
      <xdr:row>0</xdr:row>
      <xdr:rowOff>558773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0AB8F-AD6B-4A2F-8959-042543CC3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543" y="1832"/>
          <a:ext cx="2384211" cy="556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45FA-191A-44FC-B306-169AB48B1B2D}">
  <sheetPr>
    <tabColor theme="8" tint="0.79998168889431442"/>
  </sheetPr>
  <dimension ref="B1:L32"/>
  <sheetViews>
    <sheetView tabSelected="1" topLeftCell="A16" zoomScale="84" zoomScaleNormal="104" zoomScaleSheetLayoutView="73" zoomScalePageLayoutView="41" workbookViewId="0">
      <selection activeCell="M28" sqref="M28"/>
    </sheetView>
  </sheetViews>
  <sheetFormatPr defaultRowHeight="13.2" x14ac:dyDescent="0.3"/>
  <cols>
    <col min="1" max="1" width="2.21875" style="3" customWidth="1"/>
    <col min="2" max="2" width="5.88671875" style="3" customWidth="1"/>
    <col min="3" max="3" width="12.44140625" style="3" customWidth="1"/>
    <col min="4" max="4" width="7.88671875" style="5" customWidth="1"/>
    <col min="5" max="5" width="20.6640625" style="3" customWidth="1"/>
    <col min="6" max="6" width="9.5546875" style="3" customWidth="1"/>
    <col min="7" max="9" width="16.44140625" style="3" customWidth="1"/>
    <col min="10" max="10" width="8.88671875" style="3"/>
    <col min="11" max="11" width="22.44140625" style="3" customWidth="1"/>
    <col min="12" max="12" width="11.33203125" style="3" customWidth="1"/>
    <col min="13" max="16384" width="8.88671875" style="3"/>
  </cols>
  <sheetData>
    <row r="1" spans="2:9" ht="49.8" customHeight="1" x14ac:dyDescent="0.3">
      <c r="B1" s="83"/>
      <c r="C1" s="83"/>
      <c r="D1" s="83"/>
      <c r="E1" s="83"/>
      <c r="F1" s="83"/>
      <c r="G1" s="83"/>
      <c r="H1" s="84" t="s">
        <v>50</v>
      </c>
      <c r="I1" s="84"/>
    </row>
    <row r="2" spans="2:9" ht="40.799999999999997" customHeight="1" x14ac:dyDescent="0.3">
      <c r="B2" s="85" t="s">
        <v>51</v>
      </c>
      <c r="C2" s="85"/>
      <c r="D2" s="85"/>
      <c r="E2" s="85"/>
      <c r="F2" s="85"/>
      <c r="G2" s="85"/>
      <c r="H2" s="85"/>
      <c r="I2" s="85"/>
    </row>
    <row r="3" spans="2:9" ht="17.399999999999999" customHeight="1" x14ac:dyDescent="0.3">
      <c r="B3" s="86" t="s">
        <v>52</v>
      </c>
      <c r="C3" s="87"/>
      <c r="D3" s="77" t="s">
        <v>53</v>
      </c>
      <c r="E3" s="77"/>
      <c r="F3" s="88" t="s">
        <v>54</v>
      </c>
      <c r="G3" s="89"/>
      <c r="H3" s="88" t="s">
        <v>55</v>
      </c>
      <c r="I3" s="89"/>
    </row>
    <row r="4" spans="2:9" ht="17.399999999999999" customHeight="1" x14ac:dyDescent="0.3">
      <c r="B4" s="79" t="s">
        <v>56</v>
      </c>
      <c r="C4" s="80"/>
      <c r="D4" s="77" t="s">
        <v>57</v>
      </c>
      <c r="E4" s="77"/>
      <c r="F4" s="90" t="s">
        <v>73</v>
      </c>
      <c r="G4" s="91"/>
      <c r="H4" s="94">
        <f ca="1">TODAY()</f>
        <v>45733</v>
      </c>
      <c r="I4" s="95"/>
    </row>
    <row r="5" spans="2:9" ht="17.399999999999999" customHeight="1" x14ac:dyDescent="0.3">
      <c r="B5" s="79" t="s">
        <v>58</v>
      </c>
      <c r="C5" s="80"/>
      <c r="D5" s="77" t="s">
        <v>87</v>
      </c>
      <c r="E5" s="77"/>
      <c r="F5" s="92"/>
      <c r="G5" s="93"/>
      <c r="H5" s="96"/>
      <c r="I5" s="97"/>
    </row>
    <row r="6" spans="2:9" ht="17.399999999999999" customHeight="1" x14ac:dyDescent="0.3">
      <c r="B6" s="79" t="s">
        <v>59</v>
      </c>
      <c r="C6" s="80"/>
      <c r="D6" s="78"/>
      <c r="E6" s="77"/>
      <c r="F6" s="98" t="s">
        <v>60</v>
      </c>
      <c r="G6" s="98"/>
      <c r="H6" s="98"/>
      <c r="I6" s="98"/>
    </row>
    <row r="7" spans="2:9" ht="17.399999999999999" customHeight="1" x14ac:dyDescent="0.3">
      <c r="B7" s="79" t="s">
        <v>61</v>
      </c>
      <c r="C7" s="80"/>
      <c r="D7" s="81"/>
      <c r="E7" s="77"/>
      <c r="F7" s="98"/>
      <c r="G7" s="98"/>
      <c r="H7" s="98"/>
      <c r="I7" s="98"/>
    </row>
    <row r="8" spans="2:9" ht="5.4" customHeight="1" x14ac:dyDescent="0.3">
      <c r="B8" s="83"/>
      <c r="C8" s="83"/>
      <c r="D8" s="83"/>
      <c r="E8" s="83"/>
      <c r="F8" s="83"/>
      <c r="G8" s="83"/>
      <c r="H8" s="83"/>
      <c r="I8" s="83"/>
    </row>
    <row r="9" spans="2:9" ht="17.399999999999999" customHeight="1" x14ac:dyDescent="0.3">
      <c r="B9" s="82" t="s">
        <v>62</v>
      </c>
      <c r="C9" s="82"/>
      <c r="D9" s="82"/>
      <c r="E9" s="82"/>
      <c r="F9" s="82"/>
      <c r="G9" s="82"/>
      <c r="H9" s="82"/>
      <c r="I9" s="82"/>
    </row>
    <row r="10" spans="2:9" ht="17.399999999999999" customHeight="1" x14ac:dyDescent="0.3">
      <c r="B10" s="79" t="s">
        <v>63</v>
      </c>
      <c r="C10" s="80"/>
      <c r="D10" s="77" t="s">
        <v>88</v>
      </c>
      <c r="E10" s="77"/>
      <c r="F10" s="77"/>
      <c r="G10" s="77"/>
      <c r="H10" s="77"/>
      <c r="I10" s="77"/>
    </row>
    <row r="11" spans="2:9" ht="17.399999999999999" customHeight="1" x14ac:dyDescent="0.3">
      <c r="B11" s="79" t="s">
        <v>64</v>
      </c>
      <c r="C11" s="80"/>
      <c r="D11" s="77"/>
      <c r="E11" s="77"/>
      <c r="F11" s="77"/>
      <c r="G11" s="77"/>
      <c r="H11" s="77"/>
      <c r="I11" s="77"/>
    </row>
    <row r="12" spans="2:9" ht="17.399999999999999" customHeight="1" x14ac:dyDescent="0.3">
      <c r="B12" s="79" t="s">
        <v>58</v>
      </c>
      <c r="C12" s="80"/>
      <c r="D12" s="77"/>
      <c r="E12" s="77"/>
      <c r="F12" s="99" t="s">
        <v>59</v>
      </c>
      <c r="G12" s="99"/>
      <c r="H12" s="78"/>
      <c r="I12" s="77"/>
    </row>
    <row r="13" spans="2:9" ht="17.399999999999999" customHeight="1" x14ac:dyDescent="0.3">
      <c r="B13" s="79" t="s">
        <v>61</v>
      </c>
      <c r="C13" s="80"/>
      <c r="D13" s="81"/>
      <c r="E13" s="77"/>
      <c r="F13" s="77"/>
      <c r="G13" s="77"/>
      <c r="H13" s="77"/>
      <c r="I13" s="77"/>
    </row>
    <row r="14" spans="2:9" ht="5.4" customHeight="1" x14ac:dyDescent="0.3">
      <c r="B14" s="83"/>
      <c r="C14" s="83"/>
      <c r="D14" s="83"/>
      <c r="E14" s="83"/>
      <c r="F14" s="83"/>
      <c r="G14" s="83"/>
      <c r="H14" s="83"/>
      <c r="I14" s="83"/>
    </row>
    <row r="15" spans="2:9" ht="18.600000000000001" customHeight="1" x14ac:dyDescent="0.3">
      <c r="B15" s="54" t="s">
        <v>65</v>
      </c>
      <c r="C15" s="54"/>
      <c r="D15" s="54"/>
      <c r="E15" s="54"/>
      <c r="F15" s="54"/>
      <c r="G15" s="54"/>
      <c r="H15" s="54"/>
      <c r="I15" s="54"/>
    </row>
    <row r="16" spans="2:9" ht="22.2" customHeight="1" x14ac:dyDescent="0.3">
      <c r="B16" s="55" t="s">
        <v>66</v>
      </c>
      <c r="C16" s="56"/>
      <c r="D16" s="56"/>
      <c r="E16" s="56"/>
      <c r="F16" s="56"/>
      <c r="G16" s="56"/>
      <c r="H16" s="56"/>
      <c r="I16" s="57"/>
    </row>
    <row r="17" spans="2:12" s="4" customFormat="1" ht="19.2" customHeight="1" x14ac:dyDescent="0.3">
      <c r="B17" s="58" t="s">
        <v>67</v>
      </c>
      <c r="C17" s="60" t="s">
        <v>68</v>
      </c>
      <c r="D17" s="61"/>
      <c r="E17" s="61"/>
      <c r="F17" s="62"/>
      <c r="G17" s="69" t="s">
        <v>84</v>
      </c>
      <c r="H17" s="61" t="s">
        <v>30</v>
      </c>
      <c r="I17" s="62"/>
    </row>
    <row r="18" spans="2:12" s="4" customFormat="1" ht="13.8" customHeight="1" x14ac:dyDescent="0.3">
      <c r="B18" s="58"/>
      <c r="C18" s="63"/>
      <c r="D18" s="64"/>
      <c r="E18" s="64"/>
      <c r="F18" s="65"/>
      <c r="G18" s="69"/>
      <c r="H18" s="64"/>
      <c r="I18" s="65"/>
    </row>
    <row r="19" spans="2:12" s="4" customFormat="1" ht="13.8" customHeight="1" x14ac:dyDescent="0.3">
      <c r="B19" s="59"/>
      <c r="C19" s="66"/>
      <c r="D19" s="67"/>
      <c r="E19" s="67"/>
      <c r="F19" s="68"/>
      <c r="G19" s="70"/>
      <c r="H19" s="67"/>
      <c r="I19" s="68"/>
    </row>
    <row r="20" spans="2:12" ht="16.2" customHeight="1" x14ac:dyDescent="0.3">
      <c r="B20" s="71" t="s">
        <v>93</v>
      </c>
      <c r="C20" s="72"/>
      <c r="D20" s="72"/>
      <c r="E20" s="72"/>
      <c r="F20" s="72"/>
      <c r="G20" s="72"/>
      <c r="H20" s="72"/>
      <c r="I20" s="73"/>
      <c r="K20" s="45" t="s">
        <v>96</v>
      </c>
      <c r="L20" s="45"/>
    </row>
    <row r="21" spans="2:12" ht="37.799999999999997" customHeight="1" x14ac:dyDescent="0.3">
      <c r="B21" s="2">
        <v>1</v>
      </c>
      <c r="C21" s="74" t="s">
        <v>97</v>
      </c>
      <c r="D21" s="49"/>
      <c r="E21" s="49"/>
      <c r="F21" s="50"/>
      <c r="G21" s="8" t="s">
        <v>86</v>
      </c>
      <c r="H21" s="46">
        <v>13000</v>
      </c>
      <c r="I21" s="47"/>
      <c r="K21" s="45" t="s">
        <v>6</v>
      </c>
      <c r="L21" s="45">
        <v>300</v>
      </c>
    </row>
    <row r="22" spans="2:12" ht="37.799999999999997" customHeight="1" x14ac:dyDescent="0.3">
      <c r="B22" s="2">
        <v>2</v>
      </c>
      <c r="C22" s="74" t="s">
        <v>85</v>
      </c>
      <c r="D22" s="49"/>
      <c r="E22" s="49"/>
      <c r="F22" s="50"/>
      <c r="G22" s="8" t="s">
        <v>69</v>
      </c>
      <c r="H22" s="46">
        <f>ROUNDUP(CAPEX!I13,0)</f>
        <v>650</v>
      </c>
      <c r="I22" s="47"/>
      <c r="K22" s="45" t="s">
        <v>37</v>
      </c>
      <c r="L22" s="45">
        <v>0</v>
      </c>
    </row>
    <row r="23" spans="2:12" ht="37.799999999999997" customHeight="1" x14ac:dyDescent="0.3">
      <c r="B23" s="2">
        <v>3</v>
      </c>
      <c r="C23" s="48" t="s">
        <v>90</v>
      </c>
      <c r="D23" s="49"/>
      <c r="E23" s="49"/>
      <c r="F23" s="50"/>
      <c r="G23" s="8" t="s">
        <v>89</v>
      </c>
      <c r="H23" s="51">
        <v>1050</v>
      </c>
      <c r="I23" s="52"/>
      <c r="K23" s="45" t="s">
        <v>13</v>
      </c>
      <c r="L23" s="45">
        <v>0</v>
      </c>
    </row>
    <row r="24" spans="2:12" ht="16.2" customHeight="1" x14ac:dyDescent="0.3">
      <c r="B24" s="71" t="s">
        <v>94</v>
      </c>
      <c r="C24" s="72"/>
      <c r="D24" s="72"/>
      <c r="E24" s="72"/>
      <c r="F24" s="72"/>
      <c r="G24" s="72"/>
      <c r="H24" s="72"/>
      <c r="I24" s="73"/>
      <c r="K24" s="45" t="s">
        <v>14</v>
      </c>
      <c r="L24" s="45">
        <v>0</v>
      </c>
    </row>
    <row r="25" spans="2:12" ht="37.799999999999997" customHeight="1" x14ac:dyDescent="0.3">
      <c r="B25" s="2">
        <v>4</v>
      </c>
      <c r="C25" s="74" t="s">
        <v>98</v>
      </c>
      <c r="D25" s="49"/>
      <c r="E25" s="49"/>
      <c r="F25" s="50"/>
      <c r="G25" s="8" t="s">
        <v>69</v>
      </c>
      <c r="H25" s="46">
        <f>ROUNDUP(OPEX!I13,0)</f>
        <v>1373</v>
      </c>
      <c r="I25" s="47"/>
      <c r="K25" s="45" t="s">
        <v>16</v>
      </c>
      <c r="L25" s="45">
        <v>100</v>
      </c>
    </row>
    <row r="26" spans="2:12" ht="37.799999999999997" customHeight="1" x14ac:dyDescent="0.3">
      <c r="B26" s="2">
        <v>5</v>
      </c>
      <c r="C26" s="48" t="s">
        <v>90</v>
      </c>
      <c r="D26" s="49"/>
      <c r="E26" s="49"/>
      <c r="F26" s="50"/>
      <c r="G26" s="8" t="s">
        <v>89</v>
      </c>
      <c r="H26" s="51">
        <v>1050</v>
      </c>
      <c r="I26" s="52"/>
      <c r="K26" s="45" t="s">
        <v>18</v>
      </c>
      <c r="L26" s="45">
        <v>150</v>
      </c>
    </row>
    <row r="27" spans="2:12" ht="5.4" customHeight="1" x14ac:dyDescent="0.3">
      <c r="B27" s="75"/>
      <c r="C27" s="75"/>
      <c r="D27" s="75"/>
      <c r="E27" s="75"/>
      <c r="F27" s="75"/>
      <c r="G27" s="75"/>
      <c r="H27" s="75"/>
      <c r="I27" s="75"/>
    </row>
    <row r="28" spans="2:12" ht="18.600000000000001" customHeight="1" x14ac:dyDescent="0.3">
      <c r="B28" s="53" t="s">
        <v>95</v>
      </c>
      <c r="C28" s="53"/>
      <c r="D28" s="53"/>
      <c r="E28" s="53"/>
      <c r="F28" s="53"/>
      <c r="G28" s="53"/>
      <c r="H28" s="53"/>
      <c r="I28" s="53"/>
    </row>
    <row r="29" spans="2:12" ht="5.4" customHeight="1" x14ac:dyDescent="0.3">
      <c r="B29" s="75"/>
      <c r="C29" s="75"/>
      <c r="D29" s="75"/>
      <c r="E29" s="75"/>
      <c r="F29" s="75"/>
      <c r="G29" s="75"/>
      <c r="H29" s="75"/>
      <c r="I29" s="75"/>
    </row>
    <row r="30" spans="2:12" ht="18.600000000000001" customHeight="1" x14ac:dyDescent="0.3">
      <c r="B30" s="53" t="s">
        <v>70</v>
      </c>
      <c r="C30" s="53"/>
      <c r="D30" s="53"/>
      <c r="E30" s="53"/>
      <c r="F30" s="53"/>
      <c r="G30" s="53"/>
      <c r="H30" s="53"/>
      <c r="I30" s="53"/>
    </row>
    <row r="31" spans="2:12" ht="379.8" customHeight="1" x14ac:dyDescent="0.3">
      <c r="B31" s="76" t="s">
        <v>99</v>
      </c>
      <c r="C31" s="76"/>
      <c r="D31" s="77"/>
      <c r="E31" s="77"/>
      <c r="F31" s="77"/>
      <c r="G31" s="77"/>
      <c r="H31" s="77"/>
      <c r="I31" s="77"/>
    </row>
    <row r="32" spans="2:12" x14ac:dyDescent="0.3">
      <c r="B32" s="53" t="s">
        <v>71</v>
      </c>
      <c r="C32" s="53"/>
      <c r="D32" s="53"/>
      <c r="E32" s="53"/>
      <c r="F32" s="53"/>
      <c r="G32" s="53"/>
      <c r="H32" s="53"/>
      <c r="I32" s="53"/>
    </row>
  </sheetData>
  <mergeCells count="55">
    <mergeCell ref="B14:I14"/>
    <mergeCell ref="B8:I8"/>
    <mergeCell ref="B4:C4"/>
    <mergeCell ref="D4:E4"/>
    <mergeCell ref="F4:G5"/>
    <mergeCell ref="H4:I5"/>
    <mergeCell ref="B5:C5"/>
    <mergeCell ref="D5:E5"/>
    <mergeCell ref="B6:C6"/>
    <mergeCell ref="D6:E6"/>
    <mergeCell ref="F6:I7"/>
    <mergeCell ref="B7:C7"/>
    <mergeCell ref="D7:E7"/>
    <mergeCell ref="B12:C12"/>
    <mergeCell ref="D12:E12"/>
    <mergeCell ref="F12:G12"/>
    <mergeCell ref="B1:G1"/>
    <mergeCell ref="H1:I1"/>
    <mergeCell ref="B2:I2"/>
    <mergeCell ref="B3:C3"/>
    <mergeCell ref="D3:E3"/>
    <mergeCell ref="F3:G3"/>
    <mergeCell ref="H3:I3"/>
    <mergeCell ref="H12:I12"/>
    <mergeCell ref="B13:C13"/>
    <mergeCell ref="D13:I13"/>
    <mergeCell ref="B9:I9"/>
    <mergeCell ref="B10:C10"/>
    <mergeCell ref="D10:I10"/>
    <mergeCell ref="B11:C11"/>
    <mergeCell ref="D11:I11"/>
    <mergeCell ref="B32:I32"/>
    <mergeCell ref="B20:I20"/>
    <mergeCell ref="C21:F21"/>
    <mergeCell ref="H21:I21"/>
    <mergeCell ref="B27:I27"/>
    <mergeCell ref="B30:I30"/>
    <mergeCell ref="B31:I31"/>
    <mergeCell ref="C22:F22"/>
    <mergeCell ref="H22:I22"/>
    <mergeCell ref="B29:I29"/>
    <mergeCell ref="C23:F23"/>
    <mergeCell ref="H23:I23"/>
    <mergeCell ref="B24:I24"/>
    <mergeCell ref="C25:F25"/>
    <mergeCell ref="H25:I25"/>
    <mergeCell ref="C26:F26"/>
    <mergeCell ref="H26:I26"/>
    <mergeCell ref="B28:I28"/>
    <mergeCell ref="B15:I15"/>
    <mergeCell ref="B16:I16"/>
    <mergeCell ref="B17:B19"/>
    <mergeCell ref="C17:F19"/>
    <mergeCell ref="G17:G19"/>
    <mergeCell ref="H17:I19"/>
  </mergeCells>
  <pageMargins left="0.23622047244094491" right="0.23622047244094491" top="0.74803149606299213" bottom="0.74803149606299213" header="0.31496062992125984" footer="0.31496062992125984"/>
  <pageSetup paperSize="9" scale="88" orientation="portrait" r:id="rId1"/>
  <rowBreaks count="1" manualBreakCount="1">
    <brk id="2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E74E-1232-4649-8691-A3D7E20B89FA}">
  <dimension ref="B2:C9"/>
  <sheetViews>
    <sheetView zoomScale="190" zoomScaleNormal="190" workbookViewId="0">
      <selection activeCell="J27" sqref="J27"/>
    </sheetView>
  </sheetViews>
  <sheetFormatPr defaultRowHeight="14.4" x14ac:dyDescent="0.3"/>
  <cols>
    <col min="1" max="16384" width="8.88671875" style="6"/>
  </cols>
  <sheetData>
    <row r="2" spans="2:3" x14ac:dyDescent="0.3">
      <c r="B2" s="6" t="s">
        <v>72</v>
      </c>
    </row>
    <row r="3" spans="2:3" x14ac:dyDescent="0.3">
      <c r="B3" s="7" t="s">
        <v>73</v>
      </c>
    </row>
    <row r="5" spans="2:3" x14ac:dyDescent="0.3">
      <c r="B5" s="6" t="s">
        <v>74</v>
      </c>
      <c r="C5" s="6" t="s">
        <v>75</v>
      </c>
    </row>
    <row r="6" spans="2:3" x14ac:dyDescent="0.3">
      <c r="B6" s="6" t="s">
        <v>76</v>
      </c>
      <c r="C6" s="6" t="s">
        <v>77</v>
      </c>
    </row>
    <row r="7" spans="2:3" x14ac:dyDescent="0.3">
      <c r="B7" s="6" t="s">
        <v>78</v>
      </c>
      <c r="C7" s="6" t="s">
        <v>79</v>
      </c>
    </row>
    <row r="8" spans="2:3" x14ac:dyDescent="0.3">
      <c r="B8" s="6" t="s">
        <v>80</v>
      </c>
      <c r="C8" s="6" t="s">
        <v>81</v>
      </c>
    </row>
    <row r="9" spans="2:3" x14ac:dyDescent="0.3">
      <c r="B9" s="6" t="s">
        <v>82</v>
      </c>
      <c r="C9" s="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78AC-4B13-42F1-BB42-96B9F63EF9B4}">
  <dimension ref="B1:M997"/>
  <sheetViews>
    <sheetView zoomScale="88" zoomScaleNormal="145" workbookViewId="0">
      <selection activeCell="H23" sqref="H23"/>
    </sheetView>
  </sheetViews>
  <sheetFormatPr defaultColWidth="14.44140625" defaultRowHeight="15" customHeight="1" x14ac:dyDescent="0.3"/>
  <cols>
    <col min="1" max="1" width="8.6640625" style="9" customWidth="1"/>
    <col min="2" max="2" width="10.109375" style="9" bestFit="1" customWidth="1"/>
    <col min="3" max="3" width="35.88671875" style="9" bestFit="1" customWidth="1"/>
    <col min="4" max="4" width="14.77734375" style="9" bestFit="1" customWidth="1"/>
    <col min="5" max="5" width="17.44140625" style="9" customWidth="1"/>
    <col min="6" max="6" width="4.109375" style="9" customWidth="1"/>
    <col min="7" max="7" width="7.109375" style="9" customWidth="1"/>
    <col min="8" max="8" width="19.33203125" style="9" customWidth="1"/>
    <col min="9" max="9" width="11.44140625" style="9" customWidth="1"/>
    <col min="10" max="10" width="8.6640625" style="9" customWidth="1"/>
    <col min="11" max="11" width="2.6640625" style="9" customWidth="1"/>
    <col min="12" max="12" width="16.44140625" style="9" customWidth="1"/>
    <col min="13" max="13" width="24" style="9" customWidth="1"/>
    <col min="14" max="27" width="8.6640625" style="9" customWidth="1"/>
    <col min="28" max="16384" width="14.44140625" style="9"/>
  </cols>
  <sheetData>
    <row r="1" spans="2:13" ht="14.25" customHeight="1" x14ac:dyDescent="0.3"/>
    <row r="2" spans="2:13" ht="14.25" customHeight="1" x14ac:dyDescent="0.3">
      <c r="C2" s="10" t="s">
        <v>26</v>
      </c>
    </row>
    <row r="3" spans="2:13" ht="14.25" customHeight="1" x14ac:dyDescent="0.3">
      <c r="C3" s="11" t="s">
        <v>0</v>
      </c>
      <c r="D3" s="9" t="s">
        <v>31</v>
      </c>
      <c r="E3" s="9" t="s">
        <v>30</v>
      </c>
      <c r="H3" s="11" t="s">
        <v>27</v>
      </c>
      <c r="L3" s="11" t="s">
        <v>1</v>
      </c>
    </row>
    <row r="4" spans="2:13" ht="14.25" customHeight="1" x14ac:dyDescent="0.3">
      <c r="C4" s="12" t="s">
        <v>28</v>
      </c>
      <c r="D4" s="13">
        <v>30</v>
      </c>
      <c r="E4" s="14"/>
      <c r="H4" s="15" t="s">
        <v>2</v>
      </c>
      <c r="I4" s="16">
        <f>D16*D20/D4</f>
        <v>722.22222222222229</v>
      </c>
      <c r="J4" s="17">
        <f t="shared" ref="J4:J13" si="0">I4/$I$13</f>
        <v>0.52631578947368429</v>
      </c>
      <c r="L4" s="15" t="s">
        <v>3</v>
      </c>
      <c r="M4" s="18">
        <v>60</v>
      </c>
    </row>
    <row r="5" spans="2:13" ht="14.25" customHeight="1" x14ac:dyDescent="0.3">
      <c r="C5" s="12" t="s">
        <v>8</v>
      </c>
      <c r="D5" s="19">
        <v>0</v>
      </c>
      <c r="E5" s="14"/>
      <c r="H5" s="15" t="s">
        <v>4</v>
      </c>
      <c r="I5" s="16">
        <f>D14/D4</f>
        <v>0</v>
      </c>
      <c r="J5" s="17">
        <f t="shared" si="0"/>
        <v>0</v>
      </c>
      <c r="L5" s="15" t="s">
        <v>5</v>
      </c>
      <c r="M5" s="20">
        <f>D4*(I13-I9)</f>
        <v>41166.666666666664</v>
      </c>
    </row>
    <row r="6" spans="2:13" ht="14.25" customHeight="1" x14ac:dyDescent="0.3">
      <c r="C6" s="12" t="s">
        <v>11</v>
      </c>
      <c r="D6" s="21">
        <f>D4+(D4*D5)</f>
        <v>30</v>
      </c>
      <c r="E6" s="13">
        <v>13000</v>
      </c>
      <c r="G6" s="22">
        <v>300</v>
      </c>
      <c r="H6" s="15" t="s">
        <v>6</v>
      </c>
      <c r="I6" s="16">
        <f>G6*D6/D4</f>
        <v>300</v>
      </c>
      <c r="J6" s="17">
        <f t="shared" si="0"/>
        <v>0.21862348178137653</v>
      </c>
      <c r="L6" s="15" t="s">
        <v>7</v>
      </c>
      <c r="M6" s="20">
        <f>M5*12</f>
        <v>494000</v>
      </c>
    </row>
    <row r="7" spans="2:13" ht="14.25" customHeight="1" x14ac:dyDescent="0.3">
      <c r="C7" s="12" t="s">
        <v>29</v>
      </c>
      <c r="D7" s="23">
        <f>D6</f>
        <v>30</v>
      </c>
      <c r="E7" s="13">
        <v>0</v>
      </c>
      <c r="H7" s="15" t="s">
        <v>9</v>
      </c>
      <c r="I7" s="24">
        <v>100</v>
      </c>
      <c r="J7" s="17">
        <f t="shared" si="0"/>
        <v>7.2874493927125514E-2</v>
      </c>
      <c r="L7" s="15" t="s">
        <v>10</v>
      </c>
      <c r="M7" s="20">
        <f>M5*M4</f>
        <v>2470000</v>
      </c>
    </row>
    <row r="8" spans="2:13" ht="14.25" customHeight="1" x14ac:dyDescent="0.3">
      <c r="H8" s="15" t="s">
        <v>37</v>
      </c>
      <c r="I8" s="25">
        <v>0</v>
      </c>
      <c r="J8" s="17">
        <f t="shared" si="0"/>
        <v>0</v>
      </c>
    </row>
    <row r="9" spans="2:13" ht="14.25" customHeight="1" x14ac:dyDescent="0.3">
      <c r="B9" s="100" t="s">
        <v>4</v>
      </c>
      <c r="C9" s="26" t="s">
        <v>12</v>
      </c>
      <c r="D9" s="22">
        <v>0</v>
      </c>
      <c r="E9" s="22">
        <v>15000</v>
      </c>
      <c r="H9" s="27" t="s">
        <v>13</v>
      </c>
      <c r="I9" s="28">
        <v>0</v>
      </c>
      <c r="J9" s="17">
        <f t="shared" si="0"/>
        <v>0</v>
      </c>
    </row>
    <row r="10" spans="2:13" ht="14.25" customHeight="1" x14ac:dyDescent="0.3">
      <c r="B10" s="100"/>
      <c r="C10" s="26" t="s">
        <v>32</v>
      </c>
      <c r="D10" s="22">
        <v>0</v>
      </c>
      <c r="E10" s="22">
        <v>18000</v>
      </c>
      <c r="H10" s="12" t="s">
        <v>14</v>
      </c>
      <c r="I10" s="18">
        <v>0</v>
      </c>
      <c r="J10" s="17">
        <f t="shared" si="0"/>
        <v>0</v>
      </c>
    </row>
    <row r="11" spans="2:13" ht="14.25" customHeight="1" x14ac:dyDescent="0.3">
      <c r="B11" s="100"/>
      <c r="C11" s="26" t="s">
        <v>15</v>
      </c>
      <c r="D11" s="22">
        <v>0</v>
      </c>
      <c r="E11" s="22">
        <v>18000</v>
      </c>
      <c r="H11" s="12" t="s">
        <v>16</v>
      </c>
      <c r="I11" s="18">
        <v>100</v>
      </c>
      <c r="J11" s="17">
        <f t="shared" si="0"/>
        <v>7.2874493927125514E-2</v>
      </c>
    </row>
    <row r="12" spans="2:13" ht="14.25" customHeight="1" x14ac:dyDescent="0.3">
      <c r="B12" s="100"/>
      <c r="C12" s="26" t="s">
        <v>17</v>
      </c>
      <c r="D12" s="22">
        <v>0</v>
      </c>
      <c r="E12" s="22">
        <v>25000</v>
      </c>
      <c r="H12" s="12" t="s">
        <v>18</v>
      </c>
      <c r="I12" s="18">
        <v>150</v>
      </c>
      <c r="J12" s="17">
        <f t="shared" si="0"/>
        <v>0.10931174089068826</v>
      </c>
    </row>
    <row r="13" spans="2:13" ht="14.25" customHeight="1" x14ac:dyDescent="0.3">
      <c r="B13" s="100"/>
      <c r="C13" s="29" t="s">
        <v>19</v>
      </c>
      <c r="D13" s="30">
        <v>0</v>
      </c>
      <c r="E13" s="30">
        <v>35000</v>
      </c>
      <c r="H13" s="12" t="s">
        <v>20</v>
      </c>
      <c r="I13" s="20">
        <f>SUM(I4:I12)</f>
        <v>1372.2222222222222</v>
      </c>
      <c r="J13" s="17">
        <f t="shared" si="0"/>
        <v>1</v>
      </c>
      <c r="L13" s="32"/>
    </row>
    <row r="14" spans="2:13" ht="14.25" customHeight="1" x14ac:dyDescent="0.3">
      <c r="B14" s="101"/>
      <c r="C14" s="12" t="s">
        <v>24</v>
      </c>
      <c r="D14" s="20">
        <f>SUMPRODUCT(D9:D13,E9:E13)</f>
        <v>0</v>
      </c>
      <c r="E14" s="14"/>
      <c r="H14" s="12" t="s">
        <v>25</v>
      </c>
      <c r="I14" s="20">
        <f>D18/(I16+I4*D4)</f>
        <v>13.784977908689248</v>
      </c>
    </row>
    <row r="15" spans="2:13" ht="14.25" customHeight="1" x14ac:dyDescent="0.3">
      <c r="B15" s="101" t="s">
        <v>33</v>
      </c>
      <c r="C15" s="12" t="s">
        <v>21</v>
      </c>
      <c r="D15" s="12">
        <f>D13+D12+D10+D11</f>
        <v>0</v>
      </c>
      <c r="E15" s="33">
        <v>20000</v>
      </c>
      <c r="H15" s="12" t="s">
        <v>18</v>
      </c>
      <c r="I15" s="20">
        <f>I12*D4</f>
        <v>4500</v>
      </c>
      <c r="J15" s="17"/>
    </row>
    <row r="16" spans="2:13" ht="14.25" customHeight="1" x14ac:dyDescent="0.3">
      <c r="B16" s="101"/>
      <c r="C16" s="12" t="s">
        <v>91</v>
      </c>
      <c r="D16" s="20">
        <f>D6*E6+D15*E15+D7*E7</f>
        <v>390000</v>
      </c>
      <c r="E16" s="34"/>
      <c r="G16" s="9" t="s">
        <v>22</v>
      </c>
      <c r="H16" s="12" t="s">
        <v>23</v>
      </c>
      <c r="I16" s="20">
        <f>(I11+I12)*D4</f>
        <v>7500</v>
      </c>
    </row>
    <row r="17" spans="3:6" ht="14.25" customHeight="1" x14ac:dyDescent="0.3">
      <c r="C17" s="12" t="s">
        <v>34</v>
      </c>
      <c r="D17" s="43">
        <v>0.03</v>
      </c>
      <c r="E17" s="14"/>
    </row>
    <row r="18" spans="3:6" ht="14.25" customHeight="1" x14ac:dyDescent="0.3">
      <c r="C18" s="12" t="s">
        <v>35</v>
      </c>
      <c r="D18" s="44">
        <f>D16/(1-D17)</f>
        <v>402061.8556701031</v>
      </c>
      <c r="E18" s="14"/>
    </row>
    <row r="19" spans="3:6" ht="14.25" customHeight="1" x14ac:dyDescent="0.3">
      <c r="C19" s="12" t="s">
        <v>92</v>
      </c>
      <c r="D19" s="38">
        <v>18</v>
      </c>
      <c r="E19" s="14"/>
    </row>
    <row r="20" spans="3:6" ht="14.25" customHeight="1" x14ac:dyDescent="0.3">
      <c r="C20" s="12" t="s">
        <v>36</v>
      </c>
      <c r="D20" s="39">
        <f>(D18/D19)/D18</f>
        <v>5.5555555555555559E-2</v>
      </c>
      <c r="E20" s="39"/>
      <c r="F20" s="40"/>
    </row>
    <row r="21" spans="3:6" ht="14.25" customHeight="1" x14ac:dyDescent="0.3">
      <c r="F21" s="41"/>
    </row>
    <row r="22" spans="3:6" ht="14.25" customHeight="1" x14ac:dyDescent="0.3">
      <c r="C22" s="42"/>
    </row>
    <row r="23" spans="3:6" ht="14.25" customHeight="1" x14ac:dyDescent="0.3"/>
    <row r="24" spans="3:6" ht="14.25" customHeight="1" x14ac:dyDescent="0.3"/>
    <row r="25" spans="3:6" ht="14.25" customHeight="1" x14ac:dyDescent="0.3"/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</sheetData>
  <mergeCells count="2">
    <mergeCell ref="B9:B14"/>
    <mergeCell ref="B15:B16"/>
  </mergeCell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D5E4-64FC-41D7-A88E-DDE70CE13A3D}">
  <dimension ref="B1:M997"/>
  <sheetViews>
    <sheetView zoomScale="89" zoomScaleNormal="145" workbookViewId="0">
      <selection activeCell="G24" sqref="G24"/>
    </sheetView>
  </sheetViews>
  <sheetFormatPr defaultColWidth="14.44140625" defaultRowHeight="15" customHeight="1" x14ac:dyDescent="0.3"/>
  <cols>
    <col min="1" max="1" width="8.6640625" style="9" customWidth="1"/>
    <col min="2" max="2" width="10.109375" style="9" bestFit="1" customWidth="1"/>
    <col min="3" max="3" width="35.88671875" style="9" bestFit="1" customWidth="1"/>
    <col min="4" max="4" width="10.5546875" style="9" bestFit="1" customWidth="1"/>
    <col min="5" max="5" width="17.44140625" style="9" customWidth="1"/>
    <col min="6" max="6" width="4.109375" style="9" customWidth="1"/>
    <col min="7" max="7" width="7.109375" style="9" customWidth="1"/>
    <col min="8" max="8" width="19.33203125" style="9" customWidth="1"/>
    <col min="9" max="9" width="11.44140625" style="9" customWidth="1"/>
    <col min="10" max="10" width="8.6640625" style="9" customWidth="1"/>
    <col min="11" max="11" width="2.6640625" style="9" customWidth="1"/>
    <col min="12" max="12" width="16.44140625" style="9" customWidth="1"/>
    <col min="13" max="13" width="24" style="9" customWidth="1"/>
    <col min="14" max="27" width="8.6640625" style="9" customWidth="1"/>
    <col min="28" max="16384" width="14.44140625" style="9"/>
  </cols>
  <sheetData>
    <row r="1" spans="2:13" ht="14.25" customHeight="1" x14ac:dyDescent="0.3"/>
    <row r="2" spans="2:13" ht="14.25" customHeight="1" x14ac:dyDescent="0.3">
      <c r="C2" s="10" t="s">
        <v>26</v>
      </c>
    </row>
    <row r="3" spans="2:13" ht="14.25" customHeight="1" x14ac:dyDescent="0.3">
      <c r="C3" s="11" t="s">
        <v>0</v>
      </c>
      <c r="D3" s="9" t="s">
        <v>31</v>
      </c>
      <c r="E3" s="9" t="s">
        <v>30</v>
      </c>
      <c r="H3" s="11" t="s">
        <v>27</v>
      </c>
      <c r="L3" s="11" t="s">
        <v>1</v>
      </c>
    </row>
    <row r="4" spans="2:13" ht="14.25" customHeight="1" x14ac:dyDescent="0.3">
      <c r="C4" s="12" t="s">
        <v>28</v>
      </c>
      <c r="D4" s="13">
        <v>30</v>
      </c>
      <c r="E4" s="14"/>
      <c r="H4" s="15" t="s">
        <v>2</v>
      </c>
      <c r="I4" s="16">
        <f>D16*D20/D4</f>
        <v>0</v>
      </c>
      <c r="J4" s="17">
        <f t="shared" ref="J4:J13" si="0">I4/$I$13</f>
        <v>0</v>
      </c>
      <c r="L4" s="15" t="s">
        <v>3</v>
      </c>
      <c r="M4" s="18">
        <v>60</v>
      </c>
    </row>
    <row r="5" spans="2:13" ht="14.25" customHeight="1" x14ac:dyDescent="0.3">
      <c r="C5" s="12" t="s">
        <v>8</v>
      </c>
      <c r="D5" s="19">
        <v>0</v>
      </c>
      <c r="E5" s="14"/>
      <c r="H5" s="15" t="s">
        <v>4</v>
      </c>
      <c r="I5" s="16">
        <f>D14/D4</f>
        <v>0</v>
      </c>
      <c r="J5" s="17">
        <f t="shared" si="0"/>
        <v>0</v>
      </c>
      <c r="L5" s="15" t="s">
        <v>5</v>
      </c>
      <c r="M5" s="20">
        <f>D4*(I13-I9)</f>
        <v>19500</v>
      </c>
    </row>
    <row r="6" spans="2:13" ht="14.25" customHeight="1" x14ac:dyDescent="0.3">
      <c r="C6" s="12" t="s">
        <v>11</v>
      </c>
      <c r="D6" s="21">
        <f>D4+(D4*D5)</f>
        <v>30</v>
      </c>
      <c r="E6" s="13">
        <v>15000</v>
      </c>
      <c r="G6" s="22">
        <v>300</v>
      </c>
      <c r="H6" s="15" t="s">
        <v>6</v>
      </c>
      <c r="I6" s="16">
        <f>G6*D6/D4</f>
        <v>300</v>
      </c>
      <c r="J6" s="17">
        <f t="shared" si="0"/>
        <v>0.46153846153846156</v>
      </c>
      <c r="L6" s="15" t="s">
        <v>7</v>
      </c>
      <c r="M6" s="20">
        <f>M5*12</f>
        <v>234000</v>
      </c>
    </row>
    <row r="7" spans="2:13" ht="14.25" customHeight="1" x14ac:dyDescent="0.3">
      <c r="C7" s="12" t="s">
        <v>29</v>
      </c>
      <c r="D7" s="23">
        <f>D6</f>
        <v>30</v>
      </c>
      <c r="E7" s="13">
        <v>0</v>
      </c>
      <c r="H7" s="15" t="s">
        <v>9</v>
      </c>
      <c r="I7" s="24">
        <v>100</v>
      </c>
      <c r="J7" s="17">
        <f t="shared" si="0"/>
        <v>0.15384615384615385</v>
      </c>
      <c r="L7" s="15" t="s">
        <v>10</v>
      </c>
      <c r="M7" s="20">
        <f>M5*M4</f>
        <v>1170000</v>
      </c>
    </row>
    <row r="8" spans="2:13" ht="14.25" customHeight="1" x14ac:dyDescent="0.3">
      <c r="H8" s="15" t="s">
        <v>37</v>
      </c>
      <c r="I8" s="25">
        <v>0</v>
      </c>
      <c r="J8" s="17">
        <f t="shared" si="0"/>
        <v>0</v>
      </c>
    </row>
    <row r="9" spans="2:13" ht="14.25" customHeight="1" x14ac:dyDescent="0.3">
      <c r="B9" s="100" t="s">
        <v>4</v>
      </c>
      <c r="C9" s="26" t="s">
        <v>12</v>
      </c>
      <c r="D9" s="22">
        <v>0</v>
      </c>
      <c r="E9" s="22">
        <v>15000</v>
      </c>
      <c r="H9" s="27" t="s">
        <v>13</v>
      </c>
      <c r="I9" s="28">
        <v>0</v>
      </c>
      <c r="J9" s="17">
        <f t="shared" si="0"/>
        <v>0</v>
      </c>
    </row>
    <row r="10" spans="2:13" ht="14.25" customHeight="1" x14ac:dyDescent="0.3">
      <c r="B10" s="100"/>
      <c r="C10" s="26" t="s">
        <v>32</v>
      </c>
      <c r="D10" s="22">
        <v>0</v>
      </c>
      <c r="E10" s="22">
        <v>18000</v>
      </c>
      <c r="H10" s="12" t="s">
        <v>14</v>
      </c>
      <c r="I10" s="18">
        <v>0</v>
      </c>
      <c r="J10" s="17">
        <f t="shared" si="0"/>
        <v>0</v>
      </c>
    </row>
    <row r="11" spans="2:13" ht="14.25" customHeight="1" x14ac:dyDescent="0.3">
      <c r="B11" s="100"/>
      <c r="C11" s="26" t="s">
        <v>15</v>
      </c>
      <c r="D11" s="22">
        <v>0</v>
      </c>
      <c r="E11" s="22">
        <v>18000</v>
      </c>
      <c r="H11" s="12" t="s">
        <v>16</v>
      </c>
      <c r="I11" s="18">
        <v>100</v>
      </c>
      <c r="J11" s="17">
        <f t="shared" si="0"/>
        <v>0.15384615384615385</v>
      </c>
    </row>
    <row r="12" spans="2:13" ht="14.25" customHeight="1" x14ac:dyDescent="0.3">
      <c r="B12" s="100"/>
      <c r="C12" s="26" t="s">
        <v>17</v>
      </c>
      <c r="D12" s="22">
        <v>0</v>
      </c>
      <c r="E12" s="22">
        <v>25000</v>
      </c>
      <c r="H12" s="12" t="s">
        <v>18</v>
      </c>
      <c r="I12" s="18">
        <v>150</v>
      </c>
      <c r="J12" s="17">
        <f t="shared" si="0"/>
        <v>0.23076923076923078</v>
      </c>
    </row>
    <row r="13" spans="2:13" ht="14.25" customHeight="1" x14ac:dyDescent="0.3">
      <c r="B13" s="100"/>
      <c r="C13" s="29" t="s">
        <v>19</v>
      </c>
      <c r="D13" s="30">
        <v>0</v>
      </c>
      <c r="E13" s="30">
        <v>35000</v>
      </c>
      <c r="H13" s="12" t="s">
        <v>20</v>
      </c>
      <c r="I13" s="31">
        <f>SUM(I4:I12)</f>
        <v>650</v>
      </c>
      <c r="J13" s="17">
        <f t="shared" si="0"/>
        <v>1</v>
      </c>
      <c r="L13" s="32"/>
    </row>
    <row r="14" spans="2:13" ht="14.25" customHeight="1" x14ac:dyDescent="0.3">
      <c r="B14" s="101"/>
      <c r="C14" s="12" t="s">
        <v>24</v>
      </c>
      <c r="D14" s="12">
        <f>SUMPRODUCT(D9:D13,E9:E13)</f>
        <v>0</v>
      </c>
      <c r="E14" s="14"/>
      <c r="H14" s="12" t="s">
        <v>25</v>
      </c>
      <c r="I14" s="31">
        <f>D18/(I16+I4*D4)</f>
        <v>0</v>
      </c>
    </row>
    <row r="15" spans="2:13" ht="14.25" customHeight="1" x14ac:dyDescent="0.3">
      <c r="B15" s="101" t="s">
        <v>33</v>
      </c>
      <c r="C15" s="12" t="s">
        <v>21</v>
      </c>
      <c r="D15" s="12">
        <f>D13+D12+D10+D11</f>
        <v>0</v>
      </c>
      <c r="E15" s="33">
        <v>20000</v>
      </c>
      <c r="H15" s="12" t="s">
        <v>18</v>
      </c>
      <c r="I15" s="12">
        <f>I12*D4</f>
        <v>4500</v>
      </c>
      <c r="J15" s="17"/>
    </row>
    <row r="16" spans="2:13" ht="14.25" customHeight="1" x14ac:dyDescent="0.3">
      <c r="B16" s="101"/>
      <c r="C16" s="12" t="s">
        <v>39</v>
      </c>
      <c r="D16" s="12">
        <f>D15*E15</f>
        <v>0</v>
      </c>
      <c r="E16" s="34"/>
      <c r="G16" s="9" t="s">
        <v>22</v>
      </c>
      <c r="H16" s="12" t="s">
        <v>23</v>
      </c>
      <c r="I16" s="12">
        <f>(I11+I12)*D4</f>
        <v>7500</v>
      </c>
    </row>
    <row r="17" spans="3:6" ht="14.25" customHeight="1" x14ac:dyDescent="0.3">
      <c r="C17" s="35" t="s">
        <v>34</v>
      </c>
      <c r="D17" s="36">
        <v>0</v>
      </c>
      <c r="E17" s="37" t="s">
        <v>38</v>
      </c>
    </row>
    <row r="18" spans="3:6" ht="14.25" customHeight="1" x14ac:dyDescent="0.3">
      <c r="C18" s="12" t="s">
        <v>35</v>
      </c>
      <c r="D18" s="23">
        <f>D16/(1-D17)</f>
        <v>0</v>
      </c>
      <c r="E18" s="14"/>
    </row>
    <row r="19" spans="3:6" ht="14.25" customHeight="1" x14ac:dyDescent="0.3">
      <c r="C19" s="12" t="s">
        <v>40</v>
      </c>
      <c r="D19" s="38">
        <v>18</v>
      </c>
      <c r="E19" s="34"/>
    </row>
    <row r="20" spans="3:6" ht="14.25" customHeight="1" x14ac:dyDescent="0.3">
      <c r="C20" s="12" t="s">
        <v>36</v>
      </c>
      <c r="D20" s="39">
        <f>IFERROR((D18/D19)/D18,1)</f>
        <v>1</v>
      </c>
      <c r="E20" s="39"/>
      <c r="F20" s="40"/>
    </row>
    <row r="21" spans="3:6" ht="14.25" customHeight="1" x14ac:dyDescent="0.3">
      <c r="F21" s="41"/>
    </row>
    <row r="22" spans="3:6" ht="14.25" customHeight="1" x14ac:dyDescent="0.3">
      <c r="C22" s="42"/>
    </row>
    <row r="23" spans="3:6" ht="14.25" customHeight="1" x14ac:dyDescent="0.3"/>
    <row r="24" spans="3:6" ht="14.25" customHeight="1" x14ac:dyDescent="0.3"/>
    <row r="25" spans="3:6" ht="14.25" customHeight="1" x14ac:dyDescent="0.3"/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</sheetData>
  <mergeCells count="2">
    <mergeCell ref="B9:B14"/>
    <mergeCell ref="B15:B16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3761-8447-4C7D-A9F4-44F8F1A3B39B}">
  <dimension ref="G8:K14"/>
  <sheetViews>
    <sheetView workbookViewId="0">
      <selection activeCell="M14" sqref="M14"/>
    </sheetView>
  </sheetViews>
  <sheetFormatPr defaultRowHeight="14.4" x14ac:dyDescent="0.3"/>
  <cols>
    <col min="6" max="6" width="8.77734375" customWidth="1"/>
    <col min="7" max="7" width="2.21875" hidden="1" customWidth="1"/>
    <col min="8" max="8" width="23.44140625" customWidth="1"/>
    <col min="9" max="9" width="14.109375" customWidth="1"/>
    <col min="10" max="10" width="15.21875" bestFit="1" customWidth="1"/>
    <col min="11" max="11" width="17.88671875" customWidth="1"/>
  </cols>
  <sheetData>
    <row r="8" spans="8:11" x14ac:dyDescent="0.3">
      <c r="H8" s="1" t="s">
        <v>48</v>
      </c>
      <c r="I8" s="1" t="s">
        <v>41</v>
      </c>
      <c r="J8" s="1" t="s">
        <v>45</v>
      </c>
      <c r="K8" s="1" t="s">
        <v>42</v>
      </c>
    </row>
    <row r="9" spans="8:11" x14ac:dyDescent="0.3">
      <c r="H9" s="1" t="s">
        <v>46</v>
      </c>
      <c r="I9">
        <v>31700</v>
      </c>
      <c r="J9">
        <v>600</v>
      </c>
      <c r="K9">
        <v>2100</v>
      </c>
    </row>
    <row r="10" spans="8:11" x14ac:dyDescent="0.3">
      <c r="H10" s="1" t="s">
        <v>47</v>
      </c>
      <c r="I10">
        <v>42300</v>
      </c>
      <c r="J10">
        <v>650</v>
      </c>
      <c r="K10">
        <v>2600</v>
      </c>
    </row>
    <row r="11" spans="8:11" x14ac:dyDescent="0.3">
      <c r="H11" s="1" t="s">
        <v>43</v>
      </c>
      <c r="K11">
        <v>900</v>
      </c>
    </row>
    <row r="12" spans="8:11" x14ac:dyDescent="0.3">
      <c r="H12" s="1" t="s">
        <v>44</v>
      </c>
      <c r="K12">
        <v>1250</v>
      </c>
    </row>
    <row r="14" spans="8:11" x14ac:dyDescent="0.3">
      <c r="H14" s="102" t="s">
        <v>49</v>
      </c>
      <c r="I14" s="102"/>
      <c r="J14" s="102"/>
      <c r="K14" s="102"/>
    </row>
  </sheetData>
  <mergeCells count="1">
    <mergeCell ref="H14:K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Quotation</vt:lpstr>
      <vt:lpstr>Quote Nomeclature</vt:lpstr>
      <vt:lpstr>OPEX</vt:lpstr>
      <vt:lpstr>CAPEX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</dc:creator>
  <cp:lastModifiedBy>LENOVO</cp:lastModifiedBy>
  <cp:lastPrinted>2025-03-04T10:15:05Z</cp:lastPrinted>
  <dcterms:created xsi:type="dcterms:W3CDTF">2020-09-10T12:28:26Z</dcterms:created>
  <dcterms:modified xsi:type="dcterms:W3CDTF">2025-03-17T04:59:56Z</dcterms:modified>
</cp:coreProperties>
</file>