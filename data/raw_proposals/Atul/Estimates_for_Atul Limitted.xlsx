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b7209fdfd03392/Desktop/"/>
    </mc:Choice>
  </mc:AlternateContent>
  <xr:revisionPtr revIDLastSave="11" documentId="8_{FDDB2899-ABF6-40F7-B652-6AFBDB88097A}" xr6:coauthVersionLast="47" xr6:coauthVersionMax="47" xr10:uidLastSave="{BDFF4ED9-5362-4088-BF4D-52AAECA3C6CF}"/>
  <bookViews>
    <workbookView xWindow="-108" yWindow="-108" windowWidth="23256" windowHeight="12456" xr2:uid="{00000000-000D-0000-FFFF-FFFF00000000}"/>
  </bookViews>
  <sheets>
    <sheet name="Quotation " sheetId="8" r:id="rId1"/>
    <sheet name="Reverse Logistics-Plastic seal" sheetId="10" state="hidden" r:id="rId2"/>
    <sheet name="Reverse Logistics-Metal Seal" sheetId="11" state="hidden" r:id="rId3"/>
    <sheet name="Reverse Logistics" sheetId="14" r:id="rId4"/>
    <sheet name="Reverse logistics with port" sheetId="15" r:id="rId5"/>
    <sheet name="summary" sheetId="16" r:id="rId6"/>
    <sheet name="Trip count" sheetId="12" state="hidden" r:id="rId7"/>
    <sheet name="Reverse Logistics-Metal client" sheetId="13" state="hidden" r:id="rId8"/>
    <sheet name="Fixed Installations" sheetId="5" state="hidden" r:id="rId9"/>
    <sheet name="Trips details" sheetId="7" state="hidden" r:id="rId10"/>
    <sheet name="Notes" sheetId="6" state="hidden" r:id="rId11"/>
    <sheet name="Llyods" sheetId="9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8" l="1"/>
  <c r="H25" i="8"/>
  <c r="H23" i="8"/>
  <c r="H22" i="8"/>
  <c r="H21" i="8"/>
  <c r="H20" i="8"/>
  <c r="E4" i="16"/>
  <c r="D9" i="14"/>
  <c r="D9" i="15"/>
  <c r="H16" i="15"/>
  <c r="H15" i="15"/>
  <c r="D14" i="15"/>
  <c r="D16" i="15"/>
  <c r="H6" i="15" s="1"/>
  <c r="D6" i="15"/>
  <c r="D8" i="15" s="1"/>
  <c r="H7" i="15" s="1"/>
  <c r="D14" i="14"/>
  <c r="H9" i="13"/>
  <c r="H9" i="11"/>
  <c r="H9" i="10"/>
  <c r="H16" i="14"/>
  <c r="H15" i="14"/>
  <c r="D16" i="14"/>
  <c r="H6" i="14" s="1"/>
  <c r="D6" i="14"/>
  <c r="D8" i="14" s="1"/>
  <c r="H16" i="13"/>
  <c r="D16" i="13"/>
  <c r="H15" i="13"/>
  <c r="H6" i="13"/>
  <c r="D6" i="13"/>
  <c r="D8" i="13" s="1"/>
  <c r="D9" i="10"/>
  <c r="D3" i="12"/>
  <c r="E3" i="12" s="1"/>
  <c r="D4" i="12"/>
  <c r="E4" i="12" s="1"/>
  <c r="D6" i="12"/>
  <c r="E6" i="12" s="1"/>
  <c r="D7" i="12"/>
  <c r="E7" i="12" s="1"/>
  <c r="D5" i="12"/>
  <c r="E5" i="12" s="1"/>
  <c r="D8" i="12"/>
  <c r="E8" i="12" s="1"/>
  <c r="D2" i="12"/>
  <c r="E2" i="12" s="1"/>
  <c r="D15" i="15" l="1"/>
  <c r="H7" i="14"/>
  <c r="D15" i="14"/>
  <c r="H7" i="13"/>
  <c r="D15" i="13"/>
  <c r="H16" i="11"/>
  <c r="D16" i="11"/>
  <c r="H15" i="11"/>
  <c r="H6" i="11"/>
  <c r="D6" i="11"/>
  <c r="D8" i="11" s="1"/>
  <c r="H7" i="11" s="1"/>
  <c r="H16" i="10"/>
  <c r="D16" i="10"/>
  <c r="H6" i="10" s="1"/>
  <c r="H15" i="10"/>
  <c r="D6" i="10"/>
  <c r="D8" i="10" s="1"/>
  <c r="D23" i="9"/>
  <c r="G22" i="9"/>
  <c r="F22" i="9"/>
  <c r="H16" i="9"/>
  <c r="D16" i="9"/>
  <c r="H6" i="9" s="1"/>
  <c r="H15" i="9"/>
  <c r="D6" i="9"/>
  <c r="D8" i="9" s="1"/>
  <c r="H19" i="7"/>
  <c r="L9" i="7"/>
  <c r="L8" i="7"/>
  <c r="L7" i="7"/>
  <c r="L5" i="7"/>
  <c r="K9" i="7"/>
  <c r="H5" i="8"/>
  <c r="H5" i="15" l="1"/>
  <c r="H4" i="15"/>
  <c r="H5" i="14"/>
  <c r="H4" i="14"/>
  <c r="H17" i="14" s="1"/>
  <c r="H5" i="13"/>
  <c r="H4" i="13"/>
  <c r="D15" i="11"/>
  <c r="D15" i="10"/>
  <c r="H7" i="10"/>
  <c r="H7" i="9"/>
  <c r="D15" i="9"/>
  <c r="H14" i="15" l="1"/>
  <c r="E3" i="16" s="1"/>
  <c r="H17" i="15"/>
  <c r="H14" i="14"/>
  <c r="H14" i="13"/>
  <c r="I4" i="13" s="1"/>
  <c r="I5" i="13"/>
  <c r="H17" i="13"/>
  <c r="H5" i="11"/>
  <c r="H4" i="11"/>
  <c r="H5" i="10"/>
  <c r="H4" i="10"/>
  <c r="H5" i="9"/>
  <c r="H4" i="9"/>
  <c r="F16" i="7"/>
  <c r="C16" i="7"/>
  <c r="D15" i="7"/>
  <c r="E15" i="7" s="1"/>
  <c r="G15" i="7" s="1"/>
  <c r="D14" i="7"/>
  <c r="E14" i="7" s="1"/>
  <c r="G14" i="7" s="1"/>
  <c r="D13" i="7"/>
  <c r="E13" i="7" s="1"/>
  <c r="G13" i="7" s="1"/>
  <c r="D12" i="7"/>
  <c r="E12" i="7" s="1"/>
  <c r="G12" i="7" s="1"/>
  <c r="D11" i="7"/>
  <c r="E11" i="7" s="1"/>
  <c r="G11" i="7" s="1"/>
  <c r="D10" i="7"/>
  <c r="E10" i="7" s="1"/>
  <c r="G10" i="7" s="1"/>
  <c r="D9" i="7"/>
  <c r="E9" i="7" s="1"/>
  <c r="G9" i="7" s="1"/>
  <c r="D8" i="7"/>
  <c r="E8" i="7" s="1"/>
  <c r="G8" i="7" s="1"/>
  <c r="D7" i="7"/>
  <c r="E7" i="7" s="1"/>
  <c r="G7" i="7" s="1"/>
  <c r="D6" i="7"/>
  <c r="E6" i="7" s="1"/>
  <c r="G6" i="7" s="1"/>
  <c r="D5" i="7"/>
  <c r="E5" i="7" s="1"/>
  <c r="G5" i="7" s="1"/>
  <c r="E4" i="7"/>
  <c r="D4" i="7"/>
  <c r="I5" i="14" l="1"/>
  <c r="E2" i="16"/>
  <c r="I13" i="15"/>
  <c r="I11" i="15"/>
  <c r="I10" i="15"/>
  <c r="L5" i="15"/>
  <c r="I12" i="15"/>
  <c r="I9" i="15"/>
  <c r="I8" i="15"/>
  <c r="I14" i="15"/>
  <c r="I6" i="15"/>
  <c r="I7" i="15"/>
  <c r="I5" i="15"/>
  <c r="I4" i="15"/>
  <c r="I12" i="14"/>
  <c r="I8" i="14"/>
  <c r="I11" i="14"/>
  <c r="I10" i="14"/>
  <c r="I13" i="14"/>
  <c r="L5" i="14"/>
  <c r="I14" i="14"/>
  <c r="I9" i="14"/>
  <c r="I6" i="14"/>
  <c r="I7" i="14"/>
  <c r="I4" i="14"/>
  <c r="I12" i="13"/>
  <c r="I11" i="13"/>
  <c r="I10" i="13"/>
  <c r="I8" i="13"/>
  <c r="I14" i="13"/>
  <c r="L5" i="13"/>
  <c r="I13" i="13"/>
  <c r="I6" i="13"/>
  <c r="I9" i="13"/>
  <c r="I7" i="13"/>
  <c r="H14" i="11"/>
  <c r="I5" i="11" s="1"/>
  <c r="H17" i="11"/>
  <c r="H14" i="10"/>
  <c r="I4" i="10" s="1"/>
  <c r="H17" i="10"/>
  <c r="H14" i="9"/>
  <c r="I4" i="9" s="1"/>
  <c r="H17" i="9"/>
  <c r="E16" i="7"/>
  <c r="D16" i="7"/>
  <c r="G4" i="7"/>
  <c r="G16" i="7" s="1"/>
  <c r="L7" i="15" l="1"/>
  <c r="L6" i="15"/>
  <c r="L7" i="14"/>
  <c r="L6" i="14"/>
  <c r="L7" i="13"/>
  <c r="L6" i="13"/>
  <c r="I12" i="11"/>
  <c r="I8" i="11"/>
  <c r="I11" i="11"/>
  <c r="I10" i="11"/>
  <c r="I14" i="11"/>
  <c r="L5" i="11"/>
  <c r="I13" i="11"/>
  <c r="I6" i="11"/>
  <c r="I7" i="11"/>
  <c r="I9" i="11"/>
  <c r="I4" i="11"/>
  <c r="I5" i="10"/>
  <c r="I12" i="10"/>
  <c r="I11" i="10"/>
  <c r="I10" i="10"/>
  <c r="I9" i="10"/>
  <c r="I14" i="10"/>
  <c r="I8" i="10"/>
  <c r="L5" i="10"/>
  <c r="I13" i="10"/>
  <c r="I6" i="10"/>
  <c r="I7" i="10"/>
  <c r="I14" i="9"/>
  <c r="L5" i="9"/>
  <c r="I10" i="9"/>
  <c r="I9" i="9"/>
  <c r="I8" i="9"/>
  <c r="I13" i="9"/>
  <c r="I12" i="9"/>
  <c r="I11" i="9"/>
  <c r="I6" i="9"/>
  <c r="I7" i="9"/>
  <c r="I5" i="9"/>
  <c r="O14" i="5"/>
  <c r="O15" i="5"/>
  <c r="O13" i="5"/>
  <c r="D14" i="5"/>
  <c r="D16" i="5"/>
  <c r="H6" i="5" s="1"/>
  <c r="H16" i="5"/>
  <c r="H15" i="5"/>
  <c r="D8" i="5"/>
  <c r="L6" i="11" l="1"/>
  <c r="L7" i="11"/>
  <c r="L6" i="10"/>
  <c r="L7" i="10"/>
  <c r="L7" i="9"/>
  <c r="L6" i="9"/>
  <c r="H7" i="5"/>
  <c r="D15" i="5"/>
  <c r="H4" i="5" l="1"/>
  <c r="H17" i="5" s="1"/>
  <c r="H5" i="5"/>
  <c r="H14" i="5" l="1"/>
  <c r="H20" i="5" s="1"/>
  <c r="I5" i="5" l="1"/>
  <c r="L5" i="5"/>
  <c r="I11" i="5"/>
  <c r="I10" i="5"/>
  <c r="I8" i="5"/>
  <c r="I12" i="5"/>
  <c r="I9" i="5"/>
  <c r="I13" i="5"/>
  <c r="I14" i="5"/>
  <c r="I7" i="5"/>
  <c r="I6" i="5"/>
  <c r="I4" i="5"/>
  <c r="L7" i="5" l="1"/>
  <c r="L6" i="5"/>
</calcChain>
</file>

<file path=xl/sharedStrings.xml><?xml version="1.0" encoding="utf-8"?>
<sst xmlns="http://schemas.openxmlformats.org/spreadsheetml/2006/main" count="417" uniqueCount="156">
  <si>
    <t>TCV</t>
  </si>
  <si>
    <t>Trips Per Month</t>
  </si>
  <si>
    <t>Standard Model (Per Trip RL)</t>
  </si>
  <si>
    <t>Device Rotation Days</t>
  </si>
  <si>
    <t>Device Quantity</t>
  </si>
  <si>
    <t>Buffer Inventory</t>
  </si>
  <si>
    <t>Trips/Device/Month</t>
  </si>
  <si>
    <t>Control Tower Executives</t>
  </si>
  <si>
    <t>Field Technicians</t>
  </si>
  <si>
    <t>Project Manager</t>
  </si>
  <si>
    <t>Customer Success</t>
  </si>
  <si>
    <t>Laptops</t>
  </si>
  <si>
    <t>Total Capital (Assets)</t>
  </si>
  <si>
    <t>Monthly Manpower</t>
  </si>
  <si>
    <t>Per Trip Costings</t>
  </si>
  <si>
    <t>Capital</t>
  </si>
  <si>
    <t>Manpower</t>
  </si>
  <si>
    <t>SIM</t>
  </si>
  <si>
    <t>Consumables</t>
  </si>
  <si>
    <t>Server+License</t>
  </si>
  <si>
    <t>Net Quote</t>
  </si>
  <si>
    <t>RL Executives</t>
  </si>
  <si>
    <t>RL Courier Exp</t>
  </si>
  <si>
    <t>Man+Dev Cost</t>
  </si>
  <si>
    <t>Inputs</t>
  </si>
  <si>
    <t>Cash Gen (Ops)</t>
  </si>
  <si>
    <t>Net Margin</t>
  </si>
  <si>
    <t>Months Capital Offset</t>
  </si>
  <si>
    <t>Penalties</t>
  </si>
  <si>
    <t>Duration (Months)</t>
  </si>
  <si>
    <t>Monthly CV</t>
  </si>
  <si>
    <t>Annual CV</t>
  </si>
  <si>
    <t>Commercial Values</t>
  </si>
  <si>
    <t>Vehicles</t>
  </si>
  <si>
    <t>Per Month Costings</t>
  </si>
  <si>
    <t>Standard Model (Per Vehicle Per Month)</t>
  </si>
  <si>
    <t>Contant(Not to be change)</t>
  </si>
  <si>
    <t>Sealing Business: 1. ~200 trucks sealed per day (24X7 operations). 2. Each sealing takes 5-8 minutes. Total of 12 seals per Truck. 2 people seal 1 truck 3. After every sealing 3 images of the truck are sent on the whatsapp group to HO. HO approves and then vehicle can leave. 3. Currently 32 technicials (Salary ~12-13k) and 8 Supervisors (25k CTC)..1 supervisor is overall incharge 4. Hiring of technicials is done through Newspaper / Local Consultancy or Supervisors 5. They have taken a parking space on rent (50k-1 lacs annual) + Rs. 10 per vehicle entry 6. Consumables at port: Seals, Tape, RFID Scanner (should be barcode scanner) 7. Staff had an instance of Strike which was resolved later on 8. Total 3 companies have sealing working in Gandhidham - UTCL, Zinc (HZL), Nuvoco 9. Nuvoco has started using a new sealing type (Wiring Sealing) which is more effective in preventing theft Other Business at Gandhidham: 1. 2 CS folks manage ...~55-60 customers and 2500 vehicles 2. 3 sales staff 3. Offer eLock, Fuel Sensor and AIS-140 (biggest customer Deepak Chemicals... 5100+GST..BSNL Cerififcation 250 extra) to transporters 4. Reverse logistics of Adani-Wilmar</t>
  </si>
  <si>
    <t>Sealing a truck takes 15 minutes for a person</t>
  </si>
  <si>
    <t>Parking Space for 50k - 1 Lac + 10 rs per vehicle</t>
  </si>
  <si>
    <t>Dep</t>
  </si>
  <si>
    <t>Int</t>
  </si>
  <si>
    <t>Interest</t>
  </si>
  <si>
    <t xml:space="preserve">Concox </t>
  </si>
  <si>
    <t xml:space="preserve">Howen </t>
  </si>
  <si>
    <t>Streamax</t>
  </si>
  <si>
    <t>Month</t>
  </si>
  <si>
    <t>Qty in KMT</t>
  </si>
  <si>
    <t>Qty in Ton</t>
  </si>
  <si>
    <t>Truck ton</t>
  </si>
  <si>
    <t>JKLC Nos.</t>
  </si>
  <si>
    <t>Delta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</si>
  <si>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</si>
  <si>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</si>
  <si>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</si>
  <si>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</si>
  <si>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</si>
  <si>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</si>
  <si>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</si>
  <si>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</si>
  <si>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</si>
  <si>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</si>
  <si>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</si>
  <si>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</si>
  <si>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</si>
  <si>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Consumables+ margin</t>
  </si>
  <si>
    <t>Seal cost</t>
  </si>
  <si>
    <t>Seals/ truck</t>
  </si>
  <si>
    <t>Quotation</t>
  </si>
  <si>
    <r>
      <rPr>
        <b/>
        <sz val="10"/>
        <color theme="1"/>
        <rFont val="Arial"/>
        <family val="2"/>
      </rPr>
      <t xml:space="preserve">Address </t>
    </r>
    <r>
      <rPr>
        <sz val="10"/>
        <color theme="1"/>
        <rFont val="Arial"/>
        <family val="2"/>
      </rPr>
      <t>- Corporate HQ : 
Axestrack Software Solutions Pvt. Ltd., Office No.-19, 6th Floor, Jaipur Electronic Market, 
Near Riddhi Siddhi, Gopalpura bypass, Jaipur - 302018 , Rajasthan, India</t>
    </r>
  </si>
  <si>
    <t>GSTIN</t>
  </si>
  <si>
    <t>08AACCH0299P1Z1</t>
  </si>
  <si>
    <t>QUOTE #</t>
  </si>
  <si>
    <t>DATE</t>
  </si>
  <si>
    <t>MSME No</t>
  </si>
  <si>
    <t>UDYAM-RJ-17-0051921</t>
  </si>
  <si>
    <t>Contact</t>
  </si>
  <si>
    <t>Quote Validity : 15 days from submitted date</t>
  </si>
  <si>
    <t>Payment Terms : Monthly</t>
  </si>
  <si>
    <t>Phone</t>
  </si>
  <si>
    <t>Email Id</t>
  </si>
  <si>
    <t>CUSTOMER INFO</t>
  </si>
  <si>
    <t>Name</t>
  </si>
  <si>
    <t>Location</t>
  </si>
  <si>
    <t>DESCRIPTION OF WORK</t>
  </si>
  <si>
    <t>S.No.</t>
  </si>
  <si>
    <t>Items</t>
  </si>
  <si>
    <t>Per Trip</t>
  </si>
  <si>
    <t>Terms &amp; Conditions</t>
  </si>
  <si>
    <t>Thanks for business with Axestrack Software Solution Pvt. Ltd.</t>
  </si>
  <si>
    <t>Udaipur</t>
  </si>
  <si>
    <t>Sirohi</t>
  </si>
  <si>
    <t>Coal Tonn</t>
  </si>
  <si>
    <t>MT/Month</t>
  </si>
  <si>
    <t>truck ton</t>
  </si>
  <si>
    <t xml:space="preserve">Variance </t>
  </si>
  <si>
    <t>Total Trips</t>
  </si>
  <si>
    <t>Man Cost at Loading point/trip</t>
  </si>
  <si>
    <t>`</t>
  </si>
  <si>
    <t>Wired metal seal grade A</t>
  </si>
  <si>
    <t>JKLC/KS/241111</t>
  </si>
  <si>
    <t>Loading duration</t>
  </si>
  <si>
    <t>Loading points</t>
  </si>
  <si>
    <t>No. of trips per day</t>
  </si>
  <si>
    <t> No</t>
  </si>
  <si>
    <t>Mines</t>
  </si>
  <si>
    <t>Monthly qty</t>
  </si>
  <si>
    <t>Makardokra</t>
  </si>
  <si>
    <t>Gokul</t>
  </si>
  <si>
    <t>Niljay</t>
  </si>
  <si>
    <t>Sasti</t>
  </si>
  <si>
    <t>Gauri</t>
  </si>
  <si>
    <t>Mungoli</t>
  </si>
  <si>
    <t>Inder Kamptee</t>
  </si>
  <si>
    <t>Total trips</t>
  </si>
  <si>
    <t>Daily trips</t>
  </si>
  <si>
    <t>Half rate</t>
  </si>
  <si>
    <t>Resources</t>
  </si>
  <si>
    <t>Try for half rate</t>
  </si>
  <si>
    <t>Quote to client</t>
  </si>
  <si>
    <t>ePOD</t>
  </si>
  <si>
    <t>Operations at plant concidered for 2 shifts</t>
  </si>
  <si>
    <t>This quote does not include manpower for Control tower</t>
  </si>
  <si>
    <t>Manpower considered for port.</t>
  </si>
  <si>
    <t>This quote is only for valsad plant, monthly trips considered are 550,</t>
  </si>
  <si>
    <t>AVG. transit days considered as 5 days</t>
  </si>
  <si>
    <t>ATUL will assist for reverse logistics of gps from depots and port</t>
  </si>
  <si>
    <t>S.No</t>
  </si>
  <si>
    <t>Description</t>
  </si>
  <si>
    <t>UOM</t>
  </si>
  <si>
    <t>Price</t>
  </si>
  <si>
    <t>GPS Based Track and Trace</t>
  </si>
  <si>
    <t>GPS Based Track and Trace including tracking from the port</t>
  </si>
  <si>
    <t>Reverse Logistics Charges</t>
  </si>
  <si>
    <t>First Year Per Device</t>
  </si>
  <si>
    <t>Second Year Per Device</t>
  </si>
  <si>
    <t>Fixed GPS Non AIS 140(Capex Model)-Unlimited trip</t>
  </si>
  <si>
    <t>ATUL LIMITED</t>
  </si>
  <si>
    <t>Mumbai</t>
  </si>
  <si>
    <t>Model</t>
  </si>
  <si>
    <t>Opex</t>
  </si>
  <si>
    <t>Capex</t>
  </si>
  <si>
    <t>* This quotation is based on the reverse logistics model and assumes ATUL Limited’s support in facilitating the retrieval of GPS devices from depots and ports.</t>
  </si>
  <si>
    <t>Prem Singh Singhaniya</t>
  </si>
  <si>
    <t>+91 9004748848</t>
  </si>
  <si>
    <t>prem.singhaniya@axestrack.com</t>
  </si>
  <si>
    <t>This quote is only for valsad plant, monthly trips considered are 550</t>
  </si>
  <si>
    <t>price</t>
  </si>
  <si>
    <t>Capex model</t>
  </si>
  <si>
    <t>Opex Model - Per trip basis</t>
  </si>
  <si>
    <t>Per trip</t>
  </si>
  <si>
    <t>*</t>
  </si>
  <si>
    <t>ERP Integration</t>
  </si>
  <si>
    <t>ERP Integration Cost</t>
  </si>
  <si>
    <t>One Time</t>
  </si>
  <si>
    <r>
      <t xml:space="preserve">* All prices mentioned above are exclusive of GST, with taxes applied.
* </t>
    </r>
    <r>
      <rPr>
        <b/>
        <sz val="10"/>
        <color theme="1"/>
        <rFont val="Arial"/>
        <family val="2"/>
      </rPr>
      <t>Capex Model:</t>
    </r>
    <r>
      <rPr>
        <sz val="10"/>
        <color theme="1"/>
        <rFont val="Arial"/>
        <family val="2"/>
      </rPr>
      <t xml:space="preserve"> Device ownership remains with ATUL Limited, and standard hardware warranty applies as provided by the OEM.
* </t>
    </r>
    <r>
      <rPr>
        <b/>
        <sz val="10"/>
        <color theme="1"/>
        <rFont val="Arial"/>
        <family val="2"/>
      </rPr>
      <t xml:space="preserve">Opex Model: </t>
    </r>
    <r>
      <rPr>
        <sz val="10"/>
        <color theme="1"/>
        <rFont val="Arial"/>
        <family val="2"/>
      </rPr>
      <t xml:space="preserve">Device ownership remains with Axestrack. In case of theft and physical demage of devices during the transit and in custody of depo and port representatives, 1950+gst will be charged to ATUL Limited.
* This quote is only for the outbound and inbound trips for valsad plant.
* Manpower at the plant for gps installation is considered for 2 shifts
* This quote does not include Control tower manpower for real time intevention on non compliances.
* ATUL Limited will assist for reverse logistics of gps from depots and port
* contract period is for 3 years
* </t>
    </r>
    <r>
      <rPr>
        <b/>
        <sz val="10"/>
        <color theme="1"/>
        <rFont val="Arial"/>
        <family val="2"/>
      </rPr>
      <t>Payment Terms:</t>
    </r>
    <r>
      <rPr>
        <sz val="10"/>
        <color theme="1"/>
        <rFont val="Arial"/>
        <family val="2"/>
      </rPr>
      <t xml:space="preserve"> Payment invoices to be raised on a monthly basis for opex model and one time yearly basis(advance) for capex model. Bills to be validated with 7 days from the date of bill generations. In case of payment delay beyond 30 days, overdue charges at 1.5% per month will be applicable.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</si>
</sst>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[$-14009]dd\ mmmm\ yyyy;@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11"/>
      <color rgb="FFFF0000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4"/>
      <color theme="4"/>
      <name val="Arial"/>
      <family val="2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rgb="FFD4D4D4"/>
      </patternFill>
    </fill>
    <fill>
      <patternFill patternType="solid">
        <fgColor theme="2"/>
        <bgColor rgb="FFD4D4D4"/>
      </patternFill>
    </fill>
    <fill>
      <patternFill patternType="solid">
        <fgColor theme="4" tint="0.79998168889431442"/>
        <bgColor rgb="FFD4D4D4"/>
      </patternFill>
    </fill>
    <fill>
      <patternFill patternType="solid">
        <fgColor theme="4"/>
        <bgColor rgb="FFD4D4D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rgb="FFD4D4D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18" fillId="0" borderId="0" applyNumberFormat="0" applyFill="0" applyBorder="0" applyAlignment="0" applyProtection="0"/>
  </cellStyleXfs>
  <cellXfs count="122">
    <xf numFmtId="0" fontId="0" fillId="0" borderId="0" xfId="0"/>
    <xf numFmtId="9" fontId="3" fillId="0" borderId="0" xfId="1" applyFont="1"/>
    <xf numFmtId="0" fontId="4" fillId="0" borderId="0" xfId="0" applyFont="1"/>
    <xf numFmtId="0" fontId="0" fillId="2" borderId="1" xfId="0" applyFill="1" applyBorder="1"/>
    <xf numFmtId="9" fontId="0" fillId="2" borderId="1" xfId="0" applyNumberFormat="1" applyFill="1" applyBorder="1"/>
    <xf numFmtId="1" fontId="0" fillId="2" borderId="1" xfId="0" applyNumberFormat="1" applyFill="1" applyBorder="1"/>
    <xf numFmtId="0" fontId="0" fillId="3" borderId="1" xfId="0" applyFill="1" applyBorder="1"/>
    <xf numFmtId="166" fontId="0" fillId="3" borderId="1" xfId="0" applyNumberFormat="1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1" xfId="0" applyFill="1" applyBorder="1"/>
    <xf numFmtId="0" fontId="5" fillId="0" borderId="0" xfId="0" applyFont="1"/>
    <xf numFmtId="1" fontId="0" fillId="0" borderId="0" xfId="0" applyNumberFormat="1"/>
    <xf numFmtId="1" fontId="0" fillId="3" borderId="1" xfId="0" applyNumberFormat="1" applyFill="1" applyBorder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9" fontId="3" fillId="0" borderId="0" xfId="1" applyFont="1" applyBorder="1"/>
    <xf numFmtId="0" fontId="4" fillId="0" borderId="5" xfId="0" applyFont="1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3" borderId="9" xfId="0" applyFill="1" applyBorder="1"/>
    <xf numFmtId="0" fontId="0" fillId="3" borderId="8" xfId="0" applyFill="1" applyBorder="1"/>
    <xf numFmtId="0" fontId="0" fillId="4" borderId="8" xfId="0" applyFill="1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9" fontId="0" fillId="2" borderId="1" xfId="1" applyFont="1" applyFill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11" fillId="7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5" fillId="3" borderId="1" xfId="0" applyFont="1" applyFill="1" applyBorder="1"/>
    <xf numFmtId="0" fontId="15" fillId="3" borderId="1" xfId="0" applyFont="1" applyFill="1" applyBorder="1" applyAlignment="1">
      <alignment horizontal="center"/>
    </xf>
    <xf numFmtId="1" fontId="15" fillId="3" borderId="1" xfId="0" applyNumberFormat="1" applyFont="1" applyFill="1" applyBorder="1" applyAlignment="1">
      <alignment horizontal="center"/>
    </xf>
    <xf numFmtId="0" fontId="16" fillId="0" borderId="1" xfId="0" applyFont="1" applyBorder="1"/>
    <xf numFmtId="0" fontId="16" fillId="3" borderId="1" xfId="0" applyFont="1" applyFill="1" applyBorder="1"/>
    <xf numFmtId="0" fontId="6" fillId="2" borderId="1" xfId="0" applyFont="1" applyFill="1" applyBorder="1"/>
    <xf numFmtId="2" fontId="0" fillId="3" borderId="1" xfId="0" applyNumberFormat="1" applyFill="1" applyBorder="1"/>
    <xf numFmtId="0" fontId="17" fillId="5" borderId="15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vertical="center"/>
    </xf>
    <xf numFmtId="0" fontId="17" fillId="5" borderId="1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3" fontId="7" fillId="5" borderId="1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9" xfId="0" applyFont="1" applyBorder="1" applyAlignment="1">
      <alignment vertical="center" wrapText="1"/>
    </xf>
    <xf numFmtId="0" fontId="0" fillId="2" borderId="19" xfId="0" applyFill="1" applyBorder="1"/>
    <xf numFmtId="0" fontId="1" fillId="0" borderId="0" xfId="0" applyFont="1" applyAlignment="1">
      <alignment vertical="center" wrapText="1"/>
    </xf>
    <xf numFmtId="0" fontId="0" fillId="2" borderId="0" xfId="0" applyFill="1"/>
    <xf numFmtId="1" fontId="0" fillId="3" borderId="0" xfId="0" applyNumberFormat="1" applyFill="1"/>
    <xf numFmtId="9" fontId="0" fillId="2" borderId="0" xfId="1" applyFont="1" applyFill="1" applyBorder="1"/>
    <xf numFmtId="9" fontId="0" fillId="15" borderId="0" xfId="1" applyFont="1" applyFill="1" applyBorder="1"/>
    <xf numFmtId="2" fontId="0" fillId="0" borderId="1" xfId="0" applyNumberFormat="1" applyBorder="1"/>
    <xf numFmtId="0" fontId="0" fillId="16" borderId="1" xfId="0" applyFill="1" applyBorder="1"/>
    <xf numFmtId="0" fontId="0" fillId="16" borderId="0" xfId="0" applyFill="1"/>
    <xf numFmtId="1" fontId="13" fillId="0" borderId="1" xfId="2" applyNumberFormat="1" applyFont="1" applyFill="1" applyBorder="1" applyAlignment="1">
      <alignment horizontal="center" vertical="center" wrapText="1" readingOrder="1"/>
    </xf>
    <xf numFmtId="0" fontId="9" fillId="0" borderId="1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18" borderId="19" xfId="0" applyFont="1" applyFill="1" applyBorder="1" applyAlignment="1">
      <alignment horizontal="center" vertical="center" wrapText="1"/>
    </xf>
    <xf numFmtId="0" fontId="14" fillId="18" borderId="21" xfId="0" applyFont="1" applyFill="1" applyBorder="1" applyAlignment="1">
      <alignment horizontal="center" vertical="center" wrapText="1"/>
    </xf>
    <xf numFmtId="0" fontId="14" fillId="18" borderId="20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17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left" vertical="center"/>
    </xf>
    <xf numFmtId="0" fontId="18" fillId="0" borderId="1" xfId="4" applyBorder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1" borderId="19" xfId="0" applyFont="1" applyFill="1" applyBorder="1" applyAlignment="1">
      <alignment horizontal="center" vertical="center" wrapText="1"/>
    </xf>
    <xf numFmtId="0" fontId="14" fillId="11" borderId="21" xfId="0" applyFont="1" applyFill="1" applyBorder="1" applyAlignment="1">
      <alignment horizontal="center" vertical="center" wrapText="1"/>
    </xf>
    <xf numFmtId="0" fontId="14" fillId="11" borderId="20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top"/>
    </xf>
    <xf numFmtId="0" fontId="9" fillId="0" borderId="1" xfId="0" quotePrefix="1" applyFont="1" applyBorder="1" applyAlignment="1">
      <alignment horizontal="left" vertical="center" wrapText="1"/>
    </xf>
    <xf numFmtId="0" fontId="9" fillId="0" borderId="21" xfId="0" quotePrefix="1" applyFont="1" applyBorder="1" applyAlignment="1">
      <alignment horizontal="left" vertical="center" wrapText="1"/>
    </xf>
    <xf numFmtId="0" fontId="9" fillId="0" borderId="20" xfId="0" quotePrefix="1" applyFont="1" applyBorder="1" applyAlignment="1">
      <alignment horizontal="left" vertical="center" wrapText="1"/>
    </xf>
    <xf numFmtId="0" fontId="11" fillId="15" borderId="19" xfId="0" applyFont="1" applyFill="1" applyBorder="1" applyAlignment="1">
      <alignment horizontal="center" vertical="top"/>
    </xf>
    <xf numFmtId="0" fontId="11" fillId="15" borderId="21" xfId="0" applyFont="1" applyFill="1" applyBorder="1" applyAlignment="1">
      <alignment horizontal="center" vertical="top"/>
    </xf>
    <xf numFmtId="0" fontId="11" fillId="15" borderId="20" xfId="0" applyFont="1" applyFill="1" applyBorder="1" applyAlignment="1">
      <alignment horizontal="center" vertical="top"/>
    </xf>
    <xf numFmtId="0" fontId="11" fillId="19" borderId="19" xfId="0" applyFont="1" applyFill="1" applyBorder="1" applyAlignment="1">
      <alignment horizontal="center" vertical="center"/>
    </xf>
    <xf numFmtId="0" fontId="9" fillId="19" borderId="21" xfId="0" applyFont="1" applyFill="1" applyBorder="1" applyAlignment="1">
      <alignment horizontal="center" vertical="center"/>
    </xf>
    <xf numFmtId="0" fontId="9" fillId="19" borderId="20" xfId="0" applyFont="1" applyFill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 vertical="center"/>
    </xf>
    <xf numFmtId="0" fontId="8" fillId="6" borderId="3" xfId="3" applyFont="1" applyFill="1" applyBorder="1" applyAlignment="1">
      <alignment horizontal="center"/>
    </xf>
    <xf numFmtId="0" fontId="8" fillId="6" borderId="4" xfId="3" applyFont="1" applyFill="1" applyBorder="1" applyAlignment="1">
      <alignment horizontal="center"/>
    </xf>
    <xf numFmtId="0" fontId="8" fillId="6" borderId="6" xfId="3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14" borderId="0" xfId="0" applyFont="1" applyFill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</cellXfs>
  <cellStyles count="5">
    <cellStyle name="Comma" xfId="2" builtinId="3"/>
    <cellStyle name="Hyperlink" xfId="4" builtinId="8"/>
    <cellStyle name="Normal" xfId="0" builtinId="0"/>
    <cellStyle name="Normal 2" xfId="3" xr:uid="{68F6E7E9-3159-453E-B44A-781609F9AFD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565680</xdr:colOff>
      <xdr:row>1</xdr:row>
      <xdr:rowOff>18684</xdr:rowOff>
    </xdr:from>
    <xdr:to>
      <xdr:col>3</xdr:col>
      <xdr:colOff>1076864</xdr:colOff>
      <xdr:row>1</xdr:row>
      <xdr:rowOff>575625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59882-19A7-4622-88B6-2C2832A8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080" y="186324"/>
          <a:ext cx="2378084" cy="556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em.singhaniya@axestrac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F5D0-4713-46A7-9B22-DD9FDEC3015A}">
  <sheetPr>
    <tabColor theme="9"/>
  </sheetPr>
  <dimension ref="B2:H33"/>
  <sheetViews>
    <sheetView tabSelected="1" topLeftCell="A16" zoomScale="85" zoomScaleNormal="85" workbookViewId="0">
      <selection activeCell="K21" sqref="K21"/>
    </sheetView>
  </sheetViews>
  <sheetFormatPr defaultColWidth="8.88671875" defaultRowHeight="13.2"/>
  <cols>
    <col min="1" max="1" width="2.21875" style="36" customWidth="1"/>
    <col min="2" max="2" width="12.44140625" style="36" customWidth="1"/>
    <col min="3" max="3" width="14.77734375" style="42" customWidth="1"/>
    <col min="4" max="4" width="16.6640625" style="36" customWidth="1"/>
    <col min="5" max="5" width="47.21875" style="36" customWidth="1"/>
    <col min="6" max="6" width="7.33203125" style="36" customWidth="1"/>
    <col min="7" max="7" width="16.44140625" style="36" customWidth="1"/>
    <col min="8" max="8" width="32.21875" style="36" customWidth="1"/>
    <col min="9" max="16384" width="8.88671875" style="36"/>
  </cols>
  <sheetData>
    <row r="2" spans="2:8" ht="49.8" customHeight="1">
      <c r="B2" s="80"/>
      <c r="C2" s="80"/>
      <c r="D2" s="80"/>
      <c r="E2" s="81" t="s">
        <v>68</v>
      </c>
      <c r="F2" s="81"/>
      <c r="G2" s="81"/>
      <c r="H2" s="81"/>
    </row>
    <row r="3" spans="2:8" ht="42.6" customHeight="1">
      <c r="B3" s="82" t="s">
        <v>69</v>
      </c>
      <c r="C3" s="82"/>
      <c r="D3" s="82"/>
      <c r="E3" s="82"/>
      <c r="F3" s="82"/>
      <c r="G3" s="82"/>
      <c r="H3" s="82"/>
    </row>
    <row r="4" spans="2:8" ht="15" customHeight="1">
      <c r="B4" s="37" t="s">
        <v>70</v>
      </c>
      <c r="C4" s="83" t="s">
        <v>71</v>
      </c>
      <c r="D4" s="83"/>
      <c r="E4" s="84" t="s">
        <v>72</v>
      </c>
      <c r="F4" s="84"/>
      <c r="G4" s="84"/>
      <c r="H4" s="38" t="s">
        <v>73</v>
      </c>
    </row>
    <row r="5" spans="2:8" ht="15" customHeight="1">
      <c r="B5" s="37" t="s">
        <v>74</v>
      </c>
      <c r="C5" s="83" t="s">
        <v>75</v>
      </c>
      <c r="D5" s="83"/>
      <c r="E5" s="85" t="s">
        <v>100</v>
      </c>
      <c r="F5" s="85"/>
      <c r="G5" s="85"/>
      <c r="H5" s="39">
        <f ca="1">TODAY()</f>
        <v>45964</v>
      </c>
    </row>
    <row r="6" spans="2:8" ht="15" customHeight="1">
      <c r="B6" s="37" t="s">
        <v>76</v>
      </c>
      <c r="C6" s="86" t="s">
        <v>143</v>
      </c>
      <c r="D6" s="86"/>
      <c r="E6" s="87" t="s">
        <v>77</v>
      </c>
      <c r="F6" s="87"/>
      <c r="G6" s="87"/>
      <c r="H6" s="88" t="s">
        <v>78</v>
      </c>
    </row>
    <row r="7" spans="2:8" ht="15" customHeight="1">
      <c r="B7" s="37" t="s">
        <v>79</v>
      </c>
      <c r="C7" s="89" t="s">
        <v>144</v>
      </c>
      <c r="D7" s="86"/>
      <c r="E7" s="87"/>
      <c r="F7" s="87"/>
      <c r="G7" s="87"/>
      <c r="H7" s="88"/>
    </row>
    <row r="8" spans="2:8" ht="15" customHeight="1">
      <c r="B8" s="37" t="s">
        <v>80</v>
      </c>
      <c r="C8" s="90" t="s">
        <v>145</v>
      </c>
      <c r="D8" s="86"/>
      <c r="E8" s="87"/>
      <c r="F8" s="87"/>
      <c r="G8" s="87"/>
      <c r="H8" s="88"/>
    </row>
    <row r="9" spans="2:8" ht="6.6" customHeight="1">
      <c r="B9" s="80"/>
      <c r="C9" s="80"/>
      <c r="D9" s="80"/>
      <c r="E9" s="80"/>
      <c r="F9" s="80"/>
      <c r="G9" s="80"/>
      <c r="H9" s="80"/>
    </row>
    <row r="10" spans="2:8" ht="15" customHeight="1">
      <c r="B10" s="92" t="s">
        <v>81</v>
      </c>
      <c r="C10" s="92"/>
      <c r="D10" s="92"/>
      <c r="E10" s="92"/>
      <c r="F10" s="92"/>
      <c r="G10" s="92"/>
      <c r="H10" s="92"/>
    </row>
    <row r="11" spans="2:8" ht="15" customHeight="1">
      <c r="B11" s="40" t="s">
        <v>82</v>
      </c>
      <c r="C11" s="86" t="s">
        <v>137</v>
      </c>
      <c r="D11" s="86"/>
      <c r="E11" s="86"/>
      <c r="F11" s="86"/>
      <c r="G11" s="86"/>
      <c r="H11" s="86"/>
    </row>
    <row r="12" spans="2:8" ht="15" customHeight="1">
      <c r="B12" s="40" t="s">
        <v>83</v>
      </c>
      <c r="C12" s="86" t="s">
        <v>138</v>
      </c>
      <c r="D12" s="86"/>
      <c r="E12" s="86"/>
      <c r="F12" s="86"/>
      <c r="G12" s="86"/>
      <c r="H12" s="86"/>
    </row>
    <row r="13" spans="2:8" ht="15" customHeight="1">
      <c r="B13" s="40" t="s">
        <v>76</v>
      </c>
      <c r="C13" s="86"/>
      <c r="D13" s="86"/>
      <c r="E13" s="93" t="s">
        <v>79</v>
      </c>
      <c r="F13" s="93"/>
      <c r="G13" s="89"/>
      <c r="H13" s="86"/>
    </row>
    <row r="14" spans="2:8" ht="15" customHeight="1">
      <c r="B14" s="40" t="s">
        <v>80</v>
      </c>
      <c r="C14" s="86"/>
      <c r="D14" s="86"/>
      <c r="E14" s="86"/>
      <c r="F14" s="86"/>
      <c r="G14" s="86"/>
      <c r="H14" s="86"/>
    </row>
    <row r="15" spans="2:8" ht="6.6" customHeight="1">
      <c r="B15" s="80"/>
      <c r="C15" s="80"/>
      <c r="D15" s="80"/>
      <c r="E15" s="80"/>
      <c r="F15" s="80"/>
      <c r="G15" s="80"/>
      <c r="H15" s="80"/>
    </row>
    <row r="16" spans="2:8" ht="13.8" customHeight="1">
      <c r="B16" s="94" t="s">
        <v>84</v>
      </c>
      <c r="C16" s="94"/>
      <c r="D16" s="94"/>
      <c r="E16" s="94"/>
      <c r="F16" s="94"/>
      <c r="G16" s="94"/>
      <c r="H16" s="94"/>
    </row>
    <row r="17" spans="2:8" ht="44.4" customHeight="1">
      <c r="B17" s="95"/>
      <c r="C17" s="95"/>
      <c r="D17" s="95"/>
      <c r="E17" s="95"/>
      <c r="F17" s="95"/>
      <c r="G17" s="95"/>
      <c r="H17" s="95"/>
    </row>
    <row r="18" spans="2:8" s="42" customFormat="1" ht="21" customHeight="1">
      <c r="B18" s="41" t="s">
        <v>85</v>
      </c>
      <c r="C18" s="97" t="s">
        <v>86</v>
      </c>
      <c r="D18" s="98"/>
      <c r="E18" s="99"/>
      <c r="F18" s="96" t="s">
        <v>129</v>
      </c>
      <c r="G18" s="96"/>
      <c r="H18" s="41" t="s">
        <v>147</v>
      </c>
    </row>
    <row r="19" spans="2:8" s="42" customFormat="1" ht="15.6" customHeight="1">
      <c r="B19" s="74" t="s">
        <v>149</v>
      </c>
      <c r="C19" s="75"/>
      <c r="D19" s="75"/>
      <c r="E19" s="75"/>
      <c r="F19" s="75"/>
      <c r="G19" s="75"/>
      <c r="H19" s="76"/>
    </row>
    <row r="20" spans="2:8" ht="27" customHeight="1">
      <c r="B20" s="35">
        <v>1</v>
      </c>
      <c r="C20" s="77" t="s">
        <v>131</v>
      </c>
      <c r="D20" s="78"/>
      <c r="E20" s="79"/>
      <c r="F20" s="91" t="s">
        <v>150</v>
      </c>
      <c r="G20" s="91"/>
      <c r="H20" s="70">
        <f>summary!E2</f>
        <v>330.19090909090909</v>
      </c>
    </row>
    <row r="21" spans="2:8" ht="33" customHeight="1">
      <c r="B21" s="35">
        <v>2</v>
      </c>
      <c r="C21" s="77" t="s">
        <v>132</v>
      </c>
      <c r="D21" s="78"/>
      <c r="E21" s="79"/>
      <c r="F21" s="91" t="s">
        <v>150</v>
      </c>
      <c r="G21" s="91"/>
      <c r="H21" s="70">
        <f>summary!E3</f>
        <v>419.76666666666665</v>
      </c>
    </row>
    <row r="22" spans="2:8" ht="33" customHeight="1">
      <c r="B22" s="35">
        <v>3</v>
      </c>
      <c r="C22" s="77" t="s">
        <v>133</v>
      </c>
      <c r="D22" s="78"/>
      <c r="E22" s="79"/>
      <c r="F22" s="91" t="s">
        <v>150</v>
      </c>
      <c r="G22" s="91"/>
      <c r="H22" s="70">
        <f>summary!E4</f>
        <v>85</v>
      </c>
    </row>
    <row r="23" spans="2:8" ht="33" customHeight="1">
      <c r="B23" s="35">
        <v>4</v>
      </c>
      <c r="C23" s="71" t="s">
        <v>120</v>
      </c>
      <c r="D23" s="72"/>
      <c r="E23" s="73"/>
      <c r="F23" s="91" t="s">
        <v>150</v>
      </c>
      <c r="G23" s="91"/>
      <c r="H23" s="70">
        <f>summary!E5</f>
        <v>12</v>
      </c>
    </row>
    <row r="24" spans="2:8" ht="33" customHeight="1">
      <c r="B24" s="107" t="s">
        <v>148</v>
      </c>
      <c r="C24" s="108"/>
      <c r="D24" s="108"/>
      <c r="E24" s="108"/>
      <c r="F24" s="108"/>
      <c r="G24" s="108"/>
      <c r="H24" s="109"/>
    </row>
    <row r="25" spans="2:8" ht="33" customHeight="1">
      <c r="B25" s="35">
        <v>4</v>
      </c>
      <c r="C25" s="71" t="s">
        <v>136</v>
      </c>
      <c r="D25" s="72"/>
      <c r="E25" s="73"/>
      <c r="F25" s="110" t="s">
        <v>134</v>
      </c>
      <c r="G25" s="111"/>
      <c r="H25" s="70">
        <f>summary!E6</f>
        <v>2750</v>
      </c>
    </row>
    <row r="26" spans="2:8" ht="33" customHeight="1">
      <c r="B26" s="35">
        <v>5</v>
      </c>
      <c r="C26" s="77" t="s">
        <v>136</v>
      </c>
      <c r="D26" s="78"/>
      <c r="E26" s="79"/>
      <c r="F26" s="110" t="s">
        <v>135</v>
      </c>
      <c r="G26" s="111"/>
      <c r="H26" s="70">
        <f>summary!E7</f>
        <v>1800</v>
      </c>
    </row>
    <row r="27" spans="2:8" ht="18.600000000000001" customHeight="1">
      <c r="B27" s="120" t="s">
        <v>152</v>
      </c>
      <c r="C27" s="121"/>
      <c r="D27" s="121"/>
      <c r="E27" s="121"/>
      <c r="F27" s="121"/>
      <c r="G27" s="121"/>
      <c r="H27" s="121"/>
    </row>
    <row r="28" spans="2:8" ht="18.600000000000001" customHeight="1">
      <c r="B28" s="35">
        <v>1</v>
      </c>
      <c r="C28" s="71" t="s">
        <v>153</v>
      </c>
      <c r="D28" s="72"/>
      <c r="E28" s="73"/>
      <c r="F28" s="91" t="s">
        <v>154</v>
      </c>
      <c r="G28" s="91"/>
      <c r="H28" s="70">
        <v>100000</v>
      </c>
    </row>
    <row r="29" spans="2:8">
      <c r="B29" s="100" t="s">
        <v>88</v>
      </c>
      <c r="C29" s="100"/>
      <c r="D29" s="100"/>
      <c r="E29" s="100"/>
      <c r="F29" s="100"/>
      <c r="G29" s="100"/>
      <c r="H29" s="100"/>
    </row>
    <row r="30" spans="2:8" ht="163.19999999999999" customHeight="1">
      <c r="B30" s="101" t="s">
        <v>155</v>
      </c>
      <c r="C30" s="102"/>
      <c r="D30" s="102"/>
      <c r="E30" s="102"/>
      <c r="F30" s="102"/>
      <c r="G30" s="102"/>
      <c r="H30" s="103"/>
    </row>
    <row r="31" spans="2:8">
      <c r="B31" s="100" t="s">
        <v>151</v>
      </c>
      <c r="C31" s="100"/>
      <c r="D31" s="100"/>
      <c r="E31" s="100"/>
      <c r="F31" s="100"/>
      <c r="G31" s="100"/>
      <c r="H31" s="100"/>
    </row>
    <row r="32" spans="2:8">
      <c r="B32" s="104" t="s">
        <v>142</v>
      </c>
      <c r="C32" s="105"/>
      <c r="D32" s="105"/>
      <c r="E32" s="105"/>
      <c r="F32" s="105"/>
      <c r="G32" s="105"/>
      <c r="H32" s="106"/>
    </row>
    <row r="33" spans="2:8">
      <c r="B33" s="100" t="s">
        <v>89</v>
      </c>
      <c r="C33" s="100"/>
      <c r="D33" s="100"/>
      <c r="E33" s="100"/>
      <c r="F33" s="100"/>
      <c r="G33" s="100"/>
      <c r="H33" s="100"/>
    </row>
  </sheetData>
  <mergeCells count="47">
    <mergeCell ref="C28:E28"/>
    <mergeCell ref="F28:G28"/>
    <mergeCell ref="B29:H29"/>
    <mergeCell ref="B30:H30"/>
    <mergeCell ref="B33:H33"/>
    <mergeCell ref="F20:G20"/>
    <mergeCell ref="B27:H27"/>
    <mergeCell ref="B32:H32"/>
    <mergeCell ref="B31:H31"/>
    <mergeCell ref="F21:G21"/>
    <mergeCell ref="F23:G23"/>
    <mergeCell ref="B24:H24"/>
    <mergeCell ref="C20:E20"/>
    <mergeCell ref="C21:E21"/>
    <mergeCell ref="C26:E26"/>
    <mergeCell ref="F26:G26"/>
    <mergeCell ref="C25:E25"/>
    <mergeCell ref="F25:G25"/>
    <mergeCell ref="F22:G22"/>
    <mergeCell ref="B10:H10"/>
    <mergeCell ref="C11:H11"/>
    <mergeCell ref="C12:H12"/>
    <mergeCell ref="C13:D13"/>
    <mergeCell ref="E13:F13"/>
    <mergeCell ref="G13:H13"/>
    <mergeCell ref="C14:H14"/>
    <mergeCell ref="B15:H15"/>
    <mergeCell ref="B16:H16"/>
    <mergeCell ref="B17:H17"/>
    <mergeCell ref="F18:G18"/>
    <mergeCell ref="C18:E18"/>
    <mergeCell ref="C23:E23"/>
    <mergeCell ref="B19:H19"/>
    <mergeCell ref="C22:E22"/>
    <mergeCell ref="B9:H9"/>
    <mergeCell ref="B2:D2"/>
    <mergeCell ref="E2:H2"/>
    <mergeCell ref="B3:H3"/>
    <mergeCell ref="C4:D4"/>
    <mergeCell ref="E4:G4"/>
    <mergeCell ref="C5:D5"/>
    <mergeCell ref="E5:G5"/>
    <mergeCell ref="C6:D6"/>
    <mergeCell ref="E6:G8"/>
    <mergeCell ref="H6:H8"/>
    <mergeCell ref="C7:D7"/>
    <mergeCell ref="C8:D8"/>
  </mergeCells>
  <hyperlinks>
    <hyperlink ref="C8" r:id="rId1" xr:uid="{3DAECB5A-120B-405B-BDEA-6E0F7AC94E3F}"/>
  </hyperlinks>
  <pageMargins left="0.25" right="0.25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682B-36E3-4176-B580-045FF0925778}">
  <dimension ref="C1:M22"/>
  <sheetViews>
    <sheetView topLeftCell="A4" zoomScale="130" workbookViewId="0">
      <selection activeCell="H9" sqref="H9"/>
    </sheetView>
  </sheetViews>
  <sheetFormatPr defaultRowHeight="14.4"/>
  <cols>
    <col min="3" max="3" width="22.6640625" bestFit="1" customWidth="1"/>
    <col min="5" max="5" width="6.109375" customWidth="1"/>
    <col min="6" max="6" width="7.109375" customWidth="1"/>
    <col min="7" max="7" width="25" customWidth="1"/>
    <col min="8" max="8" width="11.44140625" customWidth="1"/>
    <col min="10" max="10" width="2.77734375" customWidth="1"/>
    <col min="11" max="11" width="16.44140625" bestFit="1" customWidth="1"/>
    <col min="13" max="13" width="16.44140625" customWidth="1"/>
  </cols>
  <sheetData>
    <row r="1" spans="3:13" ht="15" thickBot="1"/>
    <row r="2" spans="3:13">
      <c r="C2" s="112" t="s">
        <v>2</v>
      </c>
      <c r="D2" s="113"/>
      <c r="E2" s="113"/>
      <c r="F2" s="113"/>
      <c r="G2" s="113"/>
      <c r="H2" s="113"/>
      <c r="I2" s="113"/>
      <c r="J2" s="113"/>
      <c r="K2" s="113"/>
      <c r="L2" s="114"/>
      <c r="M2" t="s">
        <v>103</v>
      </c>
    </row>
    <row r="3" spans="3:13">
      <c r="C3" s="20" t="s">
        <v>24</v>
      </c>
      <c r="G3" s="2" t="s">
        <v>14</v>
      </c>
      <c r="K3" s="2" t="s">
        <v>32</v>
      </c>
      <c r="L3" s="21"/>
      <c r="M3" t="s">
        <v>102</v>
      </c>
    </row>
    <row r="4" spans="3:13">
      <c r="C4" s="22" t="s">
        <v>1</v>
      </c>
      <c r="D4" s="3">
        <v>650</v>
      </c>
      <c r="G4" s="6" t="s">
        <v>15</v>
      </c>
      <c r="H4" s="7">
        <f>D15*E15/D4</f>
        <v>5.52</v>
      </c>
      <c r="I4" s="19">
        <f t="shared" ref="I4:I14" si="0">H4/$H$14</f>
        <v>1.8535403498893196E-2</v>
      </c>
      <c r="K4" s="3" t="s">
        <v>29</v>
      </c>
      <c r="L4" s="23">
        <v>1</v>
      </c>
      <c r="M4" t="s">
        <v>101</v>
      </c>
    </row>
    <row r="5" spans="3:13">
      <c r="C5" s="22" t="s">
        <v>3</v>
      </c>
      <c r="D5" s="3">
        <v>3</v>
      </c>
      <c r="G5" s="6" t="s">
        <v>42</v>
      </c>
      <c r="H5" s="7">
        <f>D15*E16/D4</f>
        <v>1.38</v>
      </c>
      <c r="I5" s="19">
        <f t="shared" si="0"/>
        <v>4.6338508747232991E-3</v>
      </c>
      <c r="K5" s="6" t="s">
        <v>30</v>
      </c>
      <c r="L5" s="24">
        <f>D4*(H14-H10)</f>
        <v>193575.5</v>
      </c>
    </row>
    <row r="6" spans="3:13">
      <c r="C6" s="25" t="s">
        <v>6</v>
      </c>
      <c r="D6" s="7">
        <f>30/D5</f>
        <v>10</v>
      </c>
      <c r="G6" s="6" t="s">
        <v>16</v>
      </c>
      <c r="H6" s="7">
        <f>D16/D4</f>
        <v>161.53846153846155</v>
      </c>
      <c r="I6" s="19">
        <f t="shared" si="0"/>
        <v>0.54242401543583774</v>
      </c>
      <c r="K6" s="6" t="s">
        <v>31</v>
      </c>
      <c r="L6" s="24">
        <f>L5*12</f>
        <v>2322906</v>
      </c>
    </row>
    <row r="7" spans="3:13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4.37</v>
      </c>
      <c r="I7" s="19">
        <f t="shared" si="0"/>
        <v>1.4673861103290449E-2</v>
      </c>
      <c r="K7" s="6" t="s">
        <v>0</v>
      </c>
      <c r="L7" s="24">
        <f>L5*L4</f>
        <v>193575.5</v>
      </c>
    </row>
    <row r="8" spans="3:13">
      <c r="C8" s="22" t="s">
        <v>4</v>
      </c>
      <c r="D8" s="5">
        <f>D4/D6*(1+D7)</f>
        <v>74.75</v>
      </c>
      <c r="E8" s="3">
        <v>1200</v>
      </c>
      <c r="G8" s="6" t="s">
        <v>19</v>
      </c>
      <c r="H8" s="6">
        <v>5</v>
      </c>
      <c r="I8" s="19">
        <f t="shared" si="0"/>
        <v>1.6789314763490215E-2</v>
      </c>
      <c r="L8" s="21"/>
    </row>
    <row r="9" spans="3:13">
      <c r="C9" s="22" t="s">
        <v>8</v>
      </c>
      <c r="D9" s="3">
        <f>3+4</f>
        <v>7</v>
      </c>
      <c r="E9" s="3">
        <v>15000</v>
      </c>
      <c r="G9" s="3" t="s">
        <v>18</v>
      </c>
      <c r="H9" s="5">
        <f>10+(20*1.75)</f>
        <v>45</v>
      </c>
      <c r="I9" s="19">
        <f t="shared" si="0"/>
        <v>0.15110383287141194</v>
      </c>
      <c r="L9" s="21"/>
    </row>
    <row r="10" spans="3:13">
      <c r="C10" s="22" t="s">
        <v>7</v>
      </c>
      <c r="D10" s="48">
        <v>0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3">
      <c r="C11" s="22" t="s">
        <v>21</v>
      </c>
      <c r="D11" s="48">
        <v>0</v>
      </c>
      <c r="E11" s="3">
        <v>20000</v>
      </c>
      <c r="G11" s="3" t="s">
        <v>22</v>
      </c>
      <c r="H11" s="3">
        <v>25</v>
      </c>
      <c r="I11" s="19">
        <f t="shared" si="0"/>
        <v>8.3946573817451076E-2</v>
      </c>
      <c r="L11" s="21"/>
    </row>
    <row r="12" spans="3:13">
      <c r="C12" s="22" t="s">
        <v>10</v>
      </c>
      <c r="D12" s="48">
        <v>0</v>
      </c>
      <c r="E12" s="3">
        <v>40000</v>
      </c>
      <c r="G12" s="3" t="s">
        <v>97</v>
      </c>
      <c r="H12" s="3">
        <v>0</v>
      </c>
      <c r="I12" s="19">
        <f t="shared" si="0"/>
        <v>0</v>
      </c>
      <c r="L12" s="21"/>
    </row>
    <row r="13" spans="3:13">
      <c r="C13" s="22" t="s">
        <v>9</v>
      </c>
      <c r="D13" s="3">
        <v>0</v>
      </c>
      <c r="E13" s="3">
        <v>40000</v>
      </c>
      <c r="G13" s="8" t="s">
        <v>26</v>
      </c>
      <c r="H13" s="8">
        <v>50</v>
      </c>
      <c r="I13" s="19">
        <f t="shared" si="0"/>
        <v>0.16789314763490215</v>
      </c>
      <c r="L13" s="21"/>
    </row>
    <row r="14" spans="3:13">
      <c r="C14" s="26" t="s">
        <v>11</v>
      </c>
      <c r="D14" s="10">
        <v>0</v>
      </c>
      <c r="E14" s="3">
        <v>25000</v>
      </c>
      <c r="G14" s="6" t="s">
        <v>20</v>
      </c>
      <c r="H14" s="49">
        <f>SUM(H4:H13)</f>
        <v>297.80846153846153</v>
      </c>
      <c r="I14" s="19">
        <f t="shared" si="0"/>
        <v>1</v>
      </c>
      <c r="L14" s="21"/>
    </row>
    <row r="15" spans="3:13">
      <c r="C15" s="25" t="s">
        <v>12</v>
      </c>
      <c r="D15" s="6">
        <f>D8*E8+D14*E14</f>
        <v>89700</v>
      </c>
      <c r="E15" s="4">
        <v>0.04</v>
      </c>
      <c r="F15" t="s">
        <v>40</v>
      </c>
      <c r="G15" s="9" t="s">
        <v>26</v>
      </c>
      <c r="H15" s="6">
        <f>H13*D4</f>
        <v>32500</v>
      </c>
      <c r="I15" s="19"/>
      <c r="L15" s="21"/>
    </row>
    <row r="16" spans="3:13">
      <c r="C16" s="25" t="s">
        <v>13</v>
      </c>
      <c r="D16" s="6">
        <f>SUMPRODUCT(D9:D13,E9:E13)</f>
        <v>105000</v>
      </c>
      <c r="E16" s="4">
        <v>0.01</v>
      </c>
      <c r="F16" t="s">
        <v>41</v>
      </c>
      <c r="G16" s="6" t="s">
        <v>25</v>
      </c>
      <c r="H16" s="6">
        <f>(H12+H13)*D4</f>
        <v>32500</v>
      </c>
      <c r="L16" s="21"/>
    </row>
    <row r="17" spans="3:12">
      <c r="C17" s="27"/>
      <c r="G17" s="6" t="s">
        <v>27</v>
      </c>
      <c r="H17" s="7">
        <f>D15/(H16+H4*D4)</f>
        <v>2.4855907780979827</v>
      </c>
      <c r="L17" s="21"/>
    </row>
    <row r="18" spans="3:12" ht="15" thickBot="1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>
      <c r="G20" s="32"/>
      <c r="H20" s="12"/>
    </row>
    <row r="21" spans="3:12">
      <c r="C21" s="33"/>
      <c r="D21" s="33"/>
      <c r="E21" s="33"/>
      <c r="F21" s="33"/>
      <c r="G21" s="33"/>
    </row>
    <row r="22" spans="3:12">
      <c r="C22" s="34"/>
      <c r="D22" s="3"/>
      <c r="E22" s="3"/>
      <c r="F22" s="13"/>
      <c r="G22" s="13"/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4A37-A770-43E6-A36D-7384A7DE23BD}">
  <dimension ref="C1:M22"/>
  <sheetViews>
    <sheetView topLeftCell="A6" zoomScale="130" workbookViewId="0">
      <selection activeCell="H9" sqref="H9"/>
    </sheetView>
  </sheetViews>
  <sheetFormatPr defaultRowHeight="14.4"/>
  <cols>
    <col min="3" max="3" width="22.6640625" bestFit="1" customWidth="1"/>
    <col min="5" max="5" width="6.109375" customWidth="1"/>
    <col min="6" max="6" width="7.109375" customWidth="1"/>
    <col min="7" max="7" width="25" customWidth="1"/>
    <col min="8" max="8" width="11.44140625" customWidth="1"/>
    <col min="10" max="10" width="2.77734375" customWidth="1"/>
    <col min="11" max="11" width="16.44140625" bestFit="1" customWidth="1"/>
    <col min="13" max="13" width="16.44140625" customWidth="1"/>
  </cols>
  <sheetData>
    <row r="1" spans="3:13" ht="15" thickBot="1"/>
    <row r="2" spans="3:13">
      <c r="C2" s="112" t="s">
        <v>2</v>
      </c>
      <c r="D2" s="113"/>
      <c r="E2" s="113"/>
      <c r="F2" s="113"/>
      <c r="G2" s="113"/>
      <c r="H2" s="113"/>
      <c r="I2" s="113"/>
      <c r="J2" s="113"/>
      <c r="K2" s="113"/>
      <c r="L2" s="114"/>
      <c r="M2" t="s">
        <v>103</v>
      </c>
    </row>
    <row r="3" spans="3:13">
      <c r="C3" s="20" t="s">
        <v>24</v>
      </c>
      <c r="G3" s="2" t="s">
        <v>14</v>
      </c>
      <c r="K3" s="2" t="s">
        <v>32</v>
      </c>
      <c r="L3" s="21"/>
      <c r="M3" t="s">
        <v>102</v>
      </c>
    </row>
    <row r="4" spans="3:13">
      <c r="C4" s="22" t="s">
        <v>1</v>
      </c>
      <c r="D4" s="3">
        <v>650</v>
      </c>
      <c r="G4" s="6" t="s">
        <v>15</v>
      </c>
      <c r="H4" s="7">
        <f>D15*E15/D4</f>
        <v>5.52</v>
      </c>
      <c r="I4" s="19">
        <f t="shared" ref="I4:I14" si="0">H4/$H$14</f>
        <v>1.5870804222483197E-2</v>
      </c>
      <c r="K4" s="3" t="s">
        <v>29</v>
      </c>
      <c r="L4" s="23">
        <v>1</v>
      </c>
      <c r="M4" t="s">
        <v>101</v>
      </c>
    </row>
    <row r="5" spans="3:13">
      <c r="C5" s="22" t="s">
        <v>3</v>
      </c>
      <c r="D5" s="3">
        <v>3</v>
      </c>
      <c r="G5" s="6" t="s">
        <v>42</v>
      </c>
      <c r="H5" s="7">
        <f>D15*E16/D4</f>
        <v>1.38</v>
      </c>
      <c r="I5" s="19">
        <f t="shared" si="0"/>
        <v>3.9677010556207993E-3</v>
      </c>
      <c r="K5" s="6" t="s">
        <v>30</v>
      </c>
      <c r="L5" s="24">
        <f>D4*(H14-H10)</f>
        <v>226075.5</v>
      </c>
    </row>
    <row r="6" spans="3:13">
      <c r="C6" s="25" t="s">
        <v>6</v>
      </c>
      <c r="D6" s="7">
        <f>30/D5</f>
        <v>10</v>
      </c>
      <c r="G6" s="6" t="s">
        <v>16</v>
      </c>
      <c r="H6" s="7">
        <f>D16/D4</f>
        <v>161.53846153846155</v>
      </c>
      <c r="I6" s="19">
        <f t="shared" si="0"/>
        <v>0.46444661186196651</v>
      </c>
      <c r="K6" s="6" t="s">
        <v>31</v>
      </c>
      <c r="L6" s="24">
        <f>L5*12</f>
        <v>2712906</v>
      </c>
    </row>
    <row r="7" spans="3:13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4.37</v>
      </c>
      <c r="I7" s="19">
        <f t="shared" si="0"/>
        <v>1.2564386676132532E-2</v>
      </c>
      <c r="K7" s="6" t="s">
        <v>0</v>
      </c>
      <c r="L7" s="24">
        <f>L5*L4</f>
        <v>226075.5</v>
      </c>
    </row>
    <row r="8" spans="3:13">
      <c r="C8" s="22" t="s">
        <v>4</v>
      </c>
      <c r="D8" s="5">
        <f>D4/D6*(1+D7)</f>
        <v>74.75</v>
      </c>
      <c r="E8" s="3">
        <v>1200</v>
      </c>
      <c r="G8" s="6" t="s">
        <v>19</v>
      </c>
      <c r="H8" s="6">
        <v>5</v>
      </c>
      <c r="I8" s="19">
        <f t="shared" si="0"/>
        <v>1.43757284623942E-2</v>
      </c>
      <c r="L8" s="21"/>
    </row>
    <row r="9" spans="3:13">
      <c r="C9" s="22" t="s">
        <v>8</v>
      </c>
      <c r="D9" s="3">
        <v>7</v>
      </c>
      <c r="E9" s="3">
        <v>15000</v>
      </c>
      <c r="G9" s="3" t="s">
        <v>18</v>
      </c>
      <c r="H9" s="5">
        <f>10+(20*5)</f>
        <v>110</v>
      </c>
      <c r="I9" s="19">
        <f t="shared" si="0"/>
        <v>0.31626602617267241</v>
      </c>
      <c r="L9" s="21"/>
    </row>
    <row r="10" spans="3:13">
      <c r="C10" s="22" t="s">
        <v>7</v>
      </c>
      <c r="D10" s="48">
        <v>0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3">
      <c r="C11" s="22" t="s">
        <v>21</v>
      </c>
      <c r="D11" s="48">
        <v>0</v>
      </c>
      <c r="E11" s="3">
        <v>20000</v>
      </c>
      <c r="G11" s="3" t="s">
        <v>22</v>
      </c>
      <c r="H11" s="3">
        <v>10</v>
      </c>
      <c r="I11" s="19">
        <f t="shared" si="0"/>
        <v>2.87514569247884E-2</v>
      </c>
      <c r="L11" s="21"/>
    </row>
    <row r="12" spans="3:13">
      <c r="C12" s="22" t="s">
        <v>10</v>
      </c>
      <c r="D12" s="48">
        <v>0</v>
      </c>
      <c r="E12" s="3">
        <v>40000</v>
      </c>
      <c r="G12" s="3" t="s">
        <v>97</v>
      </c>
      <c r="H12" s="3">
        <v>0</v>
      </c>
      <c r="I12" s="19">
        <f t="shared" si="0"/>
        <v>0</v>
      </c>
      <c r="L12" s="21"/>
    </row>
    <row r="13" spans="3:13">
      <c r="C13" s="22" t="s">
        <v>9</v>
      </c>
      <c r="D13" s="3">
        <v>0</v>
      </c>
      <c r="E13" s="3">
        <v>40000</v>
      </c>
      <c r="G13" s="8" t="s">
        <v>26</v>
      </c>
      <c r="H13" s="8">
        <v>50</v>
      </c>
      <c r="I13" s="19">
        <f t="shared" si="0"/>
        <v>0.14375728462394199</v>
      </c>
      <c r="L13" s="21"/>
    </row>
    <row r="14" spans="3:13">
      <c r="C14" s="26" t="s">
        <v>11</v>
      </c>
      <c r="D14" s="10">
        <v>0</v>
      </c>
      <c r="E14" s="3">
        <v>25000</v>
      </c>
      <c r="G14" s="6" t="s">
        <v>20</v>
      </c>
      <c r="H14" s="49">
        <f>SUM(H4:H13)</f>
        <v>347.80846153846153</v>
      </c>
      <c r="I14" s="19">
        <f t="shared" si="0"/>
        <v>1</v>
      </c>
      <c r="L14" s="21"/>
    </row>
    <row r="15" spans="3:13">
      <c r="C15" s="25" t="s">
        <v>12</v>
      </c>
      <c r="D15" s="6">
        <f>D8*E8+D14*E14</f>
        <v>89700</v>
      </c>
      <c r="E15" s="4">
        <v>0.04</v>
      </c>
      <c r="F15" t="s">
        <v>40</v>
      </c>
      <c r="G15" s="9" t="s">
        <v>26</v>
      </c>
      <c r="H15" s="6">
        <f>H13*D4</f>
        <v>32500</v>
      </c>
      <c r="I15" s="19"/>
      <c r="L15" s="21"/>
    </row>
    <row r="16" spans="3:13">
      <c r="C16" s="25" t="s">
        <v>13</v>
      </c>
      <c r="D16" s="6">
        <f>SUMPRODUCT(D9:D13,E9:E13)</f>
        <v>105000</v>
      </c>
      <c r="E16" s="4">
        <v>0.01</v>
      </c>
      <c r="F16" t="s">
        <v>41</v>
      </c>
      <c r="G16" s="6" t="s">
        <v>25</v>
      </c>
      <c r="H16" s="6">
        <f>(H12+H13)*D4</f>
        <v>32500</v>
      </c>
      <c r="L16" s="21"/>
    </row>
    <row r="17" spans="3:12">
      <c r="C17" s="27"/>
      <c r="G17" s="6" t="s">
        <v>27</v>
      </c>
      <c r="H17" s="7">
        <f>D15/(H16+H4*D4)</f>
        <v>2.4855907780979827</v>
      </c>
      <c r="L17" s="21"/>
    </row>
    <row r="18" spans="3:12" ht="15" thickBot="1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>
      <c r="G20" s="32"/>
      <c r="H20" s="12"/>
    </row>
    <row r="21" spans="3:12">
      <c r="C21" s="33"/>
      <c r="D21" s="33"/>
      <c r="E21" s="33"/>
      <c r="F21" s="33"/>
      <c r="G21" s="33"/>
    </row>
    <row r="22" spans="3:12">
      <c r="C22" s="34"/>
      <c r="D22" s="3"/>
      <c r="E22" s="3"/>
      <c r="F22" s="13"/>
      <c r="G22" s="13"/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245F-0C3B-4F03-8E80-4D180F6EA1F7}">
  <dimension ref="C1:M25"/>
  <sheetViews>
    <sheetView topLeftCell="B1" zoomScale="130" workbookViewId="0">
      <selection activeCell="C25" sqref="C25"/>
    </sheetView>
  </sheetViews>
  <sheetFormatPr defaultRowHeight="14.4"/>
  <cols>
    <col min="3" max="3" width="22.6640625" bestFit="1" customWidth="1"/>
    <col min="5" max="5" width="6.109375" customWidth="1"/>
    <col min="6" max="6" width="7.109375" customWidth="1"/>
    <col min="7" max="7" width="25" customWidth="1"/>
    <col min="8" max="8" width="11.44140625" customWidth="1"/>
    <col min="10" max="10" width="2.77734375" customWidth="1"/>
    <col min="11" max="11" width="16.44140625" bestFit="1" customWidth="1"/>
    <col min="12" max="12" width="10.6640625" customWidth="1"/>
    <col min="13" max="13" width="16.44140625" customWidth="1"/>
  </cols>
  <sheetData>
    <row r="1" spans="3:13" ht="15" thickBot="1"/>
    <row r="2" spans="3:13">
      <c r="C2" s="112" t="s">
        <v>2</v>
      </c>
      <c r="D2" s="113"/>
      <c r="E2" s="113"/>
      <c r="F2" s="113"/>
      <c r="G2" s="113"/>
      <c r="H2" s="113"/>
      <c r="I2" s="113"/>
      <c r="J2" s="113"/>
      <c r="K2" s="113"/>
      <c r="L2" s="114"/>
      <c r="M2" t="s">
        <v>103</v>
      </c>
    </row>
    <row r="3" spans="3:13">
      <c r="C3" s="20" t="s">
        <v>24</v>
      </c>
      <c r="G3" s="2" t="s">
        <v>14</v>
      </c>
      <c r="K3" s="2" t="s">
        <v>32</v>
      </c>
      <c r="L3" s="21"/>
      <c r="M3" t="s">
        <v>102</v>
      </c>
    </row>
    <row r="4" spans="3:13">
      <c r="C4" s="22" t="s">
        <v>1</v>
      </c>
      <c r="D4" s="3">
        <v>550</v>
      </c>
      <c r="G4" s="6" t="s">
        <v>15</v>
      </c>
      <c r="H4" s="7">
        <f>D15*E15/D4</f>
        <v>44.490909090909092</v>
      </c>
      <c r="I4" s="19">
        <f t="shared" ref="I4:I14" si="0">H4/$H$14</f>
        <v>0.10715771496135404</v>
      </c>
      <c r="K4" s="3" t="s">
        <v>29</v>
      </c>
      <c r="L4" s="23">
        <v>1</v>
      </c>
      <c r="M4" t="s">
        <v>101</v>
      </c>
    </row>
    <row r="5" spans="3:13">
      <c r="C5" s="22" t="s">
        <v>3</v>
      </c>
      <c r="D5" s="3">
        <v>15</v>
      </c>
      <c r="G5" s="6" t="s">
        <v>42</v>
      </c>
      <c r="H5" s="7">
        <f>D15*E16/D4</f>
        <v>11.122727272727273</v>
      </c>
      <c r="I5" s="19">
        <f t="shared" si="0"/>
        <v>2.678942874033851E-2</v>
      </c>
      <c r="K5" s="6" t="s">
        <v>30</v>
      </c>
      <c r="L5" s="24">
        <f>D4*(H14-H10)</f>
        <v>228355</v>
      </c>
    </row>
    <row r="6" spans="3:13">
      <c r="C6" s="25" t="s">
        <v>6</v>
      </c>
      <c r="D6" s="7">
        <f>30/D5</f>
        <v>2</v>
      </c>
      <c r="G6" s="6" t="s">
        <v>16</v>
      </c>
      <c r="H6" s="7">
        <f>D16/D4</f>
        <v>132.72727272727272</v>
      </c>
      <c r="I6" s="19">
        <f t="shared" si="0"/>
        <v>0.31967769481728009</v>
      </c>
      <c r="K6" s="6" t="s">
        <v>31</v>
      </c>
      <c r="L6" s="24">
        <f>L5*12</f>
        <v>2740260</v>
      </c>
    </row>
    <row r="7" spans="3:13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21.85</v>
      </c>
      <c r="I7" s="19">
        <f t="shared" si="0"/>
        <v>5.2626393115981697E-2</v>
      </c>
      <c r="K7" s="6" t="s">
        <v>0</v>
      </c>
      <c r="L7" s="24">
        <f>L5*L4</f>
        <v>228355</v>
      </c>
    </row>
    <row r="8" spans="3:13">
      <c r="C8" s="22" t="s">
        <v>4</v>
      </c>
      <c r="D8" s="5">
        <f>D4/D6*(1+D7)</f>
        <v>316.25</v>
      </c>
      <c r="E8" s="3">
        <v>1800</v>
      </c>
      <c r="G8" s="6" t="s">
        <v>19</v>
      </c>
      <c r="H8" s="6">
        <v>5</v>
      </c>
      <c r="I8" s="19">
        <f t="shared" si="0"/>
        <v>1.2042652886952334E-2</v>
      </c>
      <c r="L8" s="21"/>
    </row>
    <row r="9" spans="3:13">
      <c r="C9" s="22" t="s">
        <v>8</v>
      </c>
      <c r="D9" s="3">
        <f>2</f>
        <v>2</v>
      </c>
      <c r="E9" s="3">
        <v>18000</v>
      </c>
      <c r="G9" s="3" t="s">
        <v>18</v>
      </c>
      <c r="H9" s="5">
        <v>15</v>
      </c>
      <c r="I9" s="19">
        <f t="shared" si="0"/>
        <v>3.6127958660856996E-2</v>
      </c>
      <c r="L9" s="21"/>
    </row>
    <row r="10" spans="3:13">
      <c r="C10" s="22" t="s">
        <v>7</v>
      </c>
      <c r="D10" s="48">
        <v>0.5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3">
      <c r="C11" s="22" t="s">
        <v>21</v>
      </c>
      <c r="D11" s="48">
        <v>1</v>
      </c>
      <c r="E11" s="3">
        <v>20000</v>
      </c>
      <c r="G11" s="3" t="s">
        <v>22</v>
      </c>
      <c r="H11" s="3">
        <v>85</v>
      </c>
      <c r="I11" s="19">
        <f t="shared" si="0"/>
        <v>0.20472509907818967</v>
      </c>
      <c r="L11" s="21"/>
    </row>
    <row r="12" spans="3:13">
      <c r="C12" s="22" t="s">
        <v>10</v>
      </c>
      <c r="D12" s="48">
        <v>0.2</v>
      </c>
      <c r="E12" s="3">
        <v>40000</v>
      </c>
      <c r="G12" s="3" t="s">
        <v>97</v>
      </c>
      <c r="H12" s="3">
        <v>0</v>
      </c>
      <c r="I12" s="19">
        <f t="shared" si="0"/>
        <v>0</v>
      </c>
      <c r="L12" s="21"/>
    </row>
    <row r="13" spans="3:13">
      <c r="C13" s="22" t="s">
        <v>9</v>
      </c>
      <c r="D13" s="3">
        <v>0</v>
      </c>
      <c r="E13" s="3">
        <v>40000</v>
      </c>
      <c r="G13" s="8" t="s">
        <v>26</v>
      </c>
      <c r="H13" s="8">
        <v>100</v>
      </c>
      <c r="I13" s="19">
        <f t="shared" si="0"/>
        <v>0.24085305773904667</v>
      </c>
      <c r="L13" s="21"/>
    </row>
    <row r="14" spans="3:13">
      <c r="C14" s="26" t="s">
        <v>11</v>
      </c>
      <c r="D14" s="10">
        <f>SUM(D10:D12)</f>
        <v>1.7</v>
      </c>
      <c r="E14" s="3">
        <v>25000</v>
      </c>
      <c r="G14" s="6" t="s">
        <v>20</v>
      </c>
      <c r="H14" s="49">
        <f>SUM(H4:H13)</f>
        <v>415.19090909090909</v>
      </c>
      <c r="I14" s="19">
        <f t="shared" si="0"/>
        <v>1</v>
      </c>
      <c r="L14" s="21"/>
    </row>
    <row r="15" spans="3:13">
      <c r="C15" s="25" t="s">
        <v>12</v>
      </c>
      <c r="D15" s="6">
        <f>D8*E8+D14*E14</f>
        <v>611750</v>
      </c>
      <c r="E15" s="4">
        <v>0.04</v>
      </c>
      <c r="F15" t="s">
        <v>40</v>
      </c>
      <c r="G15" s="9" t="s">
        <v>26</v>
      </c>
      <c r="H15" s="6">
        <f>H13*D4</f>
        <v>55000</v>
      </c>
      <c r="I15" s="19"/>
      <c r="L15" s="21"/>
    </row>
    <row r="16" spans="3:13">
      <c r="C16" s="25" t="s">
        <v>13</v>
      </c>
      <c r="D16" s="6">
        <f>SUMPRODUCT(D9:D13,E9:E13)</f>
        <v>73000</v>
      </c>
      <c r="E16" s="4">
        <v>0.01</v>
      </c>
      <c r="F16" t="s">
        <v>41</v>
      </c>
      <c r="G16" s="6" t="s">
        <v>25</v>
      </c>
      <c r="H16" s="6">
        <f>(H12+H13)*D4</f>
        <v>55000</v>
      </c>
      <c r="L16" s="21"/>
    </row>
    <row r="17" spans="3:12">
      <c r="C17" s="27" t="s">
        <v>120</v>
      </c>
      <c r="G17" s="6" t="s">
        <v>27</v>
      </c>
      <c r="H17" s="7">
        <f>D15/(H16+H4*D4)</f>
        <v>7.6978734113501952</v>
      </c>
      <c r="L17" s="21"/>
    </row>
    <row r="18" spans="3:12" ht="15" thickBot="1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>
      <c r="G20" s="65"/>
      <c r="H20" s="12"/>
    </row>
    <row r="21" spans="3:12">
      <c r="C21" t="s">
        <v>146</v>
      </c>
    </row>
    <row r="22" spans="3:12">
      <c r="C22" t="s">
        <v>121</v>
      </c>
    </row>
    <row r="23" spans="3:12">
      <c r="C23" t="s">
        <v>122</v>
      </c>
    </row>
    <row r="24" spans="3:12">
      <c r="C24" t="s">
        <v>125</v>
      </c>
    </row>
    <row r="25" spans="3:12">
      <c r="C25" t="s">
        <v>126</v>
      </c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0737-B8B9-4ED9-A72C-EE00F1312E37}">
  <dimension ref="C1:M25"/>
  <sheetViews>
    <sheetView topLeftCell="A7" zoomScale="130" workbookViewId="0">
      <selection activeCell="F28" sqref="F28"/>
    </sheetView>
  </sheetViews>
  <sheetFormatPr defaultRowHeight="14.4"/>
  <cols>
    <col min="3" max="3" width="22.6640625" bestFit="1" customWidth="1"/>
    <col min="5" max="5" width="6.109375" customWidth="1"/>
    <col min="6" max="6" width="7.109375" customWidth="1"/>
    <col min="7" max="7" width="26.5546875" customWidth="1"/>
    <col min="8" max="8" width="11.44140625" customWidth="1"/>
    <col min="10" max="10" width="2.77734375" customWidth="1"/>
    <col min="11" max="11" width="16.44140625" bestFit="1" customWidth="1"/>
    <col min="12" max="12" width="10.6640625" customWidth="1"/>
    <col min="13" max="13" width="16.44140625" customWidth="1"/>
  </cols>
  <sheetData>
    <row r="1" spans="3:13" ht="15" thickBot="1"/>
    <row r="2" spans="3:13">
      <c r="C2" s="112" t="s">
        <v>2</v>
      </c>
      <c r="D2" s="113"/>
      <c r="E2" s="113"/>
      <c r="F2" s="113"/>
      <c r="G2" s="113"/>
      <c r="H2" s="113"/>
      <c r="I2" s="113"/>
      <c r="J2" s="113"/>
      <c r="K2" s="113"/>
      <c r="L2" s="114"/>
      <c r="M2" t="s">
        <v>103</v>
      </c>
    </row>
    <row r="3" spans="3:13">
      <c r="C3" s="20" t="s">
        <v>24</v>
      </c>
      <c r="G3" s="2" t="s">
        <v>14</v>
      </c>
      <c r="K3" s="2" t="s">
        <v>32</v>
      </c>
      <c r="L3" s="21"/>
      <c r="M3" t="s">
        <v>102</v>
      </c>
    </row>
    <row r="4" spans="3:13">
      <c r="C4" s="22" t="s">
        <v>1</v>
      </c>
      <c r="D4" s="3">
        <v>750</v>
      </c>
      <c r="G4" s="6" t="s">
        <v>15</v>
      </c>
      <c r="H4" s="7">
        <f>D15*E15/D4</f>
        <v>43.666666666666664</v>
      </c>
      <c r="I4" s="19">
        <f t="shared" ref="I4:I14" si="0">H4/$H$14</f>
        <v>8.6508617843227886E-2</v>
      </c>
      <c r="K4" s="3" t="s">
        <v>29</v>
      </c>
      <c r="L4" s="23">
        <v>1</v>
      </c>
      <c r="M4" t="s">
        <v>101</v>
      </c>
    </row>
    <row r="5" spans="3:13">
      <c r="C5" s="22" t="s">
        <v>3</v>
      </c>
      <c r="D5" s="3">
        <v>15</v>
      </c>
      <c r="G5" s="6" t="s">
        <v>42</v>
      </c>
      <c r="H5" s="7">
        <f>D15*E16/D4</f>
        <v>10.916666666666666</v>
      </c>
      <c r="I5" s="19">
        <f t="shared" si="0"/>
        <v>2.1627154460806972E-2</v>
      </c>
      <c r="K5" s="6" t="s">
        <v>30</v>
      </c>
      <c r="L5" s="24">
        <f>D4*(H14-H10)</f>
        <v>378575</v>
      </c>
    </row>
    <row r="6" spans="3:13">
      <c r="C6" s="25" t="s">
        <v>6</v>
      </c>
      <c r="D6" s="7">
        <f>30/D5</f>
        <v>2</v>
      </c>
      <c r="G6" s="6" t="s">
        <v>16</v>
      </c>
      <c r="H6" s="7">
        <f>D16/D4</f>
        <v>193.33333333333334</v>
      </c>
      <c r="I6" s="19">
        <f t="shared" si="0"/>
        <v>0.38301525457307012</v>
      </c>
      <c r="K6" s="6" t="s">
        <v>31</v>
      </c>
      <c r="L6" s="24">
        <f>L5*12</f>
        <v>4542900</v>
      </c>
    </row>
    <row r="7" spans="3:13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21.849999999999994</v>
      </c>
      <c r="I7" s="19">
        <f t="shared" si="0"/>
        <v>4.3287327478042648E-2</v>
      </c>
      <c r="K7" s="6" t="s">
        <v>0</v>
      </c>
      <c r="L7" s="24">
        <f>L5*L4</f>
        <v>378575</v>
      </c>
    </row>
    <row r="8" spans="3:13">
      <c r="C8" s="22" t="s">
        <v>4</v>
      </c>
      <c r="D8" s="5">
        <f>D4/D6*(1+D7)</f>
        <v>431.24999999999994</v>
      </c>
      <c r="E8" s="3">
        <v>1800</v>
      </c>
      <c r="G8" s="6" t="s">
        <v>19</v>
      </c>
      <c r="H8" s="6">
        <v>5</v>
      </c>
      <c r="I8" s="19">
        <f t="shared" si="0"/>
        <v>9.9055669286138813E-3</v>
      </c>
      <c r="L8" s="21"/>
    </row>
    <row r="9" spans="3:13">
      <c r="C9" s="22" t="s">
        <v>8</v>
      </c>
      <c r="D9" s="3">
        <f>6</f>
        <v>6</v>
      </c>
      <c r="E9" s="3">
        <v>18000</v>
      </c>
      <c r="G9" s="3" t="s">
        <v>18</v>
      </c>
      <c r="H9" s="5">
        <v>15</v>
      </c>
      <c r="I9" s="19">
        <f t="shared" si="0"/>
        <v>2.9716700785841644E-2</v>
      </c>
      <c r="L9" s="21"/>
    </row>
    <row r="10" spans="3:13">
      <c r="C10" s="22" t="s">
        <v>7</v>
      </c>
      <c r="D10" s="48">
        <v>0.5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3">
      <c r="C11" s="22" t="s">
        <v>21</v>
      </c>
      <c r="D11" s="48">
        <v>1</v>
      </c>
      <c r="E11" s="3">
        <v>20000</v>
      </c>
      <c r="G11" s="3" t="s">
        <v>22</v>
      </c>
      <c r="H11" s="3">
        <v>85</v>
      </c>
      <c r="I11" s="19">
        <f t="shared" si="0"/>
        <v>0.16839463778643599</v>
      </c>
      <c r="L11" s="21"/>
    </row>
    <row r="12" spans="3:13">
      <c r="C12" s="22" t="s">
        <v>10</v>
      </c>
      <c r="D12" s="48">
        <v>0.2</v>
      </c>
      <c r="E12" s="3">
        <v>40000</v>
      </c>
      <c r="G12" s="3" t="s">
        <v>97</v>
      </c>
      <c r="H12" s="3">
        <v>0</v>
      </c>
      <c r="I12" s="19">
        <f t="shared" si="0"/>
        <v>0</v>
      </c>
      <c r="L12" s="21"/>
    </row>
    <row r="13" spans="3:13">
      <c r="C13" s="22" t="s">
        <v>9</v>
      </c>
      <c r="D13" s="3">
        <v>0</v>
      </c>
      <c r="E13" s="3">
        <v>40000</v>
      </c>
      <c r="G13" s="8" t="s">
        <v>26</v>
      </c>
      <c r="H13" s="8">
        <v>130</v>
      </c>
      <c r="I13" s="19">
        <f t="shared" si="0"/>
        <v>0.25754474014396089</v>
      </c>
      <c r="L13" s="21"/>
    </row>
    <row r="14" spans="3:13">
      <c r="C14" s="26" t="s">
        <v>11</v>
      </c>
      <c r="D14" s="10">
        <f>SUM(D10:D12)</f>
        <v>1.7</v>
      </c>
      <c r="E14" s="3">
        <v>25000</v>
      </c>
      <c r="G14" s="6" t="s">
        <v>20</v>
      </c>
      <c r="H14" s="49">
        <f>SUM(H4:H13)</f>
        <v>504.76666666666665</v>
      </c>
      <c r="I14" s="19">
        <f t="shared" si="0"/>
        <v>1</v>
      </c>
      <c r="L14" s="21"/>
    </row>
    <row r="15" spans="3:13">
      <c r="C15" s="25" t="s">
        <v>12</v>
      </c>
      <c r="D15" s="6">
        <f>D8*E8+D14*E14</f>
        <v>818749.99999999988</v>
      </c>
      <c r="E15" s="4">
        <v>0.04</v>
      </c>
      <c r="F15" t="s">
        <v>40</v>
      </c>
      <c r="G15" s="9" t="s">
        <v>26</v>
      </c>
      <c r="H15" s="6">
        <f>H13*D4</f>
        <v>97500</v>
      </c>
      <c r="I15" s="19"/>
      <c r="L15" s="21"/>
    </row>
    <row r="16" spans="3:13">
      <c r="C16" s="25" t="s">
        <v>13</v>
      </c>
      <c r="D16" s="6">
        <f>SUMPRODUCT(D9:D13,E9:E13)</f>
        <v>145000</v>
      </c>
      <c r="E16" s="4">
        <v>0.01</v>
      </c>
      <c r="F16" t="s">
        <v>41</v>
      </c>
      <c r="G16" s="6" t="s">
        <v>25</v>
      </c>
      <c r="H16" s="6">
        <f>(H12+H13)*D4</f>
        <v>97500</v>
      </c>
      <c r="L16" s="21"/>
    </row>
    <row r="17" spans="3:12">
      <c r="C17" s="27" t="s">
        <v>120</v>
      </c>
      <c r="G17" s="6" t="s">
        <v>27</v>
      </c>
      <c r="H17" s="7">
        <f>D15/(H16+H4*D4)</f>
        <v>6.2859884836852196</v>
      </c>
      <c r="L17" s="21"/>
    </row>
    <row r="18" spans="3:12" ht="15" thickBot="1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>
      <c r="G20" s="66"/>
      <c r="H20" s="12"/>
    </row>
    <row r="21" spans="3:12">
      <c r="C21" t="s">
        <v>124</v>
      </c>
    </row>
    <row r="22" spans="3:12">
      <c r="C22" t="s">
        <v>121</v>
      </c>
    </row>
    <row r="23" spans="3:12">
      <c r="C23" t="s">
        <v>122</v>
      </c>
    </row>
    <row r="24" spans="3:12">
      <c r="C24" t="s">
        <v>123</v>
      </c>
    </row>
    <row r="25" spans="3:12">
      <c r="C25" t="s">
        <v>125</v>
      </c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5DDD-6D29-47E2-A1B6-54DB0235E73E}">
  <dimension ref="A1:E7"/>
  <sheetViews>
    <sheetView zoomScale="134" zoomScaleNormal="165" workbookViewId="0">
      <selection activeCell="B21" sqref="B21"/>
    </sheetView>
  </sheetViews>
  <sheetFormatPr defaultRowHeight="14.4"/>
  <cols>
    <col min="1" max="1" width="4.88671875" bestFit="1" customWidth="1"/>
    <col min="2" max="2" width="51.44140625" customWidth="1"/>
    <col min="3" max="3" width="49.5546875" customWidth="1"/>
    <col min="4" max="4" width="20.21875" customWidth="1"/>
  </cols>
  <sheetData>
    <row r="1" spans="1:5" s="69" customFormat="1">
      <c r="A1" s="68" t="s">
        <v>127</v>
      </c>
      <c r="B1" s="68" t="s">
        <v>128</v>
      </c>
      <c r="C1" s="68" t="s">
        <v>139</v>
      </c>
      <c r="D1" s="68" t="s">
        <v>129</v>
      </c>
      <c r="E1" s="68" t="s">
        <v>130</v>
      </c>
    </row>
    <row r="2" spans="1:5">
      <c r="A2" s="31">
        <v>1</v>
      </c>
      <c r="B2" s="31" t="s">
        <v>131</v>
      </c>
      <c r="C2" s="31" t="s">
        <v>140</v>
      </c>
      <c r="D2" s="31" t="s">
        <v>87</v>
      </c>
      <c r="E2" s="67">
        <f>'Reverse Logistics'!H14-'Reverse Logistics'!H11</f>
        <v>330.19090909090909</v>
      </c>
    </row>
    <row r="3" spans="1:5">
      <c r="A3" s="31">
        <v>2</v>
      </c>
      <c r="B3" s="31" t="s">
        <v>132</v>
      </c>
      <c r="C3" s="31" t="s">
        <v>140</v>
      </c>
      <c r="D3" s="31" t="s">
        <v>87</v>
      </c>
      <c r="E3" s="67">
        <f>'Reverse logistics with port'!H14-'Reverse logistics with port'!H11</f>
        <v>419.76666666666665</v>
      </c>
    </row>
    <row r="4" spans="1:5">
      <c r="A4" s="31">
        <v>3</v>
      </c>
      <c r="B4" s="31" t="s">
        <v>133</v>
      </c>
      <c r="C4" s="31" t="s">
        <v>140</v>
      </c>
      <c r="D4" s="31" t="s">
        <v>87</v>
      </c>
      <c r="E4" s="31">
        <f>'Reverse Logistics'!H11</f>
        <v>85</v>
      </c>
    </row>
    <row r="5" spans="1:5">
      <c r="A5" s="31">
        <v>4</v>
      </c>
      <c r="B5" s="31" t="s">
        <v>120</v>
      </c>
      <c r="C5" s="31" t="s">
        <v>140</v>
      </c>
      <c r="D5" s="31" t="s">
        <v>87</v>
      </c>
      <c r="E5" s="31">
        <v>12</v>
      </c>
    </row>
    <row r="6" spans="1:5">
      <c r="A6" s="31">
        <v>5</v>
      </c>
      <c r="B6" s="31" t="s">
        <v>136</v>
      </c>
      <c r="C6" s="31" t="s">
        <v>141</v>
      </c>
      <c r="D6" s="31" t="s">
        <v>134</v>
      </c>
      <c r="E6" s="31">
        <v>2750</v>
      </c>
    </row>
    <row r="7" spans="1:5">
      <c r="A7" s="31">
        <v>6</v>
      </c>
      <c r="B7" s="31" t="s">
        <v>136</v>
      </c>
      <c r="C7" s="31" t="s">
        <v>141</v>
      </c>
      <c r="D7" s="31" t="s">
        <v>135</v>
      </c>
      <c r="E7" s="31">
        <v>1800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5861-E7A8-4E92-89BF-EF89C7708F56}">
  <dimension ref="A1:G8"/>
  <sheetViews>
    <sheetView zoomScale="90" zoomScaleNormal="90" workbookViewId="0">
      <selection activeCell="E2" sqref="E2:E8"/>
    </sheetView>
  </sheetViews>
  <sheetFormatPr defaultRowHeight="14.4"/>
  <cols>
    <col min="2" max="2" width="16.21875" bestFit="1" customWidth="1"/>
    <col min="3" max="3" width="13.5546875" bestFit="1" customWidth="1"/>
    <col min="4" max="4" width="11.6640625" bestFit="1" customWidth="1"/>
    <col min="5" max="5" width="11.5546875" bestFit="1" customWidth="1"/>
    <col min="6" max="6" width="12" bestFit="1" customWidth="1"/>
    <col min="7" max="7" width="13.88671875" bestFit="1" customWidth="1"/>
  </cols>
  <sheetData>
    <row r="1" spans="1:7" ht="16.2" thickBot="1">
      <c r="A1" s="50" t="s">
        <v>104</v>
      </c>
      <c r="B1" s="51" t="s">
        <v>105</v>
      </c>
      <c r="C1" s="54" t="s">
        <v>106</v>
      </c>
      <c r="D1" s="57" t="s">
        <v>114</v>
      </c>
      <c r="E1" s="57" t="s">
        <v>115</v>
      </c>
      <c r="F1" s="57" t="s">
        <v>117</v>
      </c>
    </row>
    <row r="2" spans="1:7" ht="16.2" thickBot="1">
      <c r="A2" s="52">
        <v>1</v>
      </c>
      <c r="B2" s="53" t="s">
        <v>107</v>
      </c>
      <c r="C2" s="55">
        <v>591</v>
      </c>
      <c r="D2" s="58">
        <f>C2/30</f>
        <v>19.7</v>
      </c>
      <c r="E2" s="58">
        <f>D2/30</f>
        <v>0.65666666666666662</v>
      </c>
      <c r="F2" s="115">
        <v>1</v>
      </c>
    </row>
    <row r="3" spans="1:7" ht="16.2" thickBot="1">
      <c r="A3" s="52">
        <v>2</v>
      </c>
      <c r="B3" s="53" t="s">
        <v>108</v>
      </c>
      <c r="C3" s="55">
        <v>1975</v>
      </c>
      <c r="D3" s="58">
        <f t="shared" ref="D3:E8" si="0">C3/30</f>
        <v>65.833333333333329</v>
      </c>
      <c r="E3" s="58">
        <f t="shared" si="0"/>
        <v>2.1944444444444442</v>
      </c>
      <c r="F3" s="115"/>
    </row>
    <row r="4" spans="1:7" ht="16.2" thickBot="1">
      <c r="A4" s="52">
        <v>3</v>
      </c>
      <c r="B4" s="53" t="s">
        <v>109</v>
      </c>
      <c r="C4" s="56">
        <v>4108</v>
      </c>
      <c r="D4" s="58">
        <f t="shared" si="0"/>
        <v>136.93333333333334</v>
      </c>
      <c r="E4" s="58">
        <f t="shared" si="0"/>
        <v>4.5644444444444447</v>
      </c>
      <c r="F4" s="115">
        <v>1</v>
      </c>
    </row>
    <row r="5" spans="1:7" ht="16.2" thickBot="1">
      <c r="A5" s="52">
        <v>4</v>
      </c>
      <c r="B5" s="53" t="s">
        <v>112</v>
      </c>
      <c r="C5" s="56">
        <v>5641</v>
      </c>
      <c r="D5" s="58">
        <f>C5/30</f>
        <v>188.03333333333333</v>
      </c>
      <c r="E5" s="58">
        <f>D5/30</f>
        <v>6.2677777777777779</v>
      </c>
      <c r="F5" s="115"/>
    </row>
    <row r="6" spans="1:7" ht="16.2" thickBot="1">
      <c r="A6" s="52">
        <v>5</v>
      </c>
      <c r="B6" s="53" t="s">
        <v>110</v>
      </c>
      <c r="C6" s="55">
        <v>3024</v>
      </c>
      <c r="D6" s="58">
        <f t="shared" si="0"/>
        <v>100.8</v>
      </c>
      <c r="E6" s="58">
        <f t="shared" si="0"/>
        <v>3.36</v>
      </c>
      <c r="F6" s="115">
        <v>1</v>
      </c>
      <c r="G6" t="s">
        <v>118</v>
      </c>
    </row>
    <row r="7" spans="1:7" ht="16.2" thickBot="1">
      <c r="A7" s="52">
        <v>6</v>
      </c>
      <c r="B7" s="53" t="s">
        <v>111</v>
      </c>
      <c r="C7" s="55">
        <v>966</v>
      </c>
      <c r="D7" s="58">
        <f t="shared" si="0"/>
        <v>32.200000000000003</v>
      </c>
      <c r="E7" s="58">
        <f t="shared" si="0"/>
        <v>1.0733333333333335</v>
      </c>
      <c r="F7" s="115"/>
    </row>
    <row r="8" spans="1:7" ht="16.2" thickBot="1">
      <c r="A8" s="52">
        <v>7</v>
      </c>
      <c r="B8" s="53" t="s">
        <v>113</v>
      </c>
      <c r="C8" s="55">
        <v>2966</v>
      </c>
      <c r="D8" s="58">
        <f t="shared" si="0"/>
        <v>98.86666666666666</v>
      </c>
      <c r="E8" s="58">
        <f t="shared" si="0"/>
        <v>3.2955555555555551</v>
      </c>
      <c r="F8" s="59" t="s">
        <v>116</v>
      </c>
    </row>
  </sheetData>
  <mergeCells count="3">
    <mergeCell ref="F6:F7"/>
    <mergeCell ref="F2:F3"/>
    <mergeCell ref="F4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ACDE-8EC9-4DEC-91C5-C8D1778982CF}">
  <dimension ref="C1:M22"/>
  <sheetViews>
    <sheetView topLeftCell="B1" zoomScale="130" workbookViewId="0">
      <selection activeCell="H22" sqref="H22"/>
    </sheetView>
  </sheetViews>
  <sheetFormatPr defaultRowHeight="14.4"/>
  <cols>
    <col min="3" max="3" width="22.6640625" bestFit="1" customWidth="1"/>
    <col min="5" max="5" width="6.109375" customWidth="1"/>
    <col min="6" max="6" width="7.109375" customWidth="1"/>
    <col min="7" max="7" width="25" customWidth="1"/>
    <col min="8" max="8" width="11.44140625" customWidth="1"/>
    <col min="10" max="10" width="2.77734375" customWidth="1"/>
    <col min="11" max="11" width="16.44140625" bestFit="1" customWidth="1"/>
    <col min="13" max="13" width="16.44140625" customWidth="1"/>
  </cols>
  <sheetData>
    <row r="1" spans="3:13" ht="15" thickBot="1"/>
    <row r="2" spans="3:13">
      <c r="C2" s="112" t="s">
        <v>2</v>
      </c>
      <c r="D2" s="113"/>
      <c r="E2" s="113"/>
      <c r="F2" s="113"/>
      <c r="G2" s="113"/>
      <c r="H2" s="113"/>
      <c r="I2" s="113"/>
      <c r="J2" s="113"/>
      <c r="K2" s="113"/>
      <c r="L2" s="114"/>
      <c r="M2" t="s">
        <v>103</v>
      </c>
    </row>
    <row r="3" spans="3:13">
      <c r="C3" s="20" t="s">
        <v>24</v>
      </c>
      <c r="G3" s="2" t="s">
        <v>14</v>
      </c>
      <c r="K3" s="2" t="s">
        <v>32</v>
      </c>
      <c r="L3" s="21"/>
      <c r="M3" t="s">
        <v>102</v>
      </c>
    </row>
    <row r="4" spans="3:13">
      <c r="C4" s="22" t="s">
        <v>1</v>
      </c>
      <c r="D4" s="3">
        <v>650</v>
      </c>
      <c r="G4" s="6" t="s">
        <v>15</v>
      </c>
      <c r="H4" s="7">
        <f>D15*E15/D4</f>
        <v>5.52</v>
      </c>
      <c r="I4" s="19">
        <f t="shared" ref="I4:I14" si="0">H4/$H$14</f>
        <v>1.0764252959944558E-2</v>
      </c>
      <c r="K4" s="3" t="s">
        <v>29</v>
      </c>
      <c r="L4" s="23">
        <v>1</v>
      </c>
      <c r="M4" t="s">
        <v>101</v>
      </c>
    </row>
    <row r="5" spans="3:13">
      <c r="C5" s="22" t="s">
        <v>3</v>
      </c>
      <c r="D5" s="3">
        <v>3</v>
      </c>
      <c r="G5" s="6" t="s">
        <v>42</v>
      </c>
      <c r="H5" s="7">
        <f>D15*E16/D4</f>
        <v>1.38</v>
      </c>
      <c r="I5" s="19">
        <f t="shared" si="0"/>
        <v>2.6910632399861395E-3</v>
      </c>
      <c r="K5" s="6" t="s">
        <v>30</v>
      </c>
      <c r="L5" s="24">
        <f>D4*(H14-H10)</f>
        <v>333325.5</v>
      </c>
    </row>
    <row r="6" spans="3:13">
      <c r="C6" s="25" t="s">
        <v>6</v>
      </c>
      <c r="D6" s="7">
        <f>30/D5</f>
        <v>10</v>
      </c>
      <c r="G6" s="6" t="s">
        <v>16</v>
      </c>
      <c r="H6" s="7">
        <f>D16/D4</f>
        <v>161.53846153846155</v>
      </c>
      <c r="I6" s="19">
        <f t="shared" si="0"/>
        <v>0.31500740267396288</v>
      </c>
      <c r="K6" s="6" t="s">
        <v>31</v>
      </c>
      <c r="L6" s="24">
        <f>L5*12</f>
        <v>3999906</v>
      </c>
    </row>
    <row r="7" spans="3:13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4.37</v>
      </c>
      <c r="I7" s="19">
        <f t="shared" si="0"/>
        <v>8.5217002599561088E-3</v>
      </c>
      <c r="K7" s="6" t="s">
        <v>0</v>
      </c>
      <c r="L7" s="24">
        <f>L5*L4</f>
        <v>333325.5</v>
      </c>
    </row>
    <row r="8" spans="3:13">
      <c r="C8" s="22" t="s">
        <v>4</v>
      </c>
      <c r="D8" s="5">
        <f>D4/D6*(1+D7)</f>
        <v>74.75</v>
      </c>
      <c r="E8" s="3">
        <v>1200</v>
      </c>
      <c r="G8" s="6" t="s">
        <v>19</v>
      </c>
      <c r="H8" s="6">
        <v>5</v>
      </c>
      <c r="I8" s="19">
        <f t="shared" si="0"/>
        <v>9.7502291303845634E-3</v>
      </c>
      <c r="L8" s="21"/>
    </row>
    <row r="9" spans="3:13">
      <c r="C9" s="22" t="s">
        <v>8</v>
      </c>
      <c r="D9" s="3">
        <v>7</v>
      </c>
      <c r="E9" s="3">
        <v>15000</v>
      </c>
      <c r="G9" s="3" t="s">
        <v>18</v>
      </c>
      <c r="H9" s="5">
        <f>10+(20*10)</f>
        <v>210</v>
      </c>
      <c r="I9" s="19">
        <f t="shared" si="0"/>
        <v>0.40950962347615172</v>
      </c>
      <c r="L9" s="21"/>
    </row>
    <row r="10" spans="3:13">
      <c r="C10" s="22" t="s">
        <v>7</v>
      </c>
      <c r="D10" s="48">
        <v>0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3">
      <c r="C11" s="22" t="s">
        <v>21</v>
      </c>
      <c r="D11" s="48">
        <v>0</v>
      </c>
      <c r="E11" s="3">
        <v>20000</v>
      </c>
      <c r="G11" s="3" t="s">
        <v>22</v>
      </c>
      <c r="H11" s="3">
        <v>25</v>
      </c>
      <c r="I11" s="19">
        <f t="shared" si="0"/>
        <v>4.8751145651922824E-2</v>
      </c>
      <c r="L11" s="21"/>
    </row>
    <row r="12" spans="3:13">
      <c r="C12" s="22" t="s">
        <v>10</v>
      </c>
      <c r="D12" s="48">
        <v>0</v>
      </c>
      <c r="E12" s="3">
        <v>40000</v>
      </c>
      <c r="G12" s="3" t="s">
        <v>97</v>
      </c>
      <c r="H12" s="3">
        <v>0</v>
      </c>
      <c r="I12" s="19">
        <f t="shared" si="0"/>
        <v>0</v>
      </c>
      <c r="L12" s="21"/>
    </row>
    <row r="13" spans="3:13">
      <c r="C13" s="22" t="s">
        <v>9</v>
      </c>
      <c r="D13" s="3">
        <v>0</v>
      </c>
      <c r="E13" s="3">
        <v>40000</v>
      </c>
      <c r="G13" s="8" t="s">
        <v>26</v>
      </c>
      <c r="H13" s="8">
        <v>100</v>
      </c>
      <c r="I13" s="19">
        <f t="shared" si="0"/>
        <v>0.1950045826076913</v>
      </c>
      <c r="L13" s="21"/>
    </row>
    <row r="14" spans="3:13">
      <c r="C14" s="26" t="s">
        <v>11</v>
      </c>
      <c r="D14" s="10">
        <v>0</v>
      </c>
      <c r="E14" s="3">
        <v>25000</v>
      </c>
      <c r="G14" s="6" t="s">
        <v>20</v>
      </c>
      <c r="H14" s="49">
        <f>SUM(H4:H13)</f>
        <v>512.80846153846153</v>
      </c>
      <c r="I14" s="19">
        <f t="shared" si="0"/>
        <v>1</v>
      </c>
      <c r="L14" s="21"/>
    </row>
    <row r="15" spans="3:13">
      <c r="C15" s="25" t="s">
        <v>12</v>
      </c>
      <c r="D15" s="6">
        <f>D8*E8+D14*E14</f>
        <v>89700</v>
      </c>
      <c r="E15" s="4">
        <v>0.04</v>
      </c>
      <c r="F15" t="s">
        <v>40</v>
      </c>
      <c r="G15" s="9" t="s">
        <v>26</v>
      </c>
      <c r="H15" s="6">
        <f>H13*D4</f>
        <v>65000</v>
      </c>
      <c r="I15" s="19"/>
      <c r="L15" s="21"/>
    </row>
    <row r="16" spans="3:13">
      <c r="C16" s="25" t="s">
        <v>13</v>
      </c>
      <c r="D16" s="6">
        <f>SUMPRODUCT(D9:D13,E9:E13)</f>
        <v>105000</v>
      </c>
      <c r="E16" s="4">
        <v>0.01</v>
      </c>
      <c r="F16" t="s">
        <v>41</v>
      </c>
      <c r="G16" s="6" t="s">
        <v>25</v>
      </c>
      <c r="H16" s="6">
        <f>(H12+H13)*D4</f>
        <v>65000</v>
      </c>
      <c r="L16" s="21"/>
    </row>
    <row r="17" spans="3:12">
      <c r="C17" s="27"/>
      <c r="G17" s="6" t="s">
        <v>27</v>
      </c>
      <c r="H17" s="7">
        <f>D15/(H16+H4*D4)</f>
        <v>1.307808946171342</v>
      </c>
      <c r="L17" s="21"/>
    </row>
    <row r="18" spans="3:12" ht="15" thickBot="1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>
      <c r="G20" s="65"/>
      <c r="H20" s="12"/>
    </row>
    <row r="21" spans="3:12">
      <c r="C21" s="33" t="s">
        <v>119</v>
      </c>
      <c r="D21" s="60">
        <v>440</v>
      </c>
      <c r="E21" s="62"/>
      <c r="F21" s="62"/>
      <c r="G21" s="62"/>
    </row>
    <row r="22" spans="3:12">
      <c r="C22" s="34"/>
      <c r="D22" s="61"/>
      <c r="E22" s="63"/>
      <c r="F22" s="64"/>
      <c r="G22" s="64"/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45C5-0C46-4478-9FA3-75586E6BDE4A}">
  <dimension ref="C2:O20"/>
  <sheetViews>
    <sheetView workbookViewId="0">
      <selection activeCell="F8" sqref="F8"/>
    </sheetView>
  </sheetViews>
  <sheetFormatPr defaultRowHeight="14.4"/>
  <cols>
    <col min="3" max="3" width="22.6640625" bestFit="1" customWidth="1"/>
    <col min="5" max="5" width="6.109375" customWidth="1"/>
    <col min="6" max="6" width="7.109375" customWidth="1"/>
    <col min="7" max="7" width="19.21875" bestFit="1" customWidth="1"/>
    <col min="8" max="8" width="11.44140625" customWidth="1"/>
    <col min="10" max="10" width="2.77734375" customWidth="1"/>
    <col min="11" max="11" width="16.44140625" bestFit="1" customWidth="1"/>
    <col min="12" max="12" width="12.109375" customWidth="1"/>
  </cols>
  <sheetData>
    <row r="2" spans="3:15">
      <c r="C2" s="116" t="s">
        <v>35</v>
      </c>
      <c r="D2" s="116"/>
      <c r="E2" s="116"/>
      <c r="F2" s="116"/>
      <c r="G2" s="116"/>
      <c r="H2" s="116"/>
    </row>
    <row r="3" spans="3:15">
      <c r="C3" s="2" t="s">
        <v>24</v>
      </c>
      <c r="G3" s="2" t="s">
        <v>34</v>
      </c>
      <c r="K3" s="2" t="s">
        <v>32</v>
      </c>
    </row>
    <row r="4" spans="3:15">
      <c r="C4" s="3" t="s">
        <v>33</v>
      </c>
      <c r="D4" s="3">
        <v>1000</v>
      </c>
      <c r="G4" s="6" t="s">
        <v>15</v>
      </c>
      <c r="H4" s="7">
        <f>D15*E15/D4</f>
        <v>369.25</v>
      </c>
      <c r="I4" s="1">
        <f t="shared" ref="I4:I14" si="0">H4/$H$14</f>
        <v>0.38104328981992674</v>
      </c>
      <c r="K4" s="3" t="s">
        <v>29</v>
      </c>
      <c r="L4" s="3">
        <v>48</v>
      </c>
    </row>
    <row r="5" spans="3:15">
      <c r="C5" s="3"/>
      <c r="D5" s="3"/>
      <c r="G5" s="6" t="s">
        <v>42</v>
      </c>
      <c r="H5" s="7">
        <f>D15*E16/D4</f>
        <v>73.849999999999994</v>
      </c>
      <c r="I5" s="1">
        <f t="shared" si="0"/>
        <v>7.6208657963985349E-2</v>
      </c>
      <c r="K5" s="6" t="s">
        <v>30</v>
      </c>
      <c r="L5" s="6">
        <f>D4*(H14-H10)</f>
        <v>969050</v>
      </c>
    </row>
    <row r="6" spans="3:15">
      <c r="C6" s="6" t="s">
        <v>36</v>
      </c>
      <c r="D6" s="7">
        <v>1</v>
      </c>
      <c r="G6" s="6" t="s">
        <v>16</v>
      </c>
      <c r="H6" s="7">
        <f>D16/D4</f>
        <v>100</v>
      </c>
      <c r="I6" s="1">
        <f t="shared" si="0"/>
        <v>0.10319384964656107</v>
      </c>
      <c r="K6" s="6" t="s">
        <v>31</v>
      </c>
      <c r="L6" s="6">
        <f>L5*12</f>
        <v>11628600</v>
      </c>
    </row>
    <row r="7" spans="3:15">
      <c r="C7" s="3" t="s">
        <v>5</v>
      </c>
      <c r="D7" s="4">
        <v>0.05</v>
      </c>
      <c r="F7" s="3">
        <v>139</v>
      </c>
      <c r="G7" s="6" t="s">
        <v>17</v>
      </c>
      <c r="H7" s="7">
        <f>D8*F7/D4</f>
        <v>145.94999999999999</v>
      </c>
      <c r="I7" s="1">
        <f t="shared" si="0"/>
        <v>0.15061142355915588</v>
      </c>
      <c r="K7" s="6" t="s">
        <v>0</v>
      </c>
      <c r="L7" s="6">
        <f>L5*L4</f>
        <v>46514400</v>
      </c>
    </row>
    <row r="8" spans="3:15">
      <c r="C8" s="3" t="s">
        <v>4</v>
      </c>
      <c r="D8" s="5">
        <f>D4/D6*(1+D7)</f>
        <v>1050</v>
      </c>
      <c r="E8" s="3">
        <v>7000</v>
      </c>
      <c r="G8" s="6" t="s">
        <v>19</v>
      </c>
      <c r="H8" s="6">
        <v>80</v>
      </c>
      <c r="I8" s="1">
        <f t="shared" si="0"/>
        <v>8.2555079717248861E-2</v>
      </c>
    </row>
    <row r="9" spans="3:15">
      <c r="C9" s="3" t="s">
        <v>8</v>
      </c>
      <c r="D9" s="3">
        <v>2</v>
      </c>
      <c r="E9" s="3">
        <v>20000</v>
      </c>
      <c r="G9" s="3" t="s">
        <v>18</v>
      </c>
      <c r="H9" s="3">
        <v>0</v>
      </c>
      <c r="I9" s="1">
        <f t="shared" si="0"/>
        <v>0</v>
      </c>
    </row>
    <row r="10" spans="3:15">
      <c r="C10" s="3" t="s">
        <v>7</v>
      </c>
      <c r="D10" s="3">
        <v>0</v>
      </c>
      <c r="E10" s="3">
        <v>25000</v>
      </c>
      <c r="G10" s="3" t="s">
        <v>28</v>
      </c>
      <c r="H10" s="3">
        <v>0</v>
      </c>
      <c r="I10" s="1">
        <f t="shared" si="0"/>
        <v>0</v>
      </c>
    </row>
    <row r="11" spans="3:15">
      <c r="C11" s="3" t="s">
        <v>21</v>
      </c>
      <c r="D11" s="3">
        <v>0</v>
      </c>
      <c r="E11" s="3">
        <v>30000</v>
      </c>
      <c r="G11" s="3" t="s">
        <v>22</v>
      </c>
      <c r="H11" s="3">
        <v>0</v>
      </c>
      <c r="I11" s="1">
        <f t="shared" si="0"/>
        <v>0</v>
      </c>
    </row>
    <row r="12" spans="3:15">
      <c r="C12" s="3" t="s">
        <v>10</v>
      </c>
      <c r="D12" s="3">
        <v>1</v>
      </c>
      <c r="E12" s="3">
        <v>60000</v>
      </c>
      <c r="G12" s="3" t="s">
        <v>23</v>
      </c>
      <c r="H12" s="3">
        <v>0</v>
      </c>
      <c r="I12" s="1">
        <f t="shared" si="0"/>
        <v>0</v>
      </c>
    </row>
    <row r="13" spans="3:15">
      <c r="C13" s="3" t="s">
        <v>9</v>
      </c>
      <c r="D13" s="3">
        <v>0</v>
      </c>
      <c r="E13" s="3">
        <v>40000</v>
      </c>
      <c r="G13" s="8" t="s">
        <v>26</v>
      </c>
      <c r="H13" s="8">
        <v>200</v>
      </c>
      <c r="I13" s="1">
        <f t="shared" si="0"/>
        <v>0.20638769929312215</v>
      </c>
      <c r="L13" t="s">
        <v>43</v>
      </c>
      <c r="M13">
        <v>150</v>
      </c>
      <c r="O13">
        <f>M13*90</f>
        <v>13500</v>
      </c>
    </row>
    <row r="14" spans="3:15">
      <c r="C14" s="6" t="s">
        <v>11</v>
      </c>
      <c r="D14" s="6">
        <f>D13+D12+D10+D11</f>
        <v>1</v>
      </c>
      <c r="E14" s="3">
        <v>35000</v>
      </c>
      <c r="G14" s="6" t="s">
        <v>20</v>
      </c>
      <c r="H14" s="13">
        <f>SUM(H4:H13)</f>
        <v>969.05</v>
      </c>
      <c r="I14" s="1">
        <f t="shared" si="0"/>
        <v>1</v>
      </c>
      <c r="L14" t="s">
        <v>44</v>
      </c>
      <c r="M14">
        <v>200</v>
      </c>
      <c r="O14">
        <f t="shared" ref="O14:O15" si="1">M14*90</f>
        <v>18000</v>
      </c>
    </row>
    <row r="15" spans="3:15">
      <c r="C15" s="6" t="s">
        <v>12</v>
      </c>
      <c r="D15" s="6">
        <f>D8*E8+D14*E14</f>
        <v>7385000</v>
      </c>
      <c r="E15" s="4">
        <v>0.05</v>
      </c>
      <c r="F15" t="s">
        <v>40</v>
      </c>
      <c r="G15" s="9" t="s">
        <v>26</v>
      </c>
      <c r="H15" s="6">
        <f>H13*D4</f>
        <v>200000</v>
      </c>
      <c r="I15" s="1"/>
      <c r="L15" t="s">
        <v>45</v>
      </c>
      <c r="M15">
        <v>270</v>
      </c>
      <c r="O15">
        <f t="shared" si="1"/>
        <v>24300</v>
      </c>
    </row>
    <row r="16" spans="3:15">
      <c r="C16" s="6" t="s">
        <v>13</v>
      </c>
      <c r="D16" s="6">
        <f>SUMPRODUCT(D9:D13,E9:E13)</f>
        <v>100000</v>
      </c>
      <c r="E16" s="4">
        <v>0.01</v>
      </c>
      <c r="F16" t="s">
        <v>41</v>
      </c>
      <c r="G16" s="6" t="s">
        <v>25</v>
      </c>
      <c r="H16" s="6">
        <f>(H12+H13)*D4</f>
        <v>200000</v>
      </c>
    </row>
    <row r="17" spans="7:8">
      <c r="G17" s="6" t="s">
        <v>27</v>
      </c>
      <c r="H17" s="7">
        <f>D15/(H16+H4*D4)</f>
        <v>12.973210364514712</v>
      </c>
    </row>
    <row r="20" spans="7:8">
      <c r="H20">
        <f>D4*(H14-H8-H7-H6)</f>
        <v>643099.99999999988</v>
      </c>
    </row>
  </sheetData>
  <mergeCells count="1">
    <mergeCell ref="C2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DFF0-BEF5-4A32-A69B-5D82D693BFED}">
  <dimension ref="B1:O19"/>
  <sheetViews>
    <sheetView workbookViewId="0">
      <selection activeCell="F16" sqref="F16"/>
    </sheetView>
  </sheetViews>
  <sheetFormatPr defaultRowHeight="14.4"/>
  <cols>
    <col min="2" max="3" width="20.6640625" customWidth="1"/>
    <col min="4" max="5" width="20.6640625" hidden="1" customWidth="1"/>
    <col min="6" max="6" width="20.6640625" customWidth="1"/>
    <col min="7" max="7" width="20.6640625" hidden="1" customWidth="1"/>
    <col min="10" max="10" width="10.88671875" bestFit="1" customWidth="1"/>
    <col min="11" max="11" width="12.109375" bestFit="1" customWidth="1"/>
  </cols>
  <sheetData>
    <row r="1" spans="2:15">
      <c r="B1" s="117" t="s">
        <v>90</v>
      </c>
      <c r="C1" s="117"/>
      <c r="D1" s="117"/>
      <c r="E1" s="117"/>
      <c r="F1" s="117"/>
      <c r="G1" s="117"/>
      <c r="H1" s="18"/>
      <c r="J1" s="117" t="s">
        <v>91</v>
      </c>
      <c r="K1" s="117"/>
      <c r="L1" s="117"/>
      <c r="M1" s="117"/>
      <c r="N1" s="117"/>
      <c r="O1" s="117"/>
    </row>
    <row r="2" spans="2:15">
      <c r="E2">
        <v>40</v>
      </c>
    </row>
    <row r="3" spans="2:15" ht="15">
      <c r="B3" s="14" t="s">
        <v>46</v>
      </c>
      <c r="C3" s="15" t="s">
        <v>47</v>
      </c>
      <c r="D3" s="15" t="s">
        <v>48</v>
      </c>
      <c r="E3" s="15" t="s">
        <v>49</v>
      </c>
      <c r="F3" s="15" t="s">
        <v>50</v>
      </c>
      <c r="G3" s="15" t="s">
        <v>51</v>
      </c>
      <c r="L3">
        <v>40</v>
      </c>
    </row>
    <row r="4" spans="2:15" ht="15.6">
      <c r="B4" s="14" t="s">
        <v>52</v>
      </c>
      <c r="C4" s="15">
        <v>14</v>
      </c>
      <c r="D4" s="15">
        <f>C4*1000</f>
        <v>14000</v>
      </c>
      <c r="E4" s="16">
        <f>D4/$E$2</f>
        <v>350</v>
      </c>
      <c r="F4" s="15">
        <v>350</v>
      </c>
      <c r="G4" s="16">
        <f>E4-F4</f>
        <v>0</v>
      </c>
      <c r="J4" s="46"/>
      <c r="K4" s="46" t="s">
        <v>93</v>
      </c>
      <c r="L4" s="46" t="s">
        <v>94</v>
      </c>
    </row>
    <row r="5" spans="2:15" ht="15.6">
      <c r="B5" s="14" t="s">
        <v>53</v>
      </c>
      <c r="C5" s="15">
        <v>9</v>
      </c>
      <c r="D5" s="15">
        <f t="shared" ref="D5:D15" si="0">C5*1000</f>
        <v>9000</v>
      </c>
      <c r="E5" s="16">
        <f t="shared" ref="E5:E15" si="1">D5/$E$2</f>
        <v>225</v>
      </c>
      <c r="F5" s="15">
        <v>225</v>
      </c>
      <c r="G5" s="16">
        <f t="shared" ref="G5:G15" si="2">E5-F5</f>
        <v>0</v>
      </c>
      <c r="J5" s="15" t="s">
        <v>92</v>
      </c>
      <c r="K5" s="46">
        <v>5000</v>
      </c>
      <c r="L5" s="46">
        <f>K5/$L$3</f>
        <v>125</v>
      </c>
    </row>
    <row r="6" spans="2:15" ht="15.6">
      <c r="B6" s="14" t="s">
        <v>54</v>
      </c>
      <c r="C6" s="15">
        <v>8</v>
      </c>
      <c r="D6" s="15">
        <f t="shared" si="0"/>
        <v>8000</v>
      </c>
      <c r="E6" s="16">
        <f t="shared" si="1"/>
        <v>200</v>
      </c>
      <c r="F6" s="15">
        <v>200</v>
      </c>
      <c r="G6" s="16">
        <f t="shared" si="2"/>
        <v>0</v>
      </c>
      <c r="J6" s="46"/>
      <c r="K6" s="46"/>
      <c r="L6" s="46"/>
    </row>
    <row r="7" spans="2:15" ht="15.6">
      <c r="B7" s="14" t="s">
        <v>55</v>
      </c>
      <c r="C7" s="15">
        <v>12</v>
      </c>
      <c r="D7" s="15">
        <f t="shared" si="0"/>
        <v>12000</v>
      </c>
      <c r="E7" s="16">
        <f t="shared" si="1"/>
        <v>300</v>
      </c>
      <c r="F7" s="15">
        <v>300</v>
      </c>
      <c r="G7" s="16">
        <f t="shared" si="2"/>
        <v>0</v>
      </c>
      <c r="J7" s="118" t="s">
        <v>95</v>
      </c>
      <c r="K7" s="46">
        <v>3000</v>
      </c>
      <c r="L7" s="46">
        <f>K7/$L$3</f>
        <v>75</v>
      </c>
    </row>
    <row r="8" spans="2:15" ht="15.6">
      <c r="B8" s="14" t="s">
        <v>56</v>
      </c>
      <c r="C8" s="15">
        <v>8</v>
      </c>
      <c r="D8" s="15">
        <f t="shared" si="0"/>
        <v>8000</v>
      </c>
      <c r="E8" s="16">
        <f t="shared" si="1"/>
        <v>200</v>
      </c>
      <c r="F8" s="15">
        <v>200</v>
      </c>
      <c r="G8" s="16">
        <f t="shared" si="2"/>
        <v>0</v>
      </c>
      <c r="J8" s="119"/>
      <c r="K8" s="46">
        <v>7000</v>
      </c>
      <c r="L8" s="46">
        <f>K8/$L$3</f>
        <v>175</v>
      </c>
    </row>
    <row r="9" spans="2:15" ht="15.6">
      <c r="B9" s="14" t="s">
        <v>57</v>
      </c>
      <c r="C9" s="15">
        <v>13</v>
      </c>
      <c r="D9" s="15">
        <f t="shared" si="0"/>
        <v>13000</v>
      </c>
      <c r="E9" s="16">
        <f t="shared" si="1"/>
        <v>325</v>
      </c>
      <c r="F9" s="15">
        <v>313</v>
      </c>
      <c r="G9" s="16">
        <f t="shared" si="2"/>
        <v>12</v>
      </c>
      <c r="J9" s="46"/>
      <c r="K9" s="47">
        <f>AVERAGE(K7:K8)</f>
        <v>5000</v>
      </c>
      <c r="L9" s="47">
        <f>K9/$L$3</f>
        <v>125</v>
      </c>
    </row>
    <row r="10" spans="2:15" ht="15">
      <c r="B10" s="14" t="s">
        <v>58</v>
      </c>
      <c r="C10" s="15">
        <v>20</v>
      </c>
      <c r="D10" s="15">
        <f t="shared" si="0"/>
        <v>20000</v>
      </c>
      <c r="E10" s="16">
        <f t="shared" si="1"/>
        <v>500</v>
      </c>
      <c r="F10" s="15">
        <v>500</v>
      </c>
      <c r="G10" s="16">
        <f t="shared" si="2"/>
        <v>0</v>
      </c>
    </row>
    <row r="11" spans="2:15" ht="15">
      <c r="B11" s="14" t="s">
        <v>59</v>
      </c>
      <c r="C11" s="15">
        <v>16</v>
      </c>
      <c r="D11" s="15">
        <f t="shared" si="0"/>
        <v>16000</v>
      </c>
      <c r="E11" s="16">
        <f t="shared" si="1"/>
        <v>400</v>
      </c>
      <c r="F11" s="15">
        <v>400</v>
      </c>
      <c r="G11" s="16">
        <f t="shared" si="2"/>
        <v>0</v>
      </c>
    </row>
    <row r="12" spans="2:15" ht="15">
      <c r="B12" s="14" t="s">
        <v>60</v>
      </c>
      <c r="C12" s="15">
        <v>18</v>
      </c>
      <c r="D12" s="15">
        <f t="shared" si="0"/>
        <v>18000</v>
      </c>
      <c r="E12" s="16">
        <f t="shared" si="1"/>
        <v>450</v>
      </c>
      <c r="F12" s="15">
        <v>450</v>
      </c>
      <c r="G12" s="16">
        <f t="shared" si="2"/>
        <v>0</v>
      </c>
    </row>
    <row r="13" spans="2:15" ht="15">
      <c r="B13" s="14" t="s">
        <v>61</v>
      </c>
      <c r="C13" s="15">
        <v>18</v>
      </c>
      <c r="D13" s="15">
        <f t="shared" si="0"/>
        <v>18000</v>
      </c>
      <c r="E13" s="16">
        <f t="shared" si="1"/>
        <v>450</v>
      </c>
      <c r="F13" s="15">
        <v>450</v>
      </c>
      <c r="G13" s="16">
        <f t="shared" si="2"/>
        <v>0</v>
      </c>
    </row>
    <row r="14" spans="2:15" ht="15">
      <c r="B14" s="14" t="s">
        <v>62</v>
      </c>
      <c r="C14" s="15">
        <v>20</v>
      </c>
      <c r="D14" s="15">
        <f t="shared" si="0"/>
        <v>20000</v>
      </c>
      <c r="E14" s="16">
        <f t="shared" si="1"/>
        <v>500</v>
      </c>
      <c r="F14" s="15">
        <v>500</v>
      </c>
      <c r="G14" s="16">
        <f t="shared" si="2"/>
        <v>0</v>
      </c>
    </row>
    <row r="15" spans="2:15" ht="15">
      <c r="B15" s="14" t="s">
        <v>63</v>
      </c>
      <c r="C15" s="15">
        <v>12</v>
      </c>
      <c r="D15" s="15">
        <f t="shared" si="0"/>
        <v>12000</v>
      </c>
      <c r="E15" s="16">
        <f t="shared" si="1"/>
        <v>300</v>
      </c>
      <c r="F15" s="15">
        <v>300</v>
      </c>
      <c r="G15" s="16">
        <f t="shared" si="2"/>
        <v>0</v>
      </c>
    </row>
    <row r="16" spans="2:15" ht="15.6">
      <c r="B16" s="43"/>
      <c r="C16" s="44">
        <f>AVERAGE(C4:C15)</f>
        <v>14</v>
      </c>
      <c r="D16" s="44">
        <f>AVERAGE(D4:D15)</f>
        <v>14000</v>
      </c>
      <c r="E16" s="45">
        <f>AVERAGE(E4:E15)</f>
        <v>350</v>
      </c>
      <c r="F16" s="45">
        <f>AVERAGE(F4:F15)</f>
        <v>349</v>
      </c>
      <c r="G16" s="17">
        <f>AVERAGE(G4:G15)</f>
        <v>1</v>
      </c>
    </row>
    <row r="19" spans="6:8">
      <c r="F19" s="31" t="s">
        <v>96</v>
      </c>
      <c r="G19" s="31"/>
      <c r="H19" s="13">
        <f>F16+L9</f>
        <v>474</v>
      </c>
    </row>
  </sheetData>
  <mergeCells count="3">
    <mergeCell ref="B1:G1"/>
    <mergeCell ref="J1:O1"/>
    <mergeCell ref="J7:J8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8099-6CE3-4527-8F69-9D1C12BB2F53}">
  <dimension ref="B2:C5"/>
  <sheetViews>
    <sheetView workbookViewId="0">
      <selection activeCell="B5" sqref="B5"/>
    </sheetView>
  </sheetViews>
  <sheetFormatPr defaultRowHeight="14.4"/>
  <sheetData>
    <row r="2" spans="2:3">
      <c r="B2" s="11" t="s">
        <v>37</v>
      </c>
    </row>
    <row r="4" spans="2:3">
      <c r="B4">
        <v>1</v>
      </c>
      <c r="C4" t="s">
        <v>38</v>
      </c>
    </row>
    <row r="5" spans="2:3">
      <c r="B5">
        <v>2</v>
      </c>
      <c r="C5" t="s">
        <v>39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D7D9-0CD7-46F7-9053-606920DD02CC}">
  <dimension ref="C1:M24"/>
  <sheetViews>
    <sheetView zoomScale="130" workbookViewId="0">
      <selection activeCell="H13" sqref="H13"/>
    </sheetView>
  </sheetViews>
  <sheetFormatPr defaultRowHeight="14.4"/>
  <cols>
    <col min="3" max="3" width="22.6640625" bestFit="1" customWidth="1"/>
    <col min="5" max="5" width="6.109375" customWidth="1"/>
    <col min="6" max="6" width="7.109375" customWidth="1"/>
    <col min="7" max="7" width="25" customWidth="1"/>
    <col min="8" max="8" width="11.44140625" customWidth="1"/>
    <col min="10" max="10" width="2.77734375" customWidth="1"/>
    <col min="11" max="11" width="16.44140625" bestFit="1" customWidth="1"/>
    <col min="13" max="13" width="16.44140625" customWidth="1"/>
  </cols>
  <sheetData>
    <row r="1" spans="3:13" ht="15" thickBot="1"/>
    <row r="2" spans="3:13">
      <c r="C2" s="112" t="s">
        <v>2</v>
      </c>
      <c r="D2" s="113"/>
      <c r="E2" s="113"/>
      <c r="F2" s="113"/>
      <c r="G2" s="113"/>
      <c r="H2" s="113"/>
      <c r="I2" s="113"/>
      <c r="J2" s="113"/>
      <c r="K2" s="113"/>
      <c r="L2" s="114"/>
      <c r="M2" t="s">
        <v>103</v>
      </c>
    </row>
    <row r="3" spans="3:13">
      <c r="C3" s="20" t="s">
        <v>24</v>
      </c>
      <c r="G3" s="2" t="s">
        <v>14</v>
      </c>
      <c r="K3" s="2" t="s">
        <v>32</v>
      </c>
      <c r="L3" s="21"/>
      <c r="M3" t="s">
        <v>102</v>
      </c>
    </row>
    <row r="4" spans="3:13">
      <c r="C4" s="22" t="s">
        <v>1</v>
      </c>
      <c r="D4" s="3">
        <v>450</v>
      </c>
      <c r="G4" s="6" t="s">
        <v>15</v>
      </c>
      <c r="H4" s="7">
        <f>D15*E15/D4</f>
        <v>35.342222222222219</v>
      </c>
      <c r="I4" s="19">
        <f t="shared" ref="I4:I14" si="0">H4/$H$14</f>
        <v>8.0630278941017805E-2</v>
      </c>
      <c r="K4" s="3" t="s">
        <v>29</v>
      </c>
      <c r="L4" s="23">
        <v>1</v>
      </c>
      <c r="M4" t="s">
        <v>101</v>
      </c>
    </row>
    <row r="5" spans="3:13">
      <c r="C5" s="22" t="s">
        <v>3</v>
      </c>
      <c r="D5" s="3">
        <v>12</v>
      </c>
      <c r="G5" s="6" t="s">
        <v>42</v>
      </c>
      <c r="H5" s="7">
        <f>D15*E16/D4</f>
        <v>8.8355555555555547</v>
      </c>
      <c r="I5" s="19">
        <f t="shared" si="0"/>
        <v>2.0157569735254451E-2</v>
      </c>
      <c r="K5" s="6" t="s">
        <v>30</v>
      </c>
      <c r="L5" s="24">
        <f>D4*(H14-H10)</f>
        <v>197246</v>
      </c>
    </row>
    <row r="6" spans="3:13">
      <c r="C6" s="25" t="s">
        <v>6</v>
      </c>
      <c r="D6" s="7">
        <f>30/D5</f>
        <v>2.5</v>
      </c>
      <c r="G6" s="6" t="s">
        <v>16</v>
      </c>
      <c r="H6" s="7">
        <f>D16/D4</f>
        <v>66.666666666666671</v>
      </c>
      <c r="I6" s="19">
        <f t="shared" si="0"/>
        <v>0.15209433904870062</v>
      </c>
      <c r="K6" s="6" t="s">
        <v>31</v>
      </c>
      <c r="L6" s="24">
        <f>L5*12</f>
        <v>2366952</v>
      </c>
    </row>
    <row r="7" spans="3:13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17.479999999999997</v>
      </c>
      <c r="I7" s="19">
        <f t="shared" si="0"/>
        <v>3.9879135698569289E-2</v>
      </c>
      <c r="K7" s="6" t="s">
        <v>0</v>
      </c>
      <c r="L7" s="24">
        <f>L5*L4</f>
        <v>197246</v>
      </c>
    </row>
    <row r="8" spans="3:13">
      <c r="C8" s="22" t="s">
        <v>4</v>
      </c>
      <c r="D8" s="5">
        <f>D4/D6*(1+D7)</f>
        <v>206.99999999999997</v>
      </c>
      <c r="E8" s="3">
        <v>1800</v>
      </c>
      <c r="G8" s="6" t="s">
        <v>19</v>
      </c>
      <c r="H8" s="6">
        <v>5</v>
      </c>
      <c r="I8" s="19">
        <f t="shared" si="0"/>
        <v>1.1407075428652545E-2</v>
      </c>
      <c r="L8" s="21"/>
    </row>
    <row r="9" spans="3:13">
      <c r="C9" s="22" t="s">
        <v>8</v>
      </c>
      <c r="D9" s="3">
        <v>0</v>
      </c>
      <c r="E9" s="3">
        <v>18000</v>
      </c>
      <c r="G9" s="3" t="s">
        <v>18</v>
      </c>
      <c r="H9" s="5">
        <v>85</v>
      </c>
      <c r="I9" s="19">
        <f t="shared" si="0"/>
        <v>0.19392028228709327</v>
      </c>
      <c r="L9" s="21"/>
    </row>
    <row r="10" spans="3:13">
      <c r="C10" s="22" t="s">
        <v>7</v>
      </c>
      <c r="D10" s="48">
        <v>0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3">
      <c r="C11" s="22" t="s">
        <v>21</v>
      </c>
      <c r="D11" s="48">
        <v>0.5</v>
      </c>
      <c r="E11" s="3">
        <v>20000</v>
      </c>
      <c r="G11" s="3" t="s">
        <v>22</v>
      </c>
      <c r="H11" s="3">
        <v>40</v>
      </c>
      <c r="I11" s="19">
        <f t="shared" si="0"/>
        <v>9.1256603429220359E-2</v>
      </c>
      <c r="L11" s="21"/>
    </row>
    <row r="12" spans="3:13">
      <c r="C12" s="22" t="s">
        <v>10</v>
      </c>
      <c r="D12" s="48">
        <v>0.5</v>
      </c>
      <c r="E12" s="3">
        <v>40000</v>
      </c>
      <c r="G12" s="3" t="s">
        <v>97</v>
      </c>
      <c r="H12" s="3">
        <v>80</v>
      </c>
      <c r="I12" s="19">
        <f t="shared" si="0"/>
        <v>0.18251320685844072</v>
      </c>
      <c r="L12" s="21"/>
    </row>
    <row r="13" spans="3:13">
      <c r="C13" s="22" t="s">
        <v>9</v>
      </c>
      <c r="D13" s="3">
        <v>0</v>
      </c>
      <c r="E13" s="3">
        <v>40000</v>
      </c>
      <c r="G13" s="8" t="s">
        <v>26</v>
      </c>
      <c r="H13" s="8">
        <v>100</v>
      </c>
      <c r="I13" s="19">
        <f t="shared" si="0"/>
        <v>0.22814150857305091</v>
      </c>
      <c r="L13" s="21"/>
    </row>
    <row r="14" spans="3:13">
      <c r="C14" s="26" t="s">
        <v>11</v>
      </c>
      <c r="D14" s="10">
        <v>1</v>
      </c>
      <c r="E14" s="3">
        <v>25000</v>
      </c>
      <c r="G14" s="6" t="s">
        <v>20</v>
      </c>
      <c r="H14" s="49">
        <f>SUM(H4:H13)</f>
        <v>438.32444444444445</v>
      </c>
      <c r="I14" s="19">
        <f t="shared" si="0"/>
        <v>1</v>
      </c>
      <c r="L14" s="21"/>
    </row>
    <row r="15" spans="3:13">
      <c r="C15" s="25" t="s">
        <v>12</v>
      </c>
      <c r="D15" s="6">
        <f>D8*E8+D14*E14</f>
        <v>397599.99999999994</v>
      </c>
      <c r="E15" s="4">
        <v>0.04</v>
      </c>
      <c r="F15" t="s">
        <v>40</v>
      </c>
      <c r="G15" s="9" t="s">
        <v>26</v>
      </c>
      <c r="H15" s="6">
        <f>H13*D4</f>
        <v>45000</v>
      </c>
      <c r="I15" s="19"/>
      <c r="L15" s="21"/>
    </row>
    <row r="16" spans="3:13">
      <c r="C16" s="25" t="s">
        <v>13</v>
      </c>
      <c r="D16" s="6">
        <f>SUMPRODUCT(D9:D13,E9:E13)</f>
        <v>30000</v>
      </c>
      <c r="E16" s="4">
        <v>0.01</v>
      </c>
      <c r="F16" t="s">
        <v>41</v>
      </c>
      <c r="G16" s="6" t="s">
        <v>25</v>
      </c>
      <c r="H16" s="6">
        <f>(H12+H13)*D4</f>
        <v>81000</v>
      </c>
      <c r="L16" s="21"/>
    </row>
    <row r="17" spans="3:12">
      <c r="C17" s="27"/>
      <c r="G17" s="6" t="s">
        <v>27</v>
      </c>
      <c r="H17" s="7">
        <f>D15/(H16+H4*D4)</f>
        <v>4.1030298026913226</v>
      </c>
      <c r="L17" s="21"/>
    </row>
    <row r="18" spans="3:12" ht="15" thickBot="1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>
      <c r="G20" s="32">
        <v>0.05</v>
      </c>
      <c r="H20" s="12"/>
    </row>
    <row r="21" spans="3:12" ht="28.8">
      <c r="C21" s="33"/>
      <c r="D21" s="33" t="s">
        <v>67</v>
      </c>
      <c r="E21" s="33" t="s">
        <v>66</v>
      </c>
      <c r="F21" s="33" t="s">
        <v>64</v>
      </c>
      <c r="G21" s="33" t="s">
        <v>65</v>
      </c>
    </row>
    <row r="22" spans="3:12">
      <c r="C22" s="34" t="s">
        <v>18</v>
      </c>
      <c r="D22" s="3">
        <v>40</v>
      </c>
      <c r="E22" s="3">
        <v>12</v>
      </c>
      <c r="F22" s="13">
        <f>D22*E22</f>
        <v>480</v>
      </c>
      <c r="G22" s="13">
        <f>F22/(1-G20)</f>
        <v>505.26315789473688</v>
      </c>
    </row>
    <row r="23" spans="3:12">
      <c r="D23">
        <f>D22*D4</f>
        <v>18000</v>
      </c>
      <c r="E23" t="s">
        <v>98</v>
      </c>
    </row>
    <row r="24" spans="3:12">
      <c r="C24" t="s">
        <v>99</v>
      </c>
    </row>
  </sheetData>
  <mergeCells count="1">
    <mergeCell ref="C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Quotation </vt:lpstr>
      <vt:lpstr>Reverse Logistics-Plastic seal</vt:lpstr>
      <vt:lpstr>Reverse Logistics-Metal Seal</vt:lpstr>
      <vt:lpstr>Reverse Logistics</vt:lpstr>
      <vt:lpstr>Reverse logistics with port</vt:lpstr>
      <vt:lpstr>summary</vt:lpstr>
      <vt:lpstr>Trip count</vt:lpstr>
      <vt:lpstr>Reverse Logistics-Metal client</vt:lpstr>
      <vt:lpstr>Fixed Installations</vt:lpstr>
      <vt:lpstr>Trips details</vt:lpstr>
      <vt:lpstr>Notes</vt:lpstr>
      <vt:lpstr>Llyods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</dc:creator>
  <cp:lastModifiedBy>AT Dell</cp:lastModifiedBy>
  <cp:lastPrinted>2024-11-16T04:29:50Z</cp:lastPrinted>
  <dcterms:created xsi:type="dcterms:W3CDTF">2020-09-10T12:28:26Z</dcterms:created>
  <dcterms:modified xsi:type="dcterms:W3CDTF">2025-11-03T11:59:36Z</dcterms:modified>
</cp:coreProperties>
</file>