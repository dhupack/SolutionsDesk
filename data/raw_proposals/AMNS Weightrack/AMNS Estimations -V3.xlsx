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Manoj\Manoj\Axestrack\Solutions\AMNS Weighttrack\"/>
    </mc:Choice>
  </mc:AlternateContent>
  <xr:revisionPtr revIDLastSave="0" documentId="13_ncr:1_{00DB31D3-9858-4C35-B009-63F2308FEB1D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Sheet3" sheetId="7" state="hidden" r:id="rId1"/>
    <sheet name="Commercials Final" sheetId="16" r:id="rId2"/>
    <sheet name="Commercials" sheetId="9" r:id="rId3"/>
    <sheet name="Software charges" sheetId="15" r:id="rId4"/>
    <sheet name="Sheet7" sheetId="17" r:id="rId5"/>
    <sheet name="Hardware" sheetId="6" r:id="rId6"/>
    <sheet name="Manpower Cost" sheetId="8" r:id="rId7"/>
    <sheet name="Sheet2" sheetId="13" r:id="rId8"/>
    <sheet name="Sheet4" sheetId="14" r:id="rId9"/>
    <sheet name="BOQ" sheetId="1" r:id="rId10"/>
    <sheet name="Track and Trace" sheetId="10" r:id="rId11"/>
    <sheet name="Master" sheetId="4" r:id="rId12"/>
    <sheet name="Copy" sheetId="11" state="hidden" r:id="rId13"/>
  </sheets>
  <externalReferences>
    <externalReference r:id="rId14"/>
  </externalReferences>
  <definedNames>
    <definedName name="_xlnm._FilterDatabase" localSheetId="2" hidden="1">Commercials!$A$28:$K$28</definedName>
    <definedName name="_xlnm._FilterDatabase" localSheetId="1" hidden="1">'Commercials Final'!$A$11:$F$11</definedName>
    <definedName name="_xlnm._FilterDatabase" localSheetId="12" hidden="1">Copy!$A$15:$G$15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9" l="1"/>
  <c r="N4" i="15"/>
  <c r="F6" i="17"/>
  <c r="F3" i="17"/>
  <c r="F4" i="17"/>
  <c r="F5" i="17"/>
  <c r="F2" i="17"/>
  <c r="C4" i="17"/>
  <c r="C2" i="17"/>
  <c r="B2" i="15"/>
  <c r="N16" i="15"/>
  <c r="J22" i="15"/>
  <c r="J16" i="15"/>
  <c r="J17" i="15" s="1"/>
  <c r="B19" i="15"/>
  <c r="B18" i="15"/>
  <c r="B17" i="15"/>
  <c r="B16" i="15"/>
  <c r="K18" i="15"/>
  <c r="J18" i="15"/>
  <c r="K19" i="15" s="1"/>
  <c r="K20" i="15" s="1"/>
  <c r="K14" i="15"/>
  <c r="L5" i="15"/>
  <c r="L6" i="15" s="1"/>
  <c r="L4" i="15"/>
  <c r="D6" i="16"/>
  <c r="D4" i="16"/>
  <c r="D5" i="16"/>
  <c r="I21" i="9"/>
  <c r="J5" i="15"/>
  <c r="J4" i="15"/>
  <c r="H4" i="15"/>
  <c r="H9" i="15" s="1"/>
  <c r="F3" i="15"/>
  <c r="L5" i="9"/>
  <c r="E27" i="9"/>
  <c r="G27" i="9" s="1"/>
  <c r="I27" i="9" s="1"/>
  <c r="L8" i="9" s="1"/>
  <c r="E26" i="9"/>
  <c r="G26" i="9" s="1"/>
  <c r="I26" i="9" s="1"/>
  <c r="C7" i="10"/>
  <c r="C6" i="10"/>
  <c r="C5" i="10"/>
  <c r="C4" i="10"/>
  <c r="J19" i="15" l="1"/>
  <c r="L9" i="15"/>
  <c r="H5" i="15"/>
  <c r="H6" i="15" s="1"/>
  <c r="O17" i="8"/>
  <c r="G17" i="8"/>
  <c r="F22" i="9"/>
  <c r="E22" i="9"/>
  <c r="G18" i="9"/>
  <c r="O16" i="8"/>
  <c r="G16" i="8"/>
  <c r="O15" i="8"/>
  <c r="G15" i="8"/>
  <c r="O14" i="8"/>
  <c r="G14" i="8"/>
  <c r="C8" i="8"/>
  <c r="M7" i="8"/>
  <c r="L7" i="8"/>
  <c r="G7" i="8"/>
  <c r="N6" i="8"/>
  <c r="M6" i="8"/>
  <c r="L6" i="8"/>
  <c r="M5" i="8"/>
  <c r="L5" i="8"/>
  <c r="G5" i="8"/>
  <c r="S7" i="8" l="1"/>
  <c r="S6" i="8"/>
  <c r="O18" i="8"/>
  <c r="G18" i="8"/>
  <c r="G17" i="9" s="1"/>
  <c r="I17" i="9" s="1"/>
  <c r="S5" i="8"/>
  <c r="G22" i="9"/>
  <c r="G8" i="8"/>
  <c r="G16" i="9" s="1"/>
  <c r="I16" i="9" s="1"/>
  <c r="I18" i="9"/>
  <c r="L4" i="9" s="1"/>
  <c r="S8" i="8" l="1"/>
  <c r="I22" i="9"/>
  <c r="I19" i="9"/>
  <c r="G19" i="9"/>
  <c r="L7" i="9" l="1"/>
  <c r="G23" i="9" s="1"/>
  <c r="G24" i="9" s="1"/>
  <c r="B6" i="15"/>
  <c r="E23" i="9"/>
  <c r="L3" i="9"/>
  <c r="L9" i="9" s="1"/>
  <c r="M22" i="9"/>
  <c r="I23" i="9"/>
  <c r="I24" i="9" s="1"/>
  <c r="D5" i="6"/>
  <c r="D6" i="6"/>
  <c r="D7" i="6"/>
  <c r="D8" i="6"/>
  <c r="K8" i="6" s="1"/>
  <c r="D9" i="6"/>
  <c r="D10" i="6"/>
  <c r="F10" i="6" s="1"/>
  <c r="D11" i="6"/>
  <c r="F11" i="6" s="1"/>
  <c r="D12" i="6"/>
  <c r="F12" i="6" s="1"/>
  <c r="D13" i="6"/>
  <c r="F13" i="6" s="1"/>
  <c r="D14" i="6"/>
  <c r="F14" i="6" s="1"/>
  <c r="D15" i="6"/>
  <c r="D16" i="6"/>
  <c r="K16" i="6" s="1"/>
  <c r="D4" i="6"/>
  <c r="I17" i="6"/>
  <c r="C17" i="6"/>
  <c r="G16" i="6"/>
  <c r="G15" i="6"/>
  <c r="J15" i="6" s="1"/>
  <c r="G14" i="6"/>
  <c r="J14" i="6" s="1"/>
  <c r="G13" i="6"/>
  <c r="J13" i="6" s="1"/>
  <c r="G12" i="6"/>
  <c r="J12" i="6" s="1"/>
  <c r="G11" i="6"/>
  <c r="J11" i="6" s="1"/>
  <c r="G10" i="6"/>
  <c r="G9" i="6"/>
  <c r="J9" i="6" s="1"/>
  <c r="G8" i="6"/>
  <c r="J8" i="6" s="1"/>
  <c r="G7" i="6"/>
  <c r="J7" i="6" s="1"/>
  <c r="K6" i="6"/>
  <c r="G6" i="6"/>
  <c r="J6" i="6" s="1"/>
  <c r="K5" i="6"/>
  <c r="B17" i="6"/>
  <c r="G4" i="6"/>
  <c r="J4" i="6" s="1"/>
  <c r="F4" i="15" l="1"/>
  <c r="G4" i="15" s="1"/>
  <c r="B8" i="15"/>
  <c r="H4" i="6"/>
  <c r="H9" i="6"/>
  <c r="H7" i="6"/>
  <c r="E16" i="6"/>
  <c r="F16" i="6"/>
  <c r="H16" i="6"/>
  <c r="K10" i="6"/>
  <c r="L6" i="6"/>
  <c r="L8" i="6"/>
  <c r="K13" i="6"/>
  <c r="L13" i="6" s="1"/>
  <c r="K4" i="6"/>
  <c r="L4" i="6" s="1"/>
  <c r="K7" i="6"/>
  <c r="L7" i="6" s="1"/>
  <c r="K9" i="6"/>
  <c r="L9" i="6" s="1"/>
  <c r="H6" i="6"/>
  <c r="H8" i="6"/>
  <c r="K12" i="6"/>
  <c r="L12" i="6" s="1"/>
  <c r="E15" i="6"/>
  <c r="J10" i="6"/>
  <c r="H10" i="6"/>
  <c r="K15" i="6"/>
  <c r="L15" i="6" s="1"/>
  <c r="J16" i="6"/>
  <c r="L16" i="6" s="1"/>
  <c r="H11" i="6"/>
  <c r="F15" i="6"/>
  <c r="H12" i="6"/>
  <c r="H13" i="6"/>
  <c r="H14" i="6"/>
  <c r="K11" i="6"/>
  <c r="L11" i="6" s="1"/>
  <c r="H15" i="6"/>
  <c r="E4" i="6"/>
  <c r="K14" i="6"/>
  <c r="L14" i="6" s="1"/>
  <c r="F4" i="6"/>
  <c r="E5" i="6"/>
  <c r="E6" i="6"/>
  <c r="E7" i="6"/>
  <c r="E8" i="6"/>
  <c r="E9" i="6"/>
  <c r="F5" i="6"/>
  <c r="F6" i="6"/>
  <c r="F7" i="6"/>
  <c r="F8" i="6"/>
  <c r="F9" i="6"/>
  <c r="E10" i="6"/>
  <c r="E11" i="6"/>
  <c r="G5" i="6"/>
  <c r="J5" i="6" s="1"/>
  <c r="E12" i="6"/>
  <c r="E13" i="6"/>
  <c r="E14" i="6"/>
  <c r="L10" i="6" l="1"/>
  <c r="J17" i="6"/>
  <c r="E17" i="6"/>
  <c r="G17" i="6"/>
  <c r="L5" i="6"/>
  <c r="F17" i="6"/>
  <c r="H5" i="6"/>
  <c r="H17" i="6" s="1"/>
  <c r="G13" i="9" s="1"/>
  <c r="E25" i="9" s="1"/>
  <c r="L17" i="6" l="1"/>
  <c r="G14" i="9"/>
  <c r="I14" i="9" s="1"/>
  <c r="I13" i="9"/>
  <c r="G25" i="9" s="1"/>
  <c r="I25" i="9" s="1"/>
  <c r="H37" i="1"/>
  <c r="H38" i="1"/>
  <c r="H16" i="1"/>
  <c r="H10" i="1"/>
  <c r="H5" i="1"/>
  <c r="H41" i="1"/>
  <c r="H43" i="1"/>
  <c r="H44" i="1"/>
  <c r="H45" i="1"/>
  <c r="H46" i="1"/>
  <c r="H42" i="1"/>
  <c r="H3" i="1"/>
  <c r="H4" i="1"/>
  <c r="H6" i="1"/>
  <c r="H7" i="1"/>
  <c r="H8" i="1"/>
  <c r="H9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H34" i="1"/>
  <c r="H35" i="1"/>
  <c r="H36" i="1"/>
  <c r="H39" i="1"/>
  <c r="H40" i="1"/>
  <c r="H2" i="1"/>
  <c r="G15" i="9" l="1"/>
  <c r="G20" i="9" s="1"/>
  <c r="G28" i="9" s="1"/>
  <c r="I15" i="9"/>
  <c r="I20" i="9" s="1"/>
  <c r="I28" i="9" s="1"/>
  <c r="H28" i="9" l="1"/>
  <c r="D7" i="16"/>
  <c r="D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18" authorId="0" shapeId="0" xr:uid="{5E841118-1F6B-4AD3-9AEF-AE4A7842E4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10 API
</t>
        </r>
      </text>
    </comment>
  </commentList>
</comments>
</file>

<file path=xl/sharedStrings.xml><?xml version="1.0" encoding="utf-8"?>
<sst xmlns="http://schemas.openxmlformats.org/spreadsheetml/2006/main" count="360" uniqueCount="179">
  <si>
    <t>Boom Barrier</t>
  </si>
  <si>
    <t>RFID Reader</t>
  </si>
  <si>
    <t>Smart Camera</t>
  </si>
  <si>
    <t>AT Controller</t>
  </si>
  <si>
    <t>LED Display</t>
  </si>
  <si>
    <t>ANPR Camera</t>
  </si>
  <si>
    <t>Gate In</t>
  </si>
  <si>
    <t>Parking Out</t>
  </si>
  <si>
    <t>Parking</t>
  </si>
  <si>
    <t>Parking In</t>
  </si>
  <si>
    <t>Handheld RFID Reader</t>
  </si>
  <si>
    <t>Hardware</t>
  </si>
  <si>
    <t>PA System</t>
  </si>
  <si>
    <t>Traffic Signal</t>
  </si>
  <si>
    <t>Proximity Sensor</t>
  </si>
  <si>
    <t>Enroute</t>
  </si>
  <si>
    <t>Traffic Signal/ Display/ RFID Reader/ Mobile Apllication</t>
  </si>
  <si>
    <t>Loading Point</t>
  </si>
  <si>
    <t>Printer</t>
  </si>
  <si>
    <t>Industrial Grade Tablet</t>
  </si>
  <si>
    <t>Biometric Device</t>
  </si>
  <si>
    <t>Stage</t>
  </si>
  <si>
    <t>#</t>
  </si>
  <si>
    <t>Units (Dabuna)</t>
  </si>
  <si>
    <t xml:space="preserve">Total Hardware </t>
  </si>
  <si>
    <t>Hardware depends on the length of the road and activities to be performed</t>
  </si>
  <si>
    <t>Weigh Bridge</t>
  </si>
  <si>
    <t>Dabuna Plant Gate In</t>
  </si>
  <si>
    <t>Qty/Unit</t>
  </si>
  <si>
    <t>Units (Sagasahi)</t>
  </si>
  <si>
    <t>Units (Thakurani)</t>
  </si>
  <si>
    <t>Gate out</t>
  </si>
  <si>
    <t>Quantity</t>
  </si>
  <si>
    <t>Spare</t>
  </si>
  <si>
    <t>Unit Price</t>
  </si>
  <si>
    <t>Hardware Cost</t>
  </si>
  <si>
    <t>Spare Cost</t>
  </si>
  <si>
    <t>Total hardware Quantity</t>
  </si>
  <si>
    <t>Total Price</t>
  </si>
  <si>
    <t>Available at site</t>
  </si>
  <si>
    <t>Net Hardware</t>
  </si>
  <si>
    <t>Net Cost</t>
  </si>
  <si>
    <t>Total</t>
  </si>
  <si>
    <t>Row Labels</t>
  </si>
  <si>
    <t>Grand Total</t>
  </si>
  <si>
    <t xml:space="preserve">Sum of Total Hardware </t>
  </si>
  <si>
    <t>Price</t>
  </si>
  <si>
    <t>Phase 1</t>
  </si>
  <si>
    <t>Installation, Training &amp; Configuration Cost Current (a)</t>
  </si>
  <si>
    <t>Project Management Cost ( c)</t>
  </si>
  <si>
    <t>Type of Manpower</t>
  </si>
  <si>
    <t>Count per shift</t>
  </si>
  <si>
    <t>Nos. of shifts</t>
  </si>
  <si>
    <t>Cost per unit</t>
  </si>
  <si>
    <t>Duration in Months</t>
  </si>
  <si>
    <t>Type</t>
  </si>
  <si>
    <t>Travel Allowance</t>
  </si>
  <si>
    <t>Travel Cost</t>
  </si>
  <si>
    <t>Stay Cost per Day</t>
  </si>
  <si>
    <t>Days per trip</t>
  </si>
  <si>
    <t>Frequency
(Annually)</t>
  </si>
  <si>
    <t>PM</t>
  </si>
  <si>
    <t>Project Manager</t>
  </si>
  <si>
    <t>Per Year</t>
  </si>
  <si>
    <t>Hardware Engineers</t>
  </si>
  <si>
    <t>Project Coordinator</t>
  </si>
  <si>
    <t>Software Engineers</t>
  </si>
  <si>
    <t>Misc Travel</t>
  </si>
  <si>
    <t>Operations-Onsite Manpower, Support &amp; Maintenance Cost (Hyper Care)</t>
  </si>
  <si>
    <t xml:space="preserve">Operations-Onsite Manpower, Support &amp; Maintenance Cost current </t>
  </si>
  <si>
    <t>Sr. CS</t>
  </si>
  <si>
    <t xml:space="preserve"> Sr. CS</t>
  </si>
  <si>
    <t xml:space="preserve">Customer </t>
  </si>
  <si>
    <t xml:space="preserve">Date </t>
  </si>
  <si>
    <t xml:space="preserve">Contract Year </t>
  </si>
  <si>
    <t>AMC Cost</t>
  </si>
  <si>
    <t>Second year onwards</t>
  </si>
  <si>
    <t>Hardware Transportation Cost</t>
  </si>
  <si>
    <t>&lt;10 API</t>
  </si>
  <si>
    <t>Model</t>
  </si>
  <si>
    <t>Items</t>
  </si>
  <si>
    <t>Details</t>
  </si>
  <si>
    <t>Unit Cost</t>
  </si>
  <si>
    <t>Duration</t>
  </si>
  <si>
    <t>Total Cost to Axestrack for 3 years</t>
  </si>
  <si>
    <t>Margin</t>
  </si>
  <si>
    <t>One Time Cost</t>
  </si>
  <si>
    <t>One Time</t>
  </si>
  <si>
    <t>Transportation Cost</t>
  </si>
  <si>
    <t>Total Hardware Cost</t>
  </si>
  <si>
    <t>Implementation Cost</t>
  </si>
  <si>
    <t>Installation, Training &amp; Configuration</t>
  </si>
  <si>
    <t>Travel, installation</t>
  </si>
  <si>
    <t>Hypercare- Onsite Manpower, Project Management, Support &amp; Maintenance</t>
  </si>
  <si>
    <t>Hyper care</t>
  </si>
  <si>
    <t>ERP Integration</t>
  </si>
  <si>
    <r>
      <t>Total Installation, Setup,</t>
    </r>
    <r>
      <rPr>
        <sz val="12"/>
        <color theme="1"/>
        <rFont val="Calibri"/>
        <family val="2"/>
        <scheme val="minor"/>
      </rPr>
      <t xml:space="preserve">Hyper Care </t>
    </r>
    <r>
      <rPr>
        <b/>
        <sz val="12"/>
        <color theme="1"/>
        <rFont val="Calibri"/>
        <family val="2"/>
        <scheme val="minor"/>
      </rPr>
      <t>&amp; API Development Cost</t>
    </r>
  </si>
  <si>
    <t>Total One Time Cost</t>
  </si>
  <si>
    <t>Annual Subscription fee</t>
  </si>
  <si>
    <t>Platform Subscription Fee</t>
  </si>
  <si>
    <t>Total Cost of the Project for 3 Years</t>
  </si>
  <si>
    <t>`</t>
  </si>
  <si>
    <t>AMNS Mines</t>
  </si>
  <si>
    <t>Support Engineers (Dabuna)</t>
  </si>
  <si>
    <t>Support Engineers (Mines)</t>
  </si>
  <si>
    <t>Command centre</t>
  </si>
  <si>
    <t>Ongoing Operations, Support and Maintenance</t>
  </si>
  <si>
    <t>MIS</t>
  </si>
  <si>
    <t>Total Subscription &amp; PMO Cost</t>
  </si>
  <si>
    <t>AMC Cost from 2nd year</t>
  </si>
  <si>
    <t>Software Subscription cost per month</t>
  </si>
  <si>
    <t>ERP and Third party Integration</t>
  </si>
  <si>
    <t>Hardware - Mining Automation</t>
  </si>
  <si>
    <t>Cost for 3 Years</t>
  </si>
  <si>
    <t>Per day Trips</t>
  </si>
  <si>
    <t>Per trip</t>
  </si>
  <si>
    <t>Monthly</t>
  </si>
  <si>
    <t>yearly</t>
  </si>
  <si>
    <t>3 years</t>
  </si>
  <si>
    <t>Total cost</t>
  </si>
  <si>
    <t>Track and Trace API- Calculation based on 200 Trips Per day</t>
  </si>
  <si>
    <t>Command and Centre Interface</t>
  </si>
  <si>
    <t>AMC</t>
  </si>
  <si>
    <t>Track and Trace</t>
  </si>
  <si>
    <t>Command centre Inteface</t>
  </si>
  <si>
    <t>s</t>
  </si>
  <si>
    <t>Total Installation, Setup,Hyper Care &amp; API Development Cost</t>
  </si>
  <si>
    <t>Command Centre Interface</t>
  </si>
  <si>
    <t>implementation</t>
  </si>
  <si>
    <t>cs</t>
  </si>
  <si>
    <t>travel</t>
  </si>
  <si>
    <t>Platfor subscription</t>
  </si>
  <si>
    <t>Implementation</t>
  </si>
  <si>
    <t>Hypercare</t>
  </si>
  <si>
    <t>Operations</t>
  </si>
  <si>
    <t>Track &amp; Trace Per Trip</t>
  </si>
  <si>
    <t>RS.35/-</t>
  </si>
  <si>
    <t>Item Description</t>
  </si>
  <si>
    <t>Quote</t>
  </si>
  <si>
    <t>Rs.35/-</t>
  </si>
  <si>
    <t>Platform subscription</t>
  </si>
  <si>
    <t>Onetime</t>
  </si>
  <si>
    <t>Trips</t>
  </si>
  <si>
    <t>TMS</t>
  </si>
  <si>
    <t>opex</t>
  </si>
  <si>
    <t>Trips/month</t>
  </si>
  <si>
    <t>Installation, Training &amp; Configuration and Hypercare</t>
  </si>
  <si>
    <t>ERP and I3MS Integration</t>
  </si>
  <si>
    <t>Total Cost</t>
  </si>
  <si>
    <t xml:space="preserve">AMC </t>
  </si>
  <si>
    <r>
      <t>Total Installation, Setup,Hyper Care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&amp; API Development Cost</t>
    </r>
  </si>
  <si>
    <t>Opex- Per ton cost in Rs.</t>
  </si>
  <si>
    <t>Opex - Subscription fee</t>
  </si>
  <si>
    <t>AMC Cost from 2nd year( for Two years)</t>
  </si>
  <si>
    <t>With our Device</t>
  </si>
  <si>
    <t>Without device including manpower</t>
  </si>
  <si>
    <t>Software</t>
  </si>
  <si>
    <t>maintenance</t>
  </si>
  <si>
    <t>Manpower</t>
  </si>
  <si>
    <t>Fleetx Present</t>
  </si>
  <si>
    <t>Manmohan</t>
  </si>
  <si>
    <t>Proposal</t>
  </si>
  <si>
    <t>ITMS</t>
  </si>
  <si>
    <t xml:space="preserve">Track and trace </t>
  </si>
  <si>
    <t>MCT Lite</t>
  </si>
  <si>
    <t>Risk Mitigation</t>
  </si>
  <si>
    <t>Per ton</t>
  </si>
  <si>
    <t>1500 per device GPS</t>
  </si>
  <si>
    <t>Rs.600 maintenance</t>
  </si>
  <si>
    <t>Manpower- 30000/month/person</t>
  </si>
  <si>
    <t>Minimum billing of 11MTPA per year</t>
  </si>
  <si>
    <t>Revenue</t>
  </si>
  <si>
    <t>GPS per device cost</t>
  </si>
  <si>
    <t>Maintenance cost from second year per device</t>
  </si>
  <si>
    <t>Manpower Management Cost per head per month ( in addition to the mines labour law)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</si>
  <si>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Above commercials are based on Minimum agreed billing of 11 MTPA.</t>
    </r>
  </si>
  <si>
    <t>Other Charges</t>
  </si>
  <si>
    <t>Subscription for CPL, TMS, Track and Trace, Command centre Interface</t>
  </si>
  <si>
    <t>Ton/year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</si>
</sst>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14009]dd\ mmmm\ yyyy;@"/>
    <numFmt numFmtId="167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0" fillId="0" borderId="8" xfId="0" applyBorder="1"/>
    <xf numFmtId="0" fontId="0" fillId="0" borderId="9" xfId="0" applyBorder="1"/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right" wrapText="1" readingOrder="1"/>
    </xf>
    <xf numFmtId="165" fontId="6" fillId="0" borderId="1" xfId="1" applyNumberFormat="1" applyFont="1" applyFill="1" applyBorder="1"/>
    <xf numFmtId="1" fontId="6" fillId="0" borderId="1" xfId="1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5" fontId="7" fillId="8" borderId="1" xfId="1" applyNumberFormat="1" applyFont="1" applyFill="1" applyBorder="1" applyAlignment="1">
      <alignment horizontal="right" wrapText="1" readingOrder="1"/>
    </xf>
    <xf numFmtId="0" fontId="0" fillId="0" borderId="1" xfId="0" applyBorder="1"/>
    <xf numFmtId="1" fontId="0" fillId="0" borderId="1" xfId="0" applyNumberFormat="1" applyBorder="1"/>
    <xf numFmtId="0" fontId="5" fillId="8" borderId="10" xfId="0" applyFont="1" applyFill="1" applyBorder="1" applyAlignment="1">
      <alignment horizontal="center"/>
    </xf>
    <xf numFmtId="165" fontId="0" fillId="0" borderId="0" xfId="0" applyNumberFormat="1"/>
    <xf numFmtId="43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16" xfId="0" applyFont="1" applyBorder="1" applyAlignment="1">
      <alignment horizontal="center"/>
    </xf>
    <xf numFmtId="166" fontId="9" fillId="0" borderId="18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9" fontId="9" fillId="0" borderId="18" xfId="0" applyNumberFormat="1" applyFont="1" applyBorder="1" applyAlignment="1">
      <alignment horizontal="center"/>
    </xf>
    <xf numFmtId="9" fontId="9" fillId="0" borderId="19" xfId="0" applyNumberFormat="1" applyFont="1" applyBorder="1" applyAlignment="1">
      <alignment horizontal="center"/>
    </xf>
    <xf numFmtId="3" fontId="9" fillId="0" borderId="18" xfId="0" applyNumberFormat="1" applyFont="1" applyBorder="1" applyAlignment="1">
      <alignment horizontal="center"/>
    </xf>
    <xf numFmtId="3" fontId="9" fillId="9" borderId="18" xfId="0" applyNumberFormat="1" applyFont="1" applyFill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8" fillId="10" borderId="23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 readingOrder="1"/>
    </xf>
    <xf numFmtId="0" fontId="7" fillId="2" borderId="21" xfId="0" applyFont="1" applyFill="1" applyBorder="1" applyAlignment="1">
      <alignment horizontal="center" vertical="center" wrapText="1" readingOrder="1"/>
    </xf>
    <xf numFmtId="0" fontId="7" fillId="2" borderId="22" xfId="0" applyFont="1" applyFill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165" fontId="3" fillId="0" borderId="2" xfId="1" applyNumberFormat="1" applyFont="1" applyFill="1" applyBorder="1" applyAlignment="1">
      <alignment horizontal="right" vertical="center" wrapText="1" readingOrder="1"/>
    </xf>
    <xf numFmtId="9" fontId="6" fillId="11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5" fontId="7" fillId="5" borderId="1" xfId="1" applyNumberFormat="1" applyFont="1" applyFill="1" applyBorder="1" applyAlignment="1">
      <alignment horizontal="right" vertical="center" wrapText="1" readingOrder="1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horizontal="right" vertical="center" wrapText="1" readingOrder="1"/>
    </xf>
    <xf numFmtId="0" fontId="6" fillId="0" borderId="1" xfId="0" applyFont="1" applyBorder="1" applyAlignment="1">
      <alignment vertical="center"/>
    </xf>
    <xf numFmtId="0" fontId="5" fillId="12" borderId="28" xfId="0" applyFont="1" applyFill="1" applyBorder="1" applyAlignment="1">
      <alignment vertical="center"/>
    </xf>
    <xf numFmtId="0" fontId="5" fillId="12" borderId="10" xfId="0" applyFont="1" applyFill="1" applyBorder="1" applyAlignment="1">
      <alignment horizontal="center" vertical="center"/>
    </xf>
    <xf numFmtId="165" fontId="7" fillId="12" borderId="1" xfId="1" applyNumberFormat="1" applyFont="1" applyFill="1" applyBorder="1" applyAlignment="1">
      <alignment horizontal="right" vertical="center" wrapText="1" readingOrder="1"/>
    </xf>
    <xf numFmtId="0" fontId="5" fillId="1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9" fontId="6" fillId="11" borderId="1" xfId="0" applyNumberFormat="1" applyFont="1" applyFill="1" applyBorder="1" applyAlignment="1">
      <alignment horizontal="center" vertical="center"/>
    </xf>
    <xf numFmtId="165" fontId="5" fillId="12" borderId="28" xfId="1" applyNumberFormat="1" applyFont="1" applyFill="1" applyBorder="1" applyAlignment="1">
      <alignment vertical="center"/>
    </xf>
    <xf numFmtId="0" fontId="5" fillId="12" borderId="10" xfId="0" applyFont="1" applyFill="1" applyBorder="1" applyAlignment="1">
      <alignment horizontal="right" vertical="center"/>
    </xf>
    <xf numFmtId="0" fontId="8" fillId="13" borderId="30" xfId="0" applyFont="1" applyFill="1" applyBorder="1" applyAlignment="1">
      <alignment vertical="center"/>
    </xf>
    <xf numFmtId="0" fontId="8" fillId="13" borderId="31" xfId="0" applyFont="1" applyFill="1" applyBorder="1" applyAlignment="1">
      <alignment vertical="center"/>
    </xf>
    <xf numFmtId="165" fontId="10" fillId="13" borderId="21" xfId="1" applyNumberFormat="1" applyFont="1" applyFill="1" applyBorder="1" applyAlignment="1">
      <alignment horizontal="right" vertical="center" wrapText="1" readingOrder="1"/>
    </xf>
    <xf numFmtId="10" fontId="9" fillId="14" borderId="21" xfId="2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8" xfId="0" applyFont="1" applyBorder="1" applyAlignment="1">
      <alignment vertical="center"/>
    </xf>
    <xf numFmtId="165" fontId="3" fillId="0" borderId="28" xfId="1" applyNumberFormat="1" applyFont="1" applyFill="1" applyBorder="1" applyAlignment="1">
      <alignment horizontal="right" vertical="center" wrapText="1" readingOrder="1"/>
    </xf>
    <xf numFmtId="0" fontId="6" fillId="11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6" fillId="0" borderId="33" xfId="0" applyFont="1" applyBorder="1" applyAlignment="1">
      <alignment vertical="center"/>
    </xf>
    <xf numFmtId="165" fontId="3" fillId="0" borderId="33" xfId="1" applyNumberFormat="1" applyFont="1" applyFill="1" applyBorder="1" applyAlignment="1">
      <alignment horizontal="right" vertical="center" wrapText="1" readingOrder="1"/>
    </xf>
    <xf numFmtId="0" fontId="6" fillId="11" borderId="33" xfId="0" applyFont="1" applyFill="1" applyBorder="1" applyAlignment="1">
      <alignment horizontal="center" vertical="center"/>
    </xf>
    <xf numFmtId="165" fontId="3" fillId="0" borderId="4" xfId="1" applyNumberFormat="1" applyFont="1" applyFill="1" applyBorder="1" applyAlignment="1">
      <alignment horizontal="right" vertical="center" wrapText="1" readingOrder="1"/>
    </xf>
    <xf numFmtId="9" fontId="6" fillId="11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/>
    </xf>
    <xf numFmtId="165" fontId="5" fillId="12" borderId="1" xfId="1" applyNumberFormat="1" applyFont="1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1" fontId="0" fillId="0" borderId="0" xfId="0" applyNumberFormat="1"/>
    <xf numFmtId="0" fontId="5" fillId="0" borderId="34" xfId="0" applyFont="1" applyBorder="1" applyAlignment="1">
      <alignment horizontal="center" vertical="center"/>
    </xf>
    <xf numFmtId="165" fontId="3" fillId="0" borderId="38" xfId="1" applyNumberFormat="1" applyFont="1" applyFill="1" applyBorder="1" applyAlignment="1">
      <alignment horizontal="left" vertical="top" wrapText="1" readingOrder="1"/>
    </xf>
    <xf numFmtId="165" fontId="3" fillId="0" borderId="18" xfId="1" applyNumberFormat="1" applyFont="1" applyFill="1" applyBorder="1" applyAlignment="1">
      <alignment horizontal="left" vertical="top" wrapText="1" readingOrder="1"/>
    </xf>
    <xf numFmtId="0" fontId="0" fillId="0" borderId="0" xfId="0" applyAlignment="1">
      <alignment wrapText="1"/>
    </xf>
    <xf numFmtId="0" fontId="8" fillId="16" borderId="23" xfId="0" applyFont="1" applyFill="1" applyBorder="1" applyAlignment="1">
      <alignment horizontal="center" vertical="center" wrapText="1"/>
    </xf>
    <xf numFmtId="0" fontId="8" fillId="16" borderId="24" xfId="0" applyFont="1" applyFill="1" applyBorder="1" applyAlignment="1">
      <alignment horizontal="center" vertical="center" wrapText="1"/>
    </xf>
    <xf numFmtId="0" fontId="8" fillId="16" borderId="25" xfId="0" applyFont="1" applyFill="1" applyBorder="1" applyAlignment="1">
      <alignment horizontal="center" vertical="center" wrapText="1"/>
    </xf>
    <xf numFmtId="0" fontId="7" fillId="16" borderId="36" xfId="0" applyFont="1" applyFill="1" applyBorder="1" applyAlignment="1">
      <alignment horizontal="center" vertical="center" wrapText="1" readingOrder="1"/>
    </xf>
    <xf numFmtId="0" fontId="5" fillId="4" borderId="35" xfId="0" applyFont="1" applyFill="1" applyBorder="1" applyAlignment="1">
      <alignment vertical="center"/>
    </xf>
    <xf numFmtId="165" fontId="7" fillId="4" borderId="18" xfId="1" applyNumberFormat="1" applyFont="1" applyFill="1" applyBorder="1" applyAlignment="1">
      <alignment horizontal="left" vertical="top" wrapText="1" readingOrder="1"/>
    </xf>
    <xf numFmtId="0" fontId="5" fillId="4" borderId="1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vertical="center"/>
    </xf>
    <xf numFmtId="165" fontId="3" fillId="4" borderId="18" xfId="1" applyNumberFormat="1" applyFont="1" applyFill="1" applyBorder="1" applyAlignment="1">
      <alignment horizontal="left" vertical="top" wrapText="1" readingOrder="1"/>
    </xf>
    <xf numFmtId="0" fontId="5" fillId="4" borderId="1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41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3" fontId="6" fillId="4" borderId="41" xfId="0" applyNumberFormat="1" applyFont="1" applyFill="1" applyBorder="1" applyAlignment="1">
      <alignment horizontal="center" vertical="top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15" borderId="30" xfId="0" applyFont="1" applyFill="1" applyBorder="1" applyAlignment="1">
      <alignment horizontal="left"/>
    </xf>
    <xf numFmtId="0" fontId="6" fillId="15" borderId="31" xfId="0" applyFont="1" applyFill="1" applyBorder="1" applyAlignment="1">
      <alignment horizontal="left"/>
    </xf>
    <xf numFmtId="0" fontId="6" fillId="15" borderId="42" xfId="0" applyFont="1" applyFill="1" applyBorder="1" applyAlignment="1">
      <alignment horizontal="left"/>
    </xf>
    <xf numFmtId="0" fontId="8" fillId="4" borderId="39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8" fillId="13" borderId="31" xfId="0" applyFont="1" applyFill="1" applyBorder="1" applyAlignment="1">
      <alignment horizontal="center" vertical="center"/>
    </xf>
    <xf numFmtId="0" fontId="8" fillId="13" borderId="3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8" fillId="5" borderId="20" xfId="0" applyFont="1" applyFill="1" applyBorder="1" applyAlignment="1">
      <alignment horizontal="left"/>
    </xf>
    <xf numFmtId="0" fontId="8" fillId="5" borderId="21" xfId="0" applyFont="1" applyFill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12" borderId="28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5" borderId="14" xfId="0" applyFont="1" applyFill="1" applyBorder="1" applyAlignment="1">
      <alignment horizontal="left"/>
    </xf>
    <xf numFmtId="0" fontId="8" fillId="5" borderId="15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omma 2" xfId="1" xr:uid="{7D52466D-199E-46FE-8BD0-B998E1A967C0}"/>
    <cellStyle name="Normal" xfId="0" builtinId="0"/>
    <cellStyle name="Percent" xfId="2" builtinId="5"/>
  </cellStyles>
  <dxfs count="7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noj\Manoj\Axestrack\Solutions\JM%20Baxi\BOQ%20and%20Commercials%20v16.xlsx" TargetMode="External"/><Relationship Id="rId1" Type="http://schemas.openxmlformats.org/officeDocument/2006/relationships/externalLinkPath" Target="/Manoj/Manoj/Axestrack/Solutions/JM%20Baxi/BOQ%20and%20Commercials%20v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rcials Full"/>
      <sheetName val="Quotation full"/>
      <sheetName val="Quotation Full Hardware"/>
      <sheetName val="Commercials Phase wise"/>
      <sheetName val="Quotation Phase wise"/>
      <sheetName val="Quotation Phasewise Hardware"/>
      <sheetName val="Total Hardware"/>
      <sheetName val="Manpower-PM Cost"/>
      <sheetName val="BOQ- External"/>
      <sheetName val="BOQ-ITT"/>
      <sheetName val="BOQ-Internal-Vessel "/>
      <sheetName val="BOQ-Internal-Rail"/>
      <sheetName val="TVs + Mob. Cranes"/>
      <sheetName val="Master"/>
      <sheetName val="TEU per month"/>
    </sheetNames>
    <sheetDataSet>
      <sheetData sheetId="0">
        <row r="21">
          <cell r="E21" t="str">
            <v>One Time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B28">
            <v>9</v>
          </cell>
        </row>
        <row r="57">
          <cell r="A57" t="str">
            <v>Project Manager</v>
          </cell>
          <cell r="B57">
            <v>2000</v>
          </cell>
          <cell r="C57">
            <v>20000</v>
          </cell>
          <cell r="D57">
            <v>4500</v>
          </cell>
        </row>
        <row r="58">
          <cell r="A58" t="str">
            <v>Project Engineer</v>
          </cell>
          <cell r="B58">
            <v>1500</v>
          </cell>
          <cell r="C58">
            <v>20000</v>
          </cell>
          <cell r="D58">
            <v>3500</v>
          </cell>
        </row>
        <row r="59">
          <cell r="A59" t="str">
            <v>Project Coordinator</v>
          </cell>
          <cell r="B59">
            <v>1500</v>
          </cell>
          <cell r="C59">
            <v>20000</v>
          </cell>
          <cell r="D59">
            <v>3500</v>
          </cell>
        </row>
        <row r="60">
          <cell r="A60" t="str">
            <v xml:space="preserve">Dedicated Manpower for 4 months </v>
          </cell>
          <cell r="B60">
            <v>0</v>
          </cell>
          <cell r="C60">
            <v>0</v>
          </cell>
          <cell r="D60">
            <v>0</v>
          </cell>
        </row>
        <row r="61">
          <cell r="A61" t="str">
            <v>Misc Travel</v>
          </cell>
          <cell r="B61">
            <v>1500</v>
          </cell>
          <cell r="C61">
            <v>20000</v>
          </cell>
          <cell r="D61">
            <v>6000</v>
          </cell>
        </row>
      </sheetData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470418287034" createdVersion="8" refreshedVersion="8" minRefreshableVersion="3" recordCount="45" xr:uid="{0383E208-3C4E-4E1B-8031-FCC5E18B3714}">
  <cacheSource type="worksheet">
    <worksheetSource ref="A1:H46" sheet="BOQ"/>
  </cacheSource>
  <cacheFields count="8">
    <cacheField name="#" numFmtId="0">
      <sharedItems containsString="0" containsBlank="1" containsNumber="1" containsInteger="1" minValue="1" maxValue="9"/>
    </cacheField>
    <cacheField name="Stage" numFmtId="0">
      <sharedItems containsBlank="1"/>
    </cacheField>
    <cacheField name="Hardware" numFmtId="0">
      <sharedItems count="14">
        <s v="Boom Barrier"/>
        <s v="RFID Reader"/>
        <s v="PA System"/>
        <s v="Industrial Grade Tablet"/>
        <s v="ANPR Camera"/>
        <s v="Smart Camera"/>
        <s v="LED Display"/>
        <s v="AT Controller"/>
        <s v="Traffic Signal"/>
        <s v="Biometric Device"/>
        <s v="Proximity Sensor"/>
        <s v="Traffic Signal/ Display/ RFID Reader/ Mobile Apllication"/>
        <s v="Handheld RFID Reader"/>
        <s v="Printer"/>
      </sharedItems>
    </cacheField>
    <cacheField name="Qty/Unit" numFmtId="0">
      <sharedItems containsString="0" containsBlank="1" containsNumber="1" containsInteger="1" minValue="1" maxValue="3"/>
    </cacheField>
    <cacheField name="Units (Sagasahi)" numFmtId="0">
      <sharedItems containsString="0" containsBlank="1" containsNumber="1" containsInteger="1" minValue="0" maxValue="6"/>
    </cacheField>
    <cacheField name="Units (Thakurani)" numFmtId="0">
      <sharedItems containsString="0" containsBlank="1" containsNumber="1" containsInteger="1" minValue="0" maxValue="6"/>
    </cacheField>
    <cacheField name="Units (Dabuna)" numFmtId="0">
      <sharedItems containsSemiMixedTypes="0" containsString="0" containsNumber="1" containsInteger="1" minValue="0" maxValue="2"/>
    </cacheField>
    <cacheField name="Total Hardware " numFmtId="0">
      <sharedItems containsMixedTypes="1" containsNumber="1" containsInteger="1" minValue="2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s v="Parking In"/>
    <x v="0"/>
    <n v="1"/>
    <n v="2"/>
    <n v="1"/>
    <n v="0"/>
    <n v="3"/>
  </r>
  <r>
    <m/>
    <m/>
    <x v="1"/>
    <n v="1"/>
    <n v="2"/>
    <n v="1"/>
    <n v="0"/>
    <n v="3"/>
  </r>
  <r>
    <m/>
    <m/>
    <x v="2"/>
    <n v="1"/>
    <n v="2"/>
    <n v="1"/>
    <n v="0"/>
    <n v="3"/>
  </r>
  <r>
    <n v="2"/>
    <s v="Parking"/>
    <x v="3"/>
    <n v="2"/>
    <n v="2"/>
    <n v="1"/>
    <n v="0"/>
    <n v="6"/>
  </r>
  <r>
    <n v="3"/>
    <s v="Parking Out"/>
    <x v="0"/>
    <n v="1"/>
    <n v="2"/>
    <n v="1"/>
    <n v="0"/>
    <n v="3"/>
  </r>
  <r>
    <m/>
    <m/>
    <x v="1"/>
    <n v="1"/>
    <n v="2"/>
    <n v="1"/>
    <n v="0"/>
    <n v="3"/>
  </r>
  <r>
    <m/>
    <m/>
    <x v="2"/>
    <n v="1"/>
    <n v="2"/>
    <n v="1"/>
    <n v="0"/>
    <n v="3"/>
  </r>
  <r>
    <n v="4"/>
    <s v="Gate In"/>
    <x v="1"/>
    <n v="1"/>
    <n v="2"/>
    <n v="1"/>
    <n v="0"/>
    <n v="3"/>
  </r>
  <r>
    <m/>
    <m/>
    <x v="3"/>
    <n v="1"/>
    <n v="2"/>
    <n v="1"/>
    <n v="0"/>
    <n v="3"/>
  </r>
  <r>
    <m/>
    <m/>
    <x v="4"/>
    <n v="1"/>
    <n v="2"/>
    <n v="1"/>
    <n v="0"/>
    <n v="3"/>
  </r>
  <r>
    <m/>
    <m/>
    <x v="0"/>
    <n v="1"/>
    <n v="2"/>
    <n v="1"/>
    <n v="0"/>
    <n v="3"/>
  </r>
  <r>
    <m/>
    <m/>
    <x v="5"/>
    <n v="2"/>
    <n v="2"/>
    <n v="1"/>
    <n v="0"/>
    <n v="6"/>
  </r>
  <r>
    <m/>
    <m/>
    <x v="6"/>
    <n v="1"/>
    <n v="2"/>
    <n v="1"/>
    <n v="0"/>
    <n v="3"/>
  </r>
  <r>
    <m/>
    <m/>
    <x v="2"/>
    <n v="1"/>
    <n v="2"/>
    <n v="1"/>
    <n v="0"/>
    <n v="3"/>
  </r>
  <r>
    <m/>
    <m/>
    <x v="7"/>
    <n v="1"/>
    <n v="2"/>
    <n v="1"/>
    <n v="0"/>
    <n v="3"/>
  </r>
  <r>
    <m/>
    <m/>
    <x v="8"/>
    <n v="1"/>
    <n v="2"/>
    <n v="1"/>
    <n v="0"/>
    <n v="3"/>
  </r>
  <r>
    <m/>
    <m/>
    <x v="9"/>
    <n v="1"/>
    <n v="2"/>
    <n v="1"/>
    <n v="0"/>
    <n v="3"/>
  </r>
  <r>
    <n v="5"/>
    <s v="Weigh Bridge"/>
    <x v="0"/>
    <n v="2"/>
    <n v="6"/>
    <n v="6"/>
    <n v="0"/>
    <n v="24"/>
  </r>
  <r>
    <m/>
    <m/>
    <x v="2"/>
    <n v="1"/>
    <n v="6"/>
    <n v="6"/>
    <n v="0"/>
    <n v="12"/>
  </r>
  <r>
    <m/>
    <m/>
    <x v="8"/>
    <n v="2"/>
    <n v="6"/>
    <n v="6"/>
    <n v="0"/>
    <n v="24"/>
  </r>
  <r>
    <m/>
    <m/>
    <x v="1"/>
    <n v="2"/>
    <n v="6"/>
    <n v="6"/>
    <n v="0"/>
    <n v="24"/>
  </r>
  <r>
    <m/>
    <m/>
    <x v="7"/>
    <n v="1"/>
    <n v="6"/>
    <n v="6"/>
    <n v="0"/>
    <n v="12"/>
  </r>
  <r>
    <m/>
    <m/>
    <x v="10"/>
    <n v="3"/>
    <n v="6"/>
    <n v="6"/>
    <n v="0"/>
    <n v="36"/>
  </r>
  <r>
    <m/>
    <m/>
    <x v="5"/>
    <n v="2"/>
    <n v="6"/>
    <n v="6"/>
    <n v="0"/>
    <n v="24"/>
  </r>
  <r>
    <m/>
    <m/>
    <x v="4"/>
    <n v="1"/>
    <n v="6"/>
    <n v="6"/>
    <n v="0"/>
    <n v="12"/>
  </r>
  <r>
    <m/>
    <m/>
    <x v="6"/>
    <n v="2"/>
    <n v="6"/>
    <n v="6"/>
    <n v="0"/>
    <n v="24"/>
  </r>
  <r>
    <m/>
    <m/>
    <x v="9"/>
    <n v="1"/>
    <n v="6"/>
    <n v="6"/>
    <n v="0"/>
    <n v="12"/>
  </r>
  <r>
    <n v="6"/>
    <s v="Enroute"/>
    <x v="11"/>
    <m/>
    <m/>
    <m/>
    <n v="0"/>
    <s v="Hardware depends on the length of the road and activities to be performed"/>
  </r>
  <r>
    <n v="7"/>
    <s v="Loading Point"/>
    <x v="12"/>
    <n v="1"/>
    <n v="2"/>
    <n v="2"/>
    <n v="0"/>
    <n v="4"/>
  </r>
  <r>
    <n v="8"/>
    <s v="Gate out"/>
    <x v="3"/>
    <n v="1"/>
    <n v="2"/>
    <n v="1"/>
    <n v="0"/>
    <n v="3"/>
  </r>
  <r>
    <m/>
    <m/>
    <x v="0"/>
    <n v="1"/>
    <n v="2"/>
    <n v="1"/>
    <n v="0"/>
    <n v="3"/>
  </r>
  <r>
    <m/>
    <m/>
    <x v="4"/>
    <n v="1"/>
    <n v="2"/>
    <n v="1"/>
    <n v="0"/>
    <n v="3"/>
  </r>
  <r>
    <m/>
    <m/>
    <x v="1"/>
    <n v="1"/>
    <n v="2"/>
    <n v="1"/>
    <n v="0"/>
    <n v="3"/>
  </r>
  <r>
    <m/>
    <m/>
    <x v="13"/>
    <n v="2"/>
    <n v="2"/>
    <n v="1"/>
    <n v="0"/>
    <n v="6"/>
  </r>
  <r>
    <m/>
    <m/>
    <x v="7"/>
    <n v="1"/>
    <n v="2"/>
    <n v="1"/>
    <n v="0"/>
    <n v="3"/>
  </r>
  <r>
    <m/>
    <m/>
    <x v="2"/>
    <n v="1"/>
    <n v="2"/>
    <n v="1"/>
    <n v="0"/>
    <n v="3"/>
  </r>
  <r>
    <m/>
    <m/>
    <x v="9"/>
    <n v="1"/>
    <n v="2"/>
    <n v="1"/>
    <n v="0"/>
    <n v="3"/>
  </r>
  <r>
    <m/>
    <m/>
    <x v="5"/>
    <n v="2"/>
    <n v="2"/>
    <n v="1"/>
    <n v="0"/>
    <n v="6"/>
  </r>
  <r>
    <m/>
    <m/>
    <x v="6"/>
    <n v="1"/>
    <n v="2"/>
    <n v="1"/>
    <n v="0"/>
    <n v="3"/>
  </r>
  <r>
    <n v="9"/>
    <s v="Dabuna Plant Gate In"/>
    <x v="1"/>
    <n v="1"/>
    <n v="0"/>
    <n v="0"/>
    <n v="2"/>
    <n v="2"/>
  </r>
  <r>
    <m/>
    <m/>
    <x v="4"/>
    <n v="1"/>
    <n v="0"/>
    <n v="0"/>
    <n v="2"/>
    <n v="2"/>
  </r>
  <r>
    <m/>
    <m/>
    <x v="5"/>
    <n v="2"/>
    <n v="0"/>
    <n v="0"/>
    <n v="2"/>
    <n v="4"/>
  </r>
  <r>
    <m/>
    <m/>
    <x v="0"/>
    <n v="1"/>
    <n v="0"/>
    <n v="0"/>
    <n v="2"/>
    <n v="2"/>
  </r>
  <r>
    <m/>
    <m/>
    <x v="9"/>
    <n v="1"/>
    <n v="0"/>
    <n v="0"/>
    <n v="2"/>
    <n v="2"/>
  </r>
  <r>
    <m/>
    <m/>
    <x v="3"/>
    <n v="1"/>
    <n v="0"/>
    <n v="0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01496-4368-478F-B67E-24EB9780079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8">
    <pivotField showAll="0"/>
    <pivotField showAll="0"/>
    <pivotField axis="axisRow" showAll="0">
      <items count="15">
        <item x="4"/>
        <item x="7"/>
        <item x="9"/>
        <item x="0"/>
        <item x="12"/>
        <item x="3"/>
        <item x="6"/>
        <item x="2"/>
        <item x="13"/>
        <item x="10"/>
        <item x="1"/>
        <item x="5"/>
        <item x="8"/>
        <item x="1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 Hardware " fld="7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B241-D944-487D-ACE0-2B525EDD66DC}">
  <dimension ref="A3:B18"/>
  <sheetViews>
    <sheetView workbookViewId="0">
      <selection activeCell="A4" sqref="A4:B17"/>
    </sheetView>
  </sheetViews>
  <sheetFormatPr defaultRowHeight="14.5" x14ac:dyDescent="0.35"/>
  <cols>
    <col min="1" max="1" width="47.1796875" bestFit="1" customWidth="1"/>
    <col min="2" max="2" width="20.7265625" bestFit="1" customWidth="1"/>
  </cols>
  <sheetData>
    <row r="3" spans="1:2" x14ac:dyDescent="0.35">
      <c r="A3" s="14" t="s">
        <v>43</v>
      </c>
      <c r="B3" t="s">
        <v>45</v>
      </c>
    </row>
    <row r="4" spans="1:2" x14ac:dyDescent="0.35">
      <c r="A4" s="15" t="s">
        <v>5</v>
      </c>
      <c r="B4">
        <v>20</v>
      </c>
    </row>
    <row r="5" spans="1:2" x14ac:dyDescent="0.35">
      <c r="A5" s="15" t="s">
        <v>3</v>
      </c>
      <c r="B5">
        <v>18</v>
      </c>
    </row>
    <row r="6" spans="1:2" x14ac:dyDescent="0.35">
      <c r="A6" s="15" t="s">
        <v>20</v>
      </c>
      <c r="B6">
        <v>20</v>
      </c>
    </row>
    <row r="7" spans="1:2" x14ac:dyDescent="0.35">
      <c r="A7" s="15" t="s">
        <v>0</v>
      </c>
      <c r="B7">
        <v>38</v>
      </c>
    </row>
    <row r="8" spans="1:2" x14ac:dyDescent="0.35">
      <c r="A8" s="15" t="s">
        <v>10</v>
      </c>
      <c r="B8">
        <v>4</v>
      </c>
    </row>
    <row r="9" spans="1:2" x14ac:dyDescent="0.35">
      <c r="A9" s="15" t="s">
        <v>19</v>
      </c>
      <c r="B9">
        <v>14</v>
      </c>
    </row>
    <row r="10" spans="1:2" x14ac:dyDescent="0.35">
      <c r="A10" s="15" t="s">
        <v>4</v>
      </c>
      <c r="B10">
        <v>30</v>
      </c>
    </row>
    <row r="11" spans="1:2" x14ac:dyDescent="0.35">
      <c r="A11" s="15" t="s">
        <v>12</v>
      </c>
      <c r="B11">
        <v>24</v>
      </c>
    </row>
    <row r="12" spans="1:2" x14ac:dyDescent="0.35">
      <c r="A12" s="15" t="s">
        <v>18</v>
      </c>
      <c r="B12">
        <v>6</v>
      </c>
    </row>
    <row r="13" spans="1:2" x14ac:dyDescent="0.35">
      <c r="A13" s="15" t="s">
        <v>14</v>
      </c>
      <c r="B13">
        <v>36</v>
      </c>
    </row>
    <row r="14" spans="1:2" x14ac:dyDescent="0.35">
      <c r="A14" s="15" t="s">
        <v>1</v>
      </c>
      <c r="B14">
        <v>38</v>
      </c>
    </row>
    <row r="15" spans="1:2" x14ac:dyDescent="0.35">
      <c r="A15" s="15" t="s">
        <v>2</v>
      </c>
      <c r="B15">
        <v>40</v>
      </c>
    </row>
    <row r="16" spans="1:2" x14ac:dyDescent="0.35">
      <c r="A16" s="15" t="s">
        <v>13</v>
      </c>
      <c r="B16">
        <v>27</v>
      </c>
    </row>
    <row r="17" spans="1:2" x14ac:dyDescent="0.35">
      <c r="A17" s="15" t="s">
        <v>16</v>
      </c>
      <c r="B17">
        <v>0</v>
      </c>
    </row>
    <row r="18" spans="1:2" x14ac:dyDescent="0.35">
      <c r="A18" s="15" t="s">
        <v>44</v>
      </c>
      <c r="B18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F51E-2C2C-4265-8C53-D455CEEF2D32}">
  <sheetPr>
    <tabColor theme="7" tint="0.79998168889431442"/>
  </sheetPr>
  <dimension ref="A1:H14"/>
  <sheetViews>
    <sheetView zoomScale="80" zoomScaleNormal="80" workbookViewId="0">
      <selection activeCell="D5" sqref="D5"/>
    </sheetView>
  </sheetViews>
  <sheetFormatPr defaultRowHeight="14.5" x14ac:dyDescent="0.35"/>
  <cols>
    <col min="1" max="1" width="26.08984375" customWidth="1"/>
    <col min="2" max="2" width="56.81640625" customWidth="1"/>
    <col min="3" max="3" width="22.6328125" bestFit="1" customWidth="1"/>
    <col min="4" max="4" width="13.26953125" customWidth="1"/>
    <col min="6" max="6" width="19.54296875" bestFit="1" customWidth="1"/>
    <col min="7" max="8" width="11.7265625" bestFit="1" customWidth="1"/>
  </cols>
  <sheetData>
    <row r="1" spans="1:8" ht="15" thickBot="1" x14ac:dyDescent="0.4"/>
    <row r="2" spans="1:8" ht="19" thickBot="1" x14ac:dyDescent="0.4">
      <c r="A2" s="106" t="s">
        <v>80</v>
      </c>
      <c r="B2" s="107" t="s">
        <v>81</v>
      </c>
      <c r="C2" s="108" t="s">
        <v>55</v>
      </c>
      <c r="D2" s="109" t="s">
        <v>148</v>
      </c>
    </row>
    <row r="3" spans="1:8" ht="15.5" x14ac:dyDescent="0.35">
      <c r="A3" s="122" t="s">
        <v>35</v>
      </c>
      <c r="B3" s="56" t="s">
        <v>112</v>
      </c>
      <c r="C3" s="118" t="s">
        <v>87</v>
      </c>
      <c r="D3" s="103">
        <v>12592000</v>
      </c>
    </row>
    <row r="4" spans="1:8" ht="15.5" x14ac:dyDescent="0.35">
      <c r="A4" s="123"/>
      <c r="B4" s="63" t="s">
        <v>89</v>
      </c>
      <c r="C4" s="118" t="s">
        <v>87</v>
      </c>
      <c r="D4" s="111">
        <f>D3</f>
        <v>12592000</v>
      </c>
    </row>
    <row r="5" spans="1:8" ht="15.5" x14ac:dyDescent="0.35">
      <c r="A5" s="130" t="s">
        <v>90</v>
      </c>
      <c r="B5" s="61" t="s">
        <v>146</v>
      </c>
      <c r="C5" s="73" t="s">
        <v>87</v>
      </c>
      <c r="D5" s="103">
        <f>'Software charges'!B4+'Software charges'!B5</f>
        <v>2680000</v>
      </c>
    </row>
    <row r="6" spans="1:8" ht="15.5" x14ac:dyDescent="0.35">
      <c r="A6" s="131"/>
      <c r="B6" s="68" t="s">
        <v>147</v>
      </c>
      <c r="C6" s="28" t="s">
        <v>87</v>
      </c>
      <c r="D6" s="104">
        <f>1700000+'Software charges'!B3</f>
        <v>2500000</v>
      </c>
    </row>
    <row r="7" spans="1:8" ht="15.5" x14ac:dyDescent="0.35">
      <c r="A7" s="123"/>
      <c r="B7" s="63" t="s">
        <v>150</v>
      </c>
      <c r="C7" s="28" t="s">
        <v>87</v>
      </c>
      <c r="D7" s="111">
        <f>SUM(D5:D6)</f>
        <v>5180000</v>
      </c>
    </row>
    <row r="8" spans="1:8" ht="15.5" x14ac:dyDescent="0.35">
      <c r="A8" s="110"/>
      <c r="B8" s="120" t="s">
        <v>97</v>
      </c>
      <c r="C8" s="121"/>
      <c r="D8" s="111">
        <f>D4+D7</f>
        <v>17772000</v>
      </c>
    </row>
    <row r="9" spans="1:8" ht="15.5" x14ac:dyDescent="0.35">
      <c r="A9" s="112" t="s">
        <v>149</v>
      </c>
      <c r="B9" s="113" t="s">
        <v>153</v>
      </c>
      <c r="C9" s="63"/>
      <c r="D9" s="114">
        <v>7400000</v>
      </c>
    </row>
    <row r="10" spans="1:8" ht="31" x14ac:dyDescent="0.35">
      <c r="A10" s="115" t="s">
        <v>152</v>
      </c>
      <c r="B10" s="116" t="s">
        <v>177</v>
      </c>
      <c r="C10" s="66" t="s">
        <v>151</v>
      </c>
      <c r="D10" s="117">
        <v>0.69</v>
      </c>
      <c r="F10" s="36"/>
      <c r="H10" s="36"/>
    </row>
    <row r="11" spans="1:8" ht="18.5" customHeight="1" x14ac:dyDescent="0.35">
      <c r="A11" s="127" t="s">
        <v>176</v>
      </c>
      <c r="B11" s="61" t="s">
        <v>172</v>
      </c>
      <c r="C11" s="61"/>
      <c r="D11" s="119">
        <v>1500</v>
      </c>
    </row>
    <row r="12" spans="1:8" ht="15.5" x14ac:dyDescent="0.35">
      <c r="A12" s="128"/>
      <c r="B12" s="61" t="s">
        <v>173</v>
      </c>
      <c r="C12" s="61"/>
      <c r="D12" s="117">
        <v>600</v>
      </c>
    </row>
    <row r="13" spans="1:8" ht="31" x14ac:dyDescent="0.35">
      <c r="A13" s="129"/>
      <c r="B13" s="61" t="s">
        <v>174</v>
      </c>
      <c r="C13" s="61"/>
      <c r="D13" s="119">
        <v>3000</v>
      </c>
    </row>
    <row r="14" spans="1:8" ht="16" thickBot="1" x14ac:dyDescent="0.4">
      <c r="A14" s="124" t="s">
        <v>175</v>
      </c>
      <c r="B14" s="125"/>
      <c r="C14" s="125"/>
      <c r="D14" s="126"/>
      <c r="F14" t="s">
        <v>101</v>
      </c>
    </row>
  </sheetData>
  <mergeCells count="5">
    <mergeCell ref="B8:C8"/>
    <mergeCell ref="A3:A4"/>
    <mergeCell ref="A14:D14"/>
    <mergeCell ref="A11:A13"/>
    <mergeCell ref="A5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184C-143F-4DB1-BE7E-24E2695A59A5}">
  <sheetPr>
    <tabColor theme="7" tint="0.79998168889431442"/>
  </sheetPr>
  <dimension ref="A1:M31"/>
  <sheetViews>
    <sheetView topLeftCell="C7" zoomScale="80" zoomScaleNormal="80" workbookViewId="0">
      <selection activeCell="M16" sqref="M16"/>
    </sheetView>
  </sheetViews>
  <sheetFormatPr defaultRowHeight="14.5" x14ac:dyDescent="0.35"/>
  <cols>
    <col min="1" max="1" width="16.08984375" bestFit="1" customWidth="1"/>
    <col min="2" max="2" width="44.90625" customWidth="1"/>
    <col min="3" max="3" width="65.90625" bestFit="1" customWidth="1"/>
    <col min="4" max="4" width="19" bestFit="1" customWidth="1"/>
    <col min="5" max="5" width="11" bestFit="1" customWidth="1"/>
    <col min="7" max="7" width="19.7265625" bestFit="1" customWidth="1"/>
    <col min="9" max="9" width="14.26953125" bestFit="1" customWidth="1"/>
    <col min="11" max="11" width="19.54296875" bestFit="1" customWidth="1"/>
    <col min="12" max="13" width="11.7265625" bestFit="1" customWidth="1"/>
  </cols>
  <sheetData>
    <row r="1" spans="1:13" ht="18.5" x14ac:dyDescent="0.45">
      <c r="A1" s="152" t="s">
        <v>72</v>
      </c>
      <c r="B1" s="153"/>
      <c r="C1" s="41" t="s">
        <v>102</v>
      </c>
    </row>
    <row r="2" spans="1:13" ht="18.5" x14ac:dyDescent="0.45">
      <c r="A2" s="150" t="s">
        <v>73</v>
      </c>
      <c r="B2" s="151"/>
      <c r="C2" s="42"/>
    </row>
    <row r="3" spans="1:13" ht="18.5" x14ac:dyDescent="0.45">
      <c r="A3" s="150" t="s">
        <v>74</v>
      </c>
      <c r="B3" s="151"/>
      <c r="C3" s="43">
        <v>3</v>
      </c>
      <c r="K3" s="2" t="s">
        <v>131</v>
      </c>
      <c r="L3" s="97">
        <f>I22</f>
        <v>14400000</v>
      </c>
    </row>
    <row r="4" spans="1:13" ht="18.5" x14ac:dyDescent="0.45">
      <c r="A4" s="150" t="s">
        <v>75</v>
      </c>
      <c r="B4" s="151"/>
      <c r="C4" s="44">
        <v>0.25</v>
      </c>
      <c r="D4" t="s">
        <v>76</v>
      </c>
      <c r="K4" s="2" t="s">
        <v>95</v>
      </c>
      <c r="L4" s="97">
        <f>I18</f>
        <v>600000</v>
      </c>
    </row>
    <row r="5" spans="1:13" ht="18.5" x14ac:dyDescent="0.45">
      <c r="A5" s="150" t="s">
        <v>77</v>
      </c>
      <c r="B5" s="151"/>
      <c r="C5" s="45">
        <v>0.05</v>
      </c>
      <c r="K5" s="2" t="s">
        <v>132</v>
      </c>
      <c r="L5" s="2">
        <f>SUM('Manpower Cost'!T18:T19)</f>
        <v>2200000</v>
      </c>
    </row>
    <row r="6" spans="1:13" ht="18.5" x14ac:dyDescent="0.45">
      <c r="A6" s="150" t="s">
        <v>110</v>
      </c>
      <c r="B6" s="151"/>
      <c r="C6" s="46">
        <v>400000</v>
      </c>
      <c r="K6" s="2" t="s">
        <v>133</v>
      </c>
      <c r="L6" s="2">
        <v>480000</v>
      </c>
    </row>
    <row r="7" spans="1:13" ht="18.5" x14ac:dyDescent="0.45">
      <c r="A7" s="137"/>
      <c r="B7" s="138"/>
      <c r="C7" s="47"/>
      <c r="K7" s="2" t="s">
        <v>134</v>
      </c>
      <c r="L7" s="2">
        <f>(660000*2.5)+('Manpower Cost'!S8*3)</f>
        <v>1923000</v>
      </c>
    </row>
    <row r="8" spans="1:13" ht="19" thickBot="1" x14ac:dyDescent="0.5">
      <c r="A8" s="139" t="s">
        <v>111</v>
      </c>
      <c r="B8" s="140"/>
      <c r="C8" s="48">
        <v>600000</v>
      </c>
      <c r="D8" t="s">
        <v>78</v>
      </c>
      <c r="K8" s="2" t="s">
        <v>105</v>
      </c>
      <c r="L8" s="97">
        <f>I27</f>
        <v>1800000</v>
      </c>
    </row>
    <row r="9" spans="1:13" x14ac:dyDescent="0.35">
      <c r="K9" s="2"/>
      <c r="L9" s="97">
        <f>SUM(L3:L8)</f>
        <v>21403000</v>
      </c>
    </row>
    <row r="10" spans="1:13" x14ac:dyDescent="0.35">
      <c r="K10" s="2" t="s">
        <v>135</v>
      </c>
      <c r="L10" s="2" t="s">
        <v>136</v>
      </c>
    </row>
    <row r="11" spans="1:13" ht="15" thickBot="1" x14ac:dyDescent="0.4">
      <c r="H11" s="9"/>
    </row>
    <row r="12" spans="1:13" ht="47" thickBot="1" x14ac:dyDescent="0.4">
      <c r="A12" s="49" t="s">
        <v>79</v>
      </c>
      <c r="B12" s="50" t="s">
        <v>80</v>
      </c>
      <c r="C12" s="50" t="s">
        <v>81</v>
      </c>
      <c r="D12" s="51" t="s">
        <v>55</v>
      </c>
      <c r="E12" s="52" t="s">
        <v>82</v>
      </c>
      <c r="F12" s="53" t="s">
        <v>83</v>
      </c>
      <c r="G12" s="53" t="s">
        <v>84</v>
      </c>
      <c r="H12" s="53" t="s">
        <v>85</v>
      </c>
      <c r="I12" s="54" t="s">
        <v>113</v>
      </c>
    </row>
    <row r="13" spans="1:13" ht="15.5" x14ac:dyDescent="0.35">
      <c r="A13" s="141" t="s">
        <v>86</v>
      </c>
      <c r="B13" s="143" t="s">
        <v>35</v>
      </c>
      <c r="C13" s="56" t="s">
        <v>112</v>
      </c>
      <c r="D13" s="57" t="s">
        <v>87</v>
      </c>
      <c r="E13" s="58"/>
      <c r="F13" s="58"/>
      <c r="G13" s="59">
        <f>Hardware!H17</f>
        <v>17072600</v>
      </c>
      <c r="H13" s="60"/>
      <c r="I13" s="59">
        <f>G13/(1-H13)</f>
        <v>17072600</v>
      </c>
    </row>
    <row r="14" spans="1:13" ht="15.5" x14ac:dyDescent="0.35">
      <c r="A14" s="141"/>
      <c r="B14" s="144"/>
      <c r="C14" s="56" t="s">
        <v>88</v>
      </c>
      <c r="D14" s="57" t="s">
        <v>87</v>
      </c>
      <c r="E14" s="58"/>
      <c r="F14" s="58"/>
      <c r="G14" s="59">
        <f>G13*$C$5</f>
        <v>853630</v>
      </c>
      <c r="H14" s="60"/>
      <c r="I14" s="59">
        <f>G14/(1-H14)</f>
        <v>853630</v>
      </c>
    </row>
    <row r="15" spans="1:13" ht="15.5" x14ac:dyDescent="0.35">
      <c r="A15" s="142"/>
      <c r="B15" s="61"/>
      <c r="C15" s="62" t="s">
        <v>89</v>
      </c>
      <c r="D15" s="62"/>
      <c r="E15" s="63"/>
      <c r="F15" s="63"/>
      <c r="G15" s="64">
        <f>SUM(G13:G14)</f>
        <v>17926230</v>
      </c>
      <c r="H15" s="65"/>
      <c r="I15" s="64">
        <f>SUM(I13:I14)</f>
        <v>17926230</v>
      </c>
      <c r="M15">
        <f>16000*1.25</f>
        <v>20000</v>
      </c>
    </row>
    <row r="16" spans="1:13" ht="15.5" x14ac:dyDescent="0.35">
      <c r="A16" s="142"/>
      <c r="B16" s="145" t="s">
        <v>90</v>
      </c>
      <c r="C16" s="61" t="s">
        <v>91</v>
      </c>
      <c r="D16" s="61" t="s">
        <v>87</v>
      </c>
      <c r="E16" s="66"/>
      <c r="F16" s="66"/>
      <c r="G16" s="67">
        <f>'Manpower Cost'!G8</f>
        <v>2200000</v>
      </c>
      <c r="H16" s="60"/>
      <c r="I16" s="67">
        <f t="shared" ref="I16:I18" si="0">G16/(1-H16)</f>
        <v>2200000</v>
      </c>
      <c r="J16" t="s">
        <v>92</v>
      </c>
    </row>
    <row r="17" spans="1:13" ht="15.5" x14ac:dyDescent="0.35">
      <c r="A17" s="142"/>
      <c r="B17" s="146"/>
      <c r="C17" s="33" t="s">
        <v>93</v>
      </c>
      <c r="D17" s="61" t="s">
        <v>87</v>
      </c>
      <c r="E17" s="66"/>
      <c r="F17" s="66"/>
      <c r="G17" s="67">
        <f>'Manpower Cost'!G18</f>
        <v>480000</v>
      </c>
      <c r="H17" s="60"/>
      <c r="I17" s="67">
        <f t="shared" si="0"/>
        <v>480000</v>
      </c>
      <c r="J17" t="s">
        <v>94</v>
      </c>
    </row>
    <row r="18" spans="1:13" ht="15.5" x14ac:dyDescent="0.35">
      <c r="A18" s="142"/>
      <c r="B18" s="146"/>
      <c r="C18" s="68" t="s">
        <v>95</v>
      </c>
      <c r="D18" s="68" t="s">
        <v>87</v>
      </c>
      <c r="E18" s="66"/>
      <c r="F18" s="66"/>
      <c r="G18" s="67">
        <f>C8</f>
        <v>600000</v>
      </c>
      <c r="H18" s="60"/>
      <c r="I18" s="67">
        <f t="shared" si="0"/>
        <v>600000</v>
      </c>
    </row>
    <row r="19" spans="1:13" ht="15.5" x14ac:dyDescent="0.35">
      <c r="A19" s="142"/>
      <c r="B19" s="144"/>
      <c r="C19" s="62" t="s">
        <v>96</v>
      </c>
      <c r="D19" s="62"/>
      <c r="E19" s="62"/>
      <c r="F19" s="62"/>
      <c r="G19" s="64">
        <f>SUM(G16:G18)</f>
        <v>3280000</v>
      </c>
      <c r="H19" s="65"/>
      <c r="I19" s="64">
        <f>SUM(I16:I18)</f>
        <v>3280000</v>
      </c>
    </row>
    <row r="20" spans="1:13" ht="15.5" x14ac:dyDescent="0.35">
      <c r="A20" s="142"/>
      <c r="B20" s="69"/>
      <c r="C20" s="69"/>
      <c r="D20" s="147" t="s">
        <v>97</v>
      </c>
      <c r="E20" s="148"/>
      <c r="F20" s="149"/>
      <c r="G20" s="71">
        <f>G15+G19</f>
        <v>21206230</v>
      </c>
      <c r="H20" s="72"/>
      <c r="I20" s="71">
        <f>I15+I19</f>
        <v>21206230</v>
      </c>
    </row>
    <row r="21" spans="1:13" ht="15.5" x14ac:dyDescent="0.35">
      <c r="A21" s="102"/>
      <c r="B21" s="69"/>
      <c r="C21" s="69" t="s">
        <v>109</v>
      </c>
      <c r="D21" s="69" t="s">
        <v>63</v>
      </c>
      <c r="E21" s="69">
        <v>3700000</v>
      </c>
      <c r="F21" s="69">
        <v>2</v>
      </c>
      <c r="G21" s="69">
        <v>7400000</v>
      </c>
      <c r="H21" s="69"/>
      <c r="I21" s="69">
        <f>G21</f>
        <v>7400000</v>
      </c>
    </row>
    <row r="22" spans="1:13" ht="15.5" x14ac:dyDescent="0.35">
      <c r="A22" s="134"/>
      <c r="B22" s="94" t="s">
        <v>98</v>
      </c>
      <c r="C22" s="68" t="s">
        <v>99</v>
      </c>
      <c r="D22" s="68" t="s">
        <v>63</v>
      </c>
      <c r="E22" s="67">
        <f>C6*12</f>
        <v>4800000</v>
      </c>
      <c r="F22" s="74">
        <f>C3</f>
        <v>3</v>
      </c>
      <c r="G22" s="67">
        <f>E22*F22</f>
        <v>14400000</v>
      </c>
      <c r="H22" s="75"/>
      <c r="I22" s="67">
        <f>G22/(1-H22)</f>
        <v>14400000</v>
      </c>
      <c r="K22" s="36"/>
      <c r="M22" s="36">
        <f>I22+I26+I27+I18+SUM('Manpower Cost'!T18:T21)</f>
        <v>27410000</v>
      </c>
    </row>
    <row r="23" spans="1:13" ht="15.5" x14ac:dyDescent="0.35">
      <c r="A23" s="135"/>
      <c r="B23" s="83"/>
      <c r="C23" s="84" t="s">
        <v>106</v>
      </c>
      <c r="D23" s="84" t="s">
        <v>63</v>
      </c>
      <c r="E23" s="85">
        <f>'Manpower Cost'!S8+'Manpower Cost'!O18</f>
        <v>751000</v>
      </c>
      <c r="F23" s="86">
        <v>3</v>
      </c>
      <c r="G23" s="67">
        <f>L7</f>
        <v>1923000</v>
      </c>
      <c r="H23" s="75"/>
      <c r="I23" s="85">
        <f>G23</f>
        <v>1923000</v>
      </c>
      <c r="K23" s="36"/>
    </row>
    <row r="24" spans="1:13" ht="15.5" x14ac:dyDescent="0.35">
      <c r="A24" s="135"/>
      <c r="B24" s="69"/>
      <c r="C24" s="69"/>
      <c r="D24" s="69" t="s">
        <v>108</v>
      </c>
      <c r="E24" s="76"/>
      <c r="F24" s="77"/>
      <c r="G24" s="71">
        <f>G22+G23</f>
        <v>16323000</v>
      </c>
      <c r="H24" s="72"/>
      <c r="I24" s="76">
        <f>I22+I23</f>
        <v>16323000</v>
      </c>
    </row>
    <row r="25" spans="1:13" ht="15.5" x14ac:dyDescent="0.35">
      <c r="A25" s="135"/>
      <c r="B25" s="73" t="s">
        <v>122</v>
      </c>
      <c r="C25" s="84" t="s">
        <v>109</v>
      </c>
      <c r="D25" s="84" t="s">
        <v>63</v>
      </c>
      <c r="E25" s="85">
        <f>G13*C4</f>
        <v>4268150</v>
      </c>
      <c r="F25" s="86">
        <v>2</v>
      </c>
      <c r="G25" s="67">
        <f>E25*F25</f>
        <v>8536300</v>
      </c>
      <c r="H25" s="75"/>
      <c r="I25" s="85">
        <f>G25</f>
        <v>8536300</v>
      </c>
      <c r="K25" s="36"/>
    </row>
    <row r="26" spans="1:13" ht="15.5" x14ac:dyDescent="0.35">
      <c r="A26" s="135"/>
      <c r="B26" s="73" t="s">
        <v>123</v>
      </c>
      <c r="C26" s="89" t="s">
        <v>120</v>
      </c>
      <c r="D26" s="89" t="s">
        <v>63</v>
      </c>
      <c r="E26" s="90">
        <f>'Track and Trace'!C5*35</f>
        <v>2520000</v>
      </c>
      <c r="F26" s="91">
        <v>3</v>
      </c>
      <c r="G26" s="92">
        <f>E26*F26</f>
        <v>7560000</v>
      </c>
      <c r="H26" s="93"/>
      <c r="I26" s="90">
        <f>G26</f>
        <v>7560000</v>
      </c>
      <c r="K26" s="36"/>
    </row>
    <row r="27" spans="1:13" ht="15.5" x14ac:dyDescent="0.35">
      <c r="A27" s="136"/>
      <c r="B27" s="73" t="s">
        <v>124</v>
      </c>
      <c r="C27" s="89" t="s">
        <v>121</v>
      </c>
      <c r="D27" s="89" t="s">
        <v>63</v>
      </c>
      <c r="E27" s="90">
        <f>50000*12</f>
        <v>600000</v>
      </c>
      <c r="F27" s="91">
        <v>3</v>
      </c>
      <c r="G27" s="92">
        <f>E27*F27</f>
        <v>1800000</v>
      </c>
      <c r="H27" s="93"/>
      <c r="I27" s="90">
        <f>G27</f>
        <v>1800000</v>
      </c>
      <c r="K27" s="36"/>
    </row>
    <row r="28" spans="1:13" ht="19" thickBot="1" x14ac:dyDescent="0.4">
      <c r="A28" s="78"/>
      <c r="B28" s="79"/>
      <c r="C28" s="132" t="s">
        <v>100</v>
      </c>
      <c r="D28" s="132"/>
      <c r="E28" s="132"/>
      <c r="F28" s="133"/>
      <c r="G28" s="80">
        <f>G20+G24+G25+G26+G27</f>
        <v>55425530</v>
      </c>
      <c r="H28" s="81">
        <f>1-G28/I28</f>
        <v>0</v>
      </c>
      <c r="I28" s="80">
        <f>I20+I24+I25+I26+I27</f>
        <v>55425530</v>
      </c>
    </row>
    <row r="31" spans="1:13" x14ac:dyDescent="0.35">
      <c r="G31" t="s">
        <v>125</v>
      </c>
      <c r="K31" t="s">
        <v>101</v>
      </c>
    </row>
  </sheetData>
  <mergeCells count="14">
    <mergeCell ref="A6:B6"/>
    <mergeCell ref="A1:B1"/>
    <mergeCell ref="A2:B2"/>
    <mergeCell ref="A3:B3"/>
    <mergeCell ref="A4:B4"/>
    <mergeCell ref="A5:B5"/>
    <mergeCell ref="C28:F28"/>
    <mergeCell ref="A22:A27"/>
    <mergeCell ref="A7:B7"/>
    <mergeCell ref="A8:B8"/>
    <mergeCell ref="A13:A20"/>
    <mergeCell ref="B13:B14"/>
    <mergeCell ref="B16:B19"/>
    <mergeCell ref="D20:F2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018C-C88E-4738-9FF2-097A8467EAD6}">
  <sheetPr>
    <tabColor theme="7" tint="0.79998168889431442"/>
  </sheetPr>
  <dimension ref="A1:N22"/>
  <sheetViews>
    <sheetView workbookViewId="0">
      <selection activeCell="N4" sqref="N4"/>
    </sheetView>
  </sheetViews>
  <sheetFormatPr defaultRowHeight="14.5" x14ac:dyDescent="0.35"/>
  <cols>
    <col min="1" max="1" width="19.1796875" bestFit="1" customWidth="1"/>
    <col min="2" max="2" width="15.1796875" bestFit="1" customWidth="1"/>
    <col min="6" max="6" width="15.1796875" bestFit="1" customWidth="1"/>
    <col min="7" max="7" width="14.1796875" bestFit="1" customWidth="1"/>
    <col min="8" max="8" width="11.81640625" bestFit="1" customWidth="1"/>
    <col min="10" max="10" width="15.1796875" bestFit="1" customWidth="1"/>
  </cols>
  <sheetData>
    <row r="1" spans="1:14" x14ac:dyDescent="0.35">
      <c r="A1" s="98" t="s">
        <v>137</v>
      </c>
      <c r="B1" s="98" t="s">
        <v>138</v>
      </c>
    </row>
    <row r="2" spans="1:14" x14ac:dyDescent="0.35">
      <c r="A2" s="5" t="s">
        <v>140</v>
      </c>
      <c r="B2" s="99">
        <f>150000*36</f>
        <v>5400000</v>
      </c>
    </row>
    <row r="3" spans="1:14" x14ac:dyDescent="0.35">
      <c r="A3" s="5" t="s">
        <v>95</v>
      </c>
      <c r="B3" s="99">
        <v>800000</v>
      </c>
      <c r="E3" t="s">
        <v>141</v>
      </c>
      <c r="F3" s="100">
        <f>B3+B4+B5</f>
        <v>3480000</v>
      </c>
      <c r="H3" t="s">
        <v>142</v>
      </c>
      <c r="J3" t="s">
        <v>143</v>
      </c>
    </row>
    <row r="4" spans="1:14" x14ac:dyDescent="0.35">
      <c r="A4" s="5" t="s">
        <v>132</v>
      </c>
      <c r="B4" s="99">
        <v>2200000</v>
      </c>
      <c r="E4" t="s">
        <v>144</v>
      </c>
      <c r="F4" s="100">
        <f>B2+B6+B7</f>
        <v>9123000</v>
      </c>
      <c r="G4" s="100">
        <f>F4/33000000</f>
        <v>0.27645454545454545</v>
      </c>
      <c r="H4">
        <f>33000000/30</f>
        <v>1100000</v>
      </c>
      <c r="J4">
        <f>0.15*11000000</f>
        <v>1650000</v>
      </c>
      <c r="L4">
        <f>33000000/22</f>
        <v>1500000</v>
      </c>
      <c r="N4">
        <f>3480000/33000000</f>
        <v>0.10545454545454545</v>
      </c>
    </row>
    <row r="5" spans="1:14" x14ac:dyDescent="0.35">
      <c r="A5" s="5" t="s">
        <v>133</v>
      </c>
      <c r="B5" s="99">
        <v>480000</v>
      </c>
      <c r="H5">
        <f>H4*35</f>
        <v>38500000</v>
      </c>
      <c r="J5">
        <f>J4/12</f>
        <v>137500</v>
      </c>
      <c r="L5">
        <f>L4*20</f>
        <v>30000000</v>
      </c>
    </row>
    <row r="6" spans="1:14" x14ac:dyDescent="0.35">
      <c r="A6" s="5" t="s">
        <v>134</v>
      </c>
      <c r="B6" s="99">
        <f>('Manpower Cost'!S8*3)+('Manpower Cost'!O18*2.5)</f>
        <v>1923000</v>
      </c>
      <c r="H6">
        <f>H5/33000000</f>
        <v>1.1666666666666667</v>
      </c>
      <c r="L6">
        <f>L5/33000000</f>
        <v>0.90909090909090906</v>
      </c>
    </row>
    <row r="7" spans="1:14" x14ac:dyDescent="0.35">
      <c r="A7" s="5" t="s">
        <v>105</v>
      </c>
      <c r="B7" s="99">
        <v>1800000</v>
      </c>
    </row>
    <row r="8" spans="1:14" x14ac:dyDescent="0.35">
      <c r="A8" s="5" t="s">
        <v>42</v>
      </c>
      <c r="B8" s="99">
        <f>SUM(B2:B7)</f>
        <v>12603000</v>
      </c>
      <c r="H8" t="s">
        <v>145</v>
      </c>
      <c r="L8" t="s">
        <v>145</v>
      </c>
    </row>
    <row r="9" spans="1:14" x14ac:dyDescent="0.35">
      <c r="A9" s="5" t="s">
        <v>135</v>
      </c>
      <c r="B9" s="2" t="s">
        <v>139</v>
      </c>
      <c r="H9" s="101">
        <f>H4/36</f>
        <v>30555.555555555555</v>
      </c>
      <c r="L9" s="101">
        <f>L4/36</f>
        <v>41666.666666666664</v>
      </c>
    </row>
    <row r="14" spans="1:14" x14ac:dyDescent="0.35">
      <c r="H14">
        <v>5000</v>
      </c>
      <c r="I14">
        <v>40</v>
      </c>
      <c r="J14">
        <v>36</v>
      </c>
      <c r="K14">
        <f>H14*I14*J14</f>
        <v>7200000</v>
      </c>
    </row>
    <row r="15" spans="1:14" x14ac:dyDescent="0.35">
      <c r="B15" t="s">
        <v>159</v>
      </c>
    </row>
    <row r="16" spans="1:14" x14ac:dyDescent="0.35">
      <c r="A16" t="s">
        <v>156</v>
      </c>
      <c r="B16">
        <f>11000000*0.15</f>
        <v>1650000</v>
      </c>
      <c r="G16" t="s">
        <v>154</v>
      </c>
      <c r="H16">
        <v>5000</v>
      </c>
      <c r="I16">
        <v>185</v>
      </c>
      <c r="J16" s="100">
        <f>H16*I16*36</f>
        <v>33300000</v>
      </c>
      <c r="N16">
        <f>0.1*11000000</f>
        <v>1100000</v>
      </c>
    </row>
    <row r="17" spans="1:11" x14ac:dyDescent="0.35">
      <c r="A17" t="s">
        <v>157</v>
      </c>
      <c r="B17">
        <f>400*5000</f>
        <v>2000000</v>
      </c>
      <c r="J17">
        <f>J16/33000000</f>
        <v>1.009090909090909</v>
      </c>
    </row>
    <row r="18" spans="1:11" ht="43.5" x14ac:dyDescent="0.35">
      <c r="A18" t="s">
        <v>158</v>
      </c>
      <c r="B18">
        <f>300000*12</f>
        <v>3600000</v>
      </c>
      <c r="G18" s="105" t="s">
        <v>155</v>
      </c>
      <c r="H18">
        <v>5000</v>
      </c>
      <c r="I18">
        <v>100</v>
      </c>
      <c r="J18">
        <f>H18*I18*36</f>
        <v>18000000</v>
      </c>
      <c r="K18">
        <f>300000*36</f>
        <v>10800000</v>
      </c>
    </row>
    <row r="19" spans="1:11" x14ac:dyDescent="0.35">
      <c r="B19">
        <f>SUM(B16:B18)</f>
        <v>7250000</v>
      </c>
      <c r="J19">
        <f>J18/33000000</f>
        <v>0.54545454545454541</v>
      </c>
      <c r="K19">
        <f>J18-K18</f>
        <v>7200000</v>
      </c>
    </row>
    <row r="20" spans="1:11" x14ac:dyDescent="0.35">
      <c r="K20">
        <f>K19/33000000</f>
        <v>0.21818181818181817</v>
      </c>
    </row>
    <row r="22" spans="1:11" x14ac:dyDescent="0.35">
      <c r="H22">
        <v>5000</v>
      </c>
      <c r="I22">
        <v>100</v>
      </c>
      <c r="J22">
        <f>H22*I22*12</f>
        <v>6000000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02A9-6C00-4346-B04C-500190DC3161}">
  <sheetPr>
    <tabColor theme="7" tint="0.79998168889431442"/>
  </sheetPr>
  <dimension ref="B1:J11"/>
  <sheetViews>
    <sheetView workbookViewId="0">
      <selection activeCell="G2" sqref="G2:G5"/>
    </sheetView>
  </sheetViews>
  <sheetFormatPr defaultRowHeight="14.5" x14ac:dyDescent="0.35"/>
  <cols>
    <col min="1" max="1" width="10.54296875" bestFit="1" customWidth="1"/>
    <col min="2" max="2" width="31.6328125" bestFit="1" customWidth="1"/>
    <col min="3" max="3" width="10.54296875" bestFit="1" customWidth="1"/>
    <col min="6" max="6" width="13.7265625" bestFit="1" customWidth="1"/>
  </cols>
  <sheetData>
    <row r="1" spans="2:10" x14ac:dyDescent="0.35">
      <c r="C1" t="s">
        <v>160</v>
      </c>
      <c r="D1" t="s">
        <v>161</v>
      </c>
      <c r="F1" t="s">
        <v>171</v>
      </c>
      <c r="I1" t="s">
        <v>178</v>
      </c>
      <c r="J1">
        <v>11000000</v>
      </c>
    </row>
    <row r="2" spans="2:10" x14ac:dyDescent="0.35">
      <c r="B2" t="s">
        <v>162</v>
      </c>
      <c r="C2">
        <f>(150000*12)/11000000</f>
        <v>0.16363636363636364</v>
      </c>
      <c r="D2">
        <v>0.32</v>
      </c>
      <c r="F2" s="100">
        <f>D2*$J$1</f>
        <v>3520000</v>
      </c>
      <c r="G2">
        <v>0.4</v>
      </c>
    </row>
    <row r="3" spans="2:10" x14ac:dyDescent="0.35">
      <c r="B3" t="s">
        <v>163</v>
      </c>
      <c r="C3">
        <v>0.21</v>
      </c>
      <c r="D3">
        <v>0.25</v>
      </c>
      <c r="F3" s="100">
        <f t="shared" ref="F3:F5" si="0">D3*$J$1</f>
        <v>2750000</v>
      </c>
      <c r="G3">
        <v>0.28999999999999998</v>
      </c>
    </row>
    <row r="4" spans="2:10" x14ac:dyDescent="0.35">
      <c r="B4" t="s">
        <v>164</v>
      </c>
      <c r="C4">
        <f>0.05</f>
        <v>0.05</v>
      </c>
      <c r="D4">
        <v>0.05</v>
      </c>
      <c r="F4" s="100">
        <f t="shared" si="0"/>
        <v>550000</v>
      </c>
      <c r="G4">
        <v>0.08</v>
      </c>
    </row>
    <row r="5" spans="2:10" x14ac:dyDescent="0.35">
      <c r="B5" t="s">
        <v>165</v>
      </c>
      <c r="C5">
        <v>0.08</v>
      </c>
      <c r="D5">
        <v>0.08</v>
      </c>
      <c r="F5" s="100">
        <f t="shared" si="0"/>
        <v>880000</v>
      </c>
      <c r="G5">
        <v>0.08</v>
      </c>
    </row>
    <row r="6" spans="2:10" x14ac:dyDescent="0.35">
      <c r="D6">
        <v>0.69</v>
      </c>
      <c r="E6" t="s">
        <v>166</v>
      </c>
      <c r="F6" s="100">
        <f>SUM(F2:F5)</f>
        <v>7700000</v>
      </c>
    </row>
    <row r="8" spans="2:10" x14ac:dyDescent="0.35">
      <c r="B8" t="s">
        <v>167</v>
      </c>
    </row>
    <row r="9" spans="2:10" x14ac:dyDescent="0.35">
      <c r="B9" t="s">
        <v>168</v>
      </c>
    </row>
    <row r="10" spans="2:10" x14ac:dyDescent="0.35">
      <c r="B10" t="s">
        <v>169</v>
      </c>
    </row>
    <row r="11" spans="2:10" x14ac:dyDescent="0.35">
      <c r="B11" t="s">
        <v>170</v>
      </c>
      <c r="G11">
        <v>0.85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22D9-58C4-4F51-8088-D0E4A03C741A}">
  <sheetPr>
    <tabColor theme="7" tint="0.79998168889431442"/>
  </sheetPr>
  <dimension ref="A2:L17"/>
  <sheetViews>
    <sheetView tabSelected="1" workbookViewId="0">
      <selection activeCell="B4" sqref="B4:B16"/>
    </sheetView>
  </sheetViews>
  <sheetFormatPr defaultRowHeight="14.5" x14ac:dyDescent="0.35"/>
  <cols>
    <col min="1" max="1" width="47.1796875" bestFit="1" customWidth="1"/>
    <col min="2" max="2" width="8" bestFit="1" customWidth="1"/>
    <col min="5" max="5" width="13.26953125" bestFit="1" customWidth="1"/>
    <col min="6" max="6" width="9.6328125" bestFit="1" customWidth="1"/>
    <col min="7" max="7" width="21.453125" bestFit="1" customWidth="1"/>
    <col min="8" max="8" width="10.90625" customWidth="1"/>
    <col min="9" max="9" width="13.90625" hidden="1" customWidth="1"/>
    <col min="10" max="10" width="12.453125" hidden="1" customWidth="1"/>
    <col min="11" max="12" width="8.7265625" hidden="1" customWidth="1"/>
  </cols>
  <sheetData>
    <row r="2" spans="1:12" x14ac:dyDescent="0.35">
      <c r="C2" s="9"/>
    </row>
    <row r="3" spans="1:12" x14ac:dyDescent="0.35">
      <c r="A3" s="10" t="s">
        <v>11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40</v>
      </c>
      <c r="K3" s="10" t="s">
        <v>34</v>
      </c>
      <c r="L3" s="10" t="s">
        <v>41</v>
      </c>
    </row>
    <row r="4" spans="1:12" x14ac:dyDescent="0.35">
      <c r="A4" s="15" t="s">
        <v>5</v>
      </c>
      <c r="B4">
        <v>20</v>
      </c>
      <c r="C4" s="2">
        <v>2</v>
      </c>
      <c r="D4" s="2">
        <f>VLOOKUP(A4,Master!$D$1:$E$14,2,0)</f>
        <v>48000</v>
      </c>
      <c r="E4" s="2">
        <f>B4*D4</f>
        <v>960000</v>
      </c>
      <c r="F4" s="2">
        <f>C4*D4</f>
        <v>96000</v>
      </c>
      <c r="G4" s="2">
        <f>(B4+C4)</f>
        <v>22</v>
      </c>
      <c r="H4" s="82">
        <f>D4*G4</f>
        <v>1056000</v>
      </c>
      <c r="I4" s="11">
        <v>2</v>
      </c>
      <c r="J4" s="11">
        <f>G4-I4</f>
        <v>20</v>
      </c>
      <c r="K4" s="11">
        <f>D4</f>
        <v>48000</v>
      </c>
      <c r="L4" s="11">
        <f>K4*J4</f>
        <v>960000</v>
      </c>
    </row>
    <row r="5" spans="1:12" x14ac:dyDescent="0.35">
      <c r="A5" s="15" t="s">
        <v>3</v>
      </c>
      <c r="B5">
        <v>18</v>
      </c>
      <c r="C5" s="2">
        <v>2</v>
      </c>
      <c r="D5" s="2">
        <f>VLOOKUP(A5,Master!$D$1:$E$14,2,0)</f>
        <v>16000</v>
      </c>
      <c r="E5" s="2">
        <f t="shared" ref="E5:E16" si="0">B5*D5</f>
        <v>288000</v>
      </c>
      <c r="F5" s="2">
        <f t="shared" ref="F5:F16" si="1">C5*D5</f>
        <v>32000</v>
      </c>
      <c r="G5" s="2">
        <f t="shared" ref="G5:G16" si="2">(B5+C5)</f>
        <v>20</v>
      </c>
      <c r="H5" s="82">
        <f t="shared" ref="H5:H16" si="3">D5*G5</f>
        <v>320000</v>
      </c>
      <c r="I5" s="11">
        <v>3</v>
      </c>
      <c r="J5" s="11">
        <f t="shared" ref="J5:J16" si="4">G5-I5</f>
        <v>17</v>
      </c>
      <c r="K5" s="11">
        <f t="shared" ref="K5:K16" si="5">D5</f>
        <v>16000</v>
      </c>
      <c r="L5" s="11">
        <f t="shared" ref="L5:L16" si="6">K5*J5</f>
        <v>272000</v>
      </c>
    </row>
    <row r="6" spans="1:12" x14ac:dyDescent="0.35">
      <c r="A6" s="15" t="s">
        <v>20</v>
      </c>
      <c r="B6">
        <v>20</v>
      </c>
      <c r="C6" s="2">
        <v>1</v>
      </c>
      <c r="D6" s="2">
        <f>VLOOKUP(A6,Master!$D$1:$E$14,2,0)</f>
        <v>21000</v>
      </c>
      <c r="E6" s="2">
        <f t="shared" si="0"/>
        <v>420000</v>
      </c>
      <c r="F6" s="2">
        <f t="shared" si="1"/>
        <v>21000</v>
      </c>
      <c r="G6" s="2">
        <f t="shared" si="2"/>
        <v>21</v>
      </c>
      <c r="H6" s="82">
        <f t="shared" si="3"/>
        <v>441000</v>
      </c>
      <c r="I6" s="11">
        <v>0</v>
      </c>
      <c r="J6" s="11">
        <f t="shared" si="4"/>
        <v>21</v>
      </c>
      <c r="K6" s="11">
        <f t="shared" si="5"/>
        <v>21000</v>
      </c>
      <c r="L6" s="11">
        <f t="shared" si="6"/>
        <v>441000</v>
      </c>
    </row>
    <row r="7" spans="1:12" x14ac:dyDescent="0.35">
      <c r="A7" s="15" t="s">
        <v>0</v>
      </c>
      <c r="B7">
        <v>38</v>
      </c>
      <c r="C7" s="2">
        <v>2</v>
      </c>
      <c r="D7" s="2">
        <f>VLOOKUP(A7,Master!$D$1:$E$14,2,0)</f>
        <v>290000</v>
      </c>
      <c r="E7" s="2">
        <f t="shared" si="0"/>
        <v>11020000</v>
      </c>
      <c r="F7" s="2">
        <f t="shared" si="1"/>
        <v>580000</v>
      </c>
      <c r="G7" s="2">
        <f t="shared" si="2"/>
        <v>40</v>
      </c>
      <c r="H7" s="82">
        <f t="shared" si="3"/>
        <v>11600000</v>
      </c>
      <c r="I7" s="11">
        <v>0</v>
      </c>
      <c r="J7" s="11">
        <f t="shared" si="4"/>
        <v>40</v>
      </c>
      <c r="K7" s="11">
        <f t="shared" si="5"/>
        <v>290000</v>
      </c>
      <c r="L7" s="11">
        <f t="shared" si="6"/>
        <v>11600000</v>
      </c>
    </row>
    <row r="8" spans="1:12" x14ac:dyDescent="0.35">
      <c r="A8" s="15" t="s">
        <v>10</v>
      </c>
      <c r="B8">
        <v>4</v>
      </c>
      <c r="C8" s="2">
        <v>1</v>
      </c>
      <c r="D8" s="2">
        <f>VLOOKUP(A8,Master!$D$1:$E$14,2,0)</f>
        <v>66000</v>
      </c>
      <c r="E8" s="2">
        <f t="shared" si="0"/>
        <v>264000</v>
      </c>
      <c r="F8" s="2">
        <f t="shared" si="1"/>
        <v>66000</v>
      </c>
      <c r="G8" s="2">
        <f t="shared" si="2"/>
        <v>5</v>
      </c>
      <c r="H8" s="82">
        <f t="shared" si="3"/>
        <v>330000</v>
      </c>
      <c r="I8" s="11">
        <v>0</v>
      </c>
      <c r="J8" s="11">
        <f t="shared" si="4"/>
        <v>5</v>
      </c>
      <c r="K8" s="11">
        <f t="shared" si="5"/>
        <v>66000</v>
      </c>
      <c r="L8" s="11">
        <f t="shared" si="6"/>
        <v>330000</v>
      </c>
    </row>
    <row r="9" spans="1:12" x14ac:dyDescent="0.35">
      <c r="A9" s="15" t="s">
        <v>19</v>
      </c>
      <c r="B9">
        <v>14</v>
      </c>
      <c r="C9" s="2">
        <v>1</v>
      </c>
      <c r="D9" s="2">
        <f>VLOOKUP(A9,Master!$D$1:$E$14,2,0)</f>
        <v>41000</v>
      </c>
      <c r="E9" s="2">
        <f t="shared" si="0"/>
        <v>574000</v>
      </c>
      <c r="F9" s="2">
        <f t="shared" si="1"/>
        <v>41000</v>
      </c>
      <c r="G9" s="2">
        <f t="shared" si="2"/>
        <v>15</v>
      </c>
      <c r="H9" s="82">
        <f t="shared" si="3"/>
        <v>615000</v>
      </c>
      <c r="I9" s="11">
        <v>0</v>
      </c>
      <c r="J9" s="11">
        <f t="shared" si="4"/>
        <v>15</v>
      </c>
      <c r="K9" s="11">
        <f t="shared" si="5"/>
        <v>41000</v>
      </c>
      <c r="L9" s="11">
        <f t="shared" si="6"/>
        <v>615000</v>
      </c>
    </row>
    <row r="10" spans="1:12" x14ac:dyDescent="0.35">
      <c r="A10" s="15" t="s">
        <v>4</v>
      </c>
      <c r="B10">
        <v>30</v>
      </c>
      <c r="C10" s="2">
        <v>1</v>
      </c>
      <c r="D10" s="2">
        <f>VLOOKUP(A10,Master!$D$1:$E$14,2,0)</f>
        <v>14000</v>
      </c>
      <c r="E10" s="2">
        <f t="shared" si="0"/>
        <v>420000</v>
      </c>
      <c r="F10" s="2">
        <f t="shared" si="1"/>
        <v>14000</v>
      </c>
      <c r="G10" s="2">
        <f t="shared" si="2"/>
        <v>31</v>
      </c>
      <c r="H10" s="82">
        <f t="shared" si="3"/>
        <v>434000</v>
      </c>
      <c r="I10" s="11">
        <v>1</v>
      </c>
      <c r="J10" s="11">
        <f t="shared" si="4"/>
        <v>30</v>
      </c>
      <c r="K10" s="11">
        <f t="shared" si="5"/>
        <v>14000</v>
      </c>
      <c r="L10" s="11">
        <f t="shared" si="6"/>
        <v>420000</v>
      </c>
    </row>
    <row r="11" spans="1:12" x14ac:dyDescent="0.35">
      <c r="A11" s="15" t="s">
        <v>12</v>
      </c>
      <c r="B11">
        <v>24</v>
      </c>
      <c r="C11" s="2">
        <v>1</v>
      </c>
      <c r="D11" s="2">
        <f>VLOOKUP(A11,Master!$D$1:$E$14,2,0)</f>
        <v>12000</v>
      </c>
      <c r="E11" s="2">
        <f t="shared" si="0"/>
        <v>288000</v>
      </c>
      <c r="F11" s="2">
        <f t="shared" si="1"/>
        <v>12000</v>
      </c>
      <c r="G11" s="2">
        <f t="shared" si="2"/>
        <v>25</v>
      </c>
      <c r="H11" s="82">
        <f t="shared" si="3"/>
        <v>300000</v>
      </c>
      <c r="I11" s="11">
        <v>0</v>
      </c>
      <c r="J11" s="11">
        <f t="shared" si="4"/>
        <v>25</v>
      </c>
      <c r="K11" s="11">
        <f t="shared" si="5"/>
        <v>12000</v>
      </c>
      <c r="L11" s="11">
        <f t="shared" si="6"/>
        <v>300000</v>
      </c>
    </row>
    <row r="12" spans="1:12" x14ac:dyDescent="0.35">
      <c r="A12" s="15" t="s">
        <v>18</v>
      </c>
      <c r="B12">
        <v>6</v>
      </c>
      <c r="C12" s="2">
        <v>1</v>
      </c>
      <c r="D12" s="2">
        <f>VLOOKUP(A12,Master!$D$1:$E$14,2,0)</f>
        <v>22000</v>
      </c>
      <c r="E12" s="2">
        <f t="shared" si="0"/>
        <v>132000</v>
      </c>
      <c r="F12" s="2">
        <f t="shared" si="1"/>
        <v>22000</v>
      </c>
      <c r="G12" s="2">
        <f t="shared" si="2"/>
        <v>7</v>
      </c>
      <c r="H12" s="82">
        <f t="shared" si="3"/>
        <v>154000</v>
      </c>
      <c r="I12" s="11">
        <v>0</v>
      </c>
      <c r="J12" s="11">
        <f t="shared" si="4"/>
        <v>7</v>
      </c>
      <c r="K12" s="11">
        <f t="shared" si="5"/>
        <v>22000</v>
      </c>
      <c r="L12" s="11">
        <f t="shared" si="6"/>
        <v>154000</v>
      </c>
    </row>
    <row r="13" spans="1:12" x14ac:dyDescent="0.35">
      <c r="A13" s="15" t="s">
        <v>14</v>
      </c>
      <c r="B13">
        <v>36</v>
      </c>
      <c r="C13" s="2">
        <v>2</v>
      </c>
      <c r="D13" s="2">
        <f>VLOOKUP(A13,Master!$D$1:$E$14,2,0)</f>
        <v>5700</v>
      </c>
      <c r="E13" s="2">
        <f t="shared" si="0"/>
        <v>205200</v>
      </c>
      <c r="F13" s="2">
        <f t="shared" si="1"/>
        <v>11400</v>
      </c>
      <c r="G13" s="2">
        <f t="shared" si="2"/>
        <v>38</v>
      </c>
      <c r="H13" s="82">
        <f t="shared" si="3"/>
        <v>216600</v>
      </c>
      <c r="I13" s="11">
        <v>0</v>
      </c>
      <c r="J13" s="11">
        <f t="shared" si="4"/>
        <v>38</v>
      </c>
      <c r="K13" s="11">
        <f t="shared" si="5"/>
        <v>5700</v>
      </c>
      <c r="L13" s="11">
        <f t="shared" si="6"/>
        <v>216600</v>
      </c>
    </row>
    <row r="14" spans="1:12" x14ac:dyDescent="0.35">
      <c r="A14" s="15" t="s">
        <v>1</v>
      </c>
      <c r="B14">
        <v>38</v>
      </c>
      <c r="C14" s="2">
        <v>2</v>
      </c>
      <c r="D14" s="2">
        <f>VLOOKUP(A14,Master!$D$1:$E$14,2,0)</f>
        <v>27000</v>
      </c>
      <c r="E14" s="2">
        <f t="shared" si="0"/>
        <v>1026000</v>
      </c>
      <c r="F14" s="2">
        <f t="shared" si="1"/>
        <v>54000</v>
      </c>
      <c r="G14" s="2">
        <f t="shared" si="2"/>
        <v>40</v>
      </c>
      <c r="H14" s="82">
        <f t="shared" si="3"/>
        <v>1080000</v>
      </c>
      <c r="I14" s="11">
        <v>0</v>
      </c>
      <c r="J14" s="11">
        <f t="shared" si="4"/>
        <v>40</v>
      </c>
      <c r="K14" s="11">
        <f t="shared" si="5"/>
        <v>27000</v>
      </c>
      <c r="L14" s="11">
        <f t="shared" si="6"/>
        <v>1080000</v>
      </c>
    </row>
    <row r="15" spans="1:12" x14ac:dyDescent="0.35">
      <c r="A15" s="15" t="s">
        <v>2</v>
      </c>
      <c r="B15">
        <v>40</v>
      </c>
      <c r="C15" s="2">
        <v>2</v>
      </c>
      <c r="D15" s="2">
        <f>VLOOKUP(A15,Master!$D$1:$E$14,2,0)</f>
        <v>7000</v>
      </c>
      <c r="E15" s="2">
        <f t="shared" si="0"/>
        <v>280000</v>
      </c>
      <c r="F15" s="2">
        <f t="shared" si="1"/>
        <v>14000</v>
      </c>
      <c r="G15" s="2">
        <f t="shared" si="2"/>
        <v>42</v>
      </c>
      <c r="H15" s="82">
        <f t="shared" si="3"/>
        <v>294000</v>
      </c>
      <c r="I15" s="11">
        <v>0</v>
      </c>
      <c r="J15" s="11">
        <f t="shared" si="4"/>
        <v>42</v>
      </c>
      <c r="K15" s="11">
        <f t="shared" si="5"/>
        <v>7000</v>
      </c>
      <c r="L15" s="11">
        <f t="shared" si="6"/>
        <v>294000</v>
      </c>
    </row>
    <row r="16" spans="1:12" x14ac:dyDescent="0.35">
      <c r="A16" s="15" t="s">
        <v>13</v>
      </c>
      <c r="B16">
        <v>27</v>
      </c>
      <c r="C16" s="2">
        <v>2</v>
      </c>
      <c r="D16" s="2">
        <f>VLOOKUP(A16,Master!$D$1:$E$14,2,0)</f>
        <v>8000</v>
      </c>
      <c r="E16" s="2">
        <f t="shared" si="0"/>
        <v>216000</v>
      </c>
      <c r="F16" s="2">
        <f t="shared" si="1"/>
        <v>16000</v>
      </c>
      <c r="G16" s="2">
        <f t="shared" si="2"/>
        <v>29</v>
      </c>
      <c r="H16" s="82">
        <f t="shared" si="3"/>
        <v>232000</v>
      </c>
      <c r="I16" s="11">
        <v>0</v>
      </c>
      <c r="J16" s="11">
        <f t="shared" si="4"/>
        <v>29</v>
      </c>
      <c r="K16" s="11">
        <f t="shared" si="5"/>
        <v>8000</v>
      </c>
      <c r="L16" s="11">
        <f t="shared" si="6"/>
        <v>232000</v>
      </c>
    </row>
    <row r="17" spans="1:12" x14ac:dyDescent="0.35">
      <c r="A17" s="12" t="s">
        <v>42</v>
      </c>
      <c r="B17" s="13">
        <f>SUM(B4:B16)</f>
        <v>315</v>
      </c>
      <c r="C17" s="13">
        <f>SUM(C4:C16)</f>
        <v>20</v>
      </c>
      <c r="D17" s="13"/>
      <c r="E17" s="13">
        <f>SUM(E4:E16)</f>
        <v>16093200</v>
      </c>
      <c r="F17" s="13">
        <f>SUM(F4:F16)</f>
        <v>979400</v>
      </c>
      <c r="G17" s="13">
        <f>SUM(G4:G16)</f>
        <v>335</v>
      </c>
      <c r="H17" s="13">
        <f>SUM(H4:H16)</f>
        <v>17072600</v>
      </c>
      <c r="I17" s="13">
        <f t="shared" ref="I17:J17" si="7">SUM(I4:I16)</f>
        <v>6</v>
      </c>
      <c r="J17" s="13">
        <f t="shared" si="7"/>
        <v>329</v>
      </c>
      <c r="K17" s="13"/>
      <c r="L17" s="13">
        <f>SUM(L4:L16)</f>
        <v>16914600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A8F7-FEBE-4545-A0AD-DFE061B92F81}">
  <sheetPr>
    <tabColor theme="7" tint="0.79998168889431442"/>
  </sheetPr>
  <dimension ref="A1:U22"/>
  <sheetViews>
    <sheetView zoomScale="60" workbookViewId="0">
      <selection activeCell="C14" sqref="C14"/>
    </sheetView>
  </sheetViews>
  <sheetFormatPr defaultRowHeight="14.5" x14ac:dyDescent="0.35"/>
  <cols>
    <col min="2" max="2" width="26.36328125" bestFit="1" customWidth="1"/>
    <col min="3" max="3" width="8.453125" bestFit="1" customWidth="1"/>
    <col min="4" max="4" width="17.26953125" customWidth="1"/>
    <col min="5" max="5" width="12.1796875" customWidth="1"/>
    <col min="7" max="7" width="12.08984375" bestFit="1" customWidth="1"/>
    <col min="10" max="10" width="25" bestFit="1" customWidth="1"/>
    <col min="12" max="12" width="8.36328125" bestFit="1" customWidth="1"/>
    <col min="14" max="14" width="12.1796875" bestFit="1" customWidth="1"/>
    <col min="15" max="15" width="15.1796875" customWidth="1"/>
    <col min="19" max="19" width="11.453125" bestFit="1" customWidth="1"/>
    <col min="21" max="21" width="14.36328125" bestFit="1" customWidth="1"/>
  </cols>
  <sheetData>
    <row r="1" spans="1:19" ht="21" x14ac:dyDescent="0.35">
      <c r="A1" s="155" t="s">
        <v>47</v>
      </c>
      <c r="B1" s="156"/>
      <c r="C1" s="156"/>
      <c r="D1" s="156"/>
      <c r="E1" s="156"/>
      <c r="F1" s="156"/>
      <c r="G1" s="156"/>
      <c r="H1" s="157"/>
    </row>
    <row r="2" spans="1:19" x14ac:dyDescent="0.35">
      <c r="A2" s="17"/>
      <c r="H2" s="18"/>
    </row>
    <row r="3" spans="1:19" ht="15.5" x14ac:dyDescent="0.35">
      <c r="A3" s="17"/>
      <c r="B3" s="158" t="s">
        <v>48</v>
      </c>
      <c r="C3" s="158"/>
      <c r="D3" s="158"/>
      <c r="E3" s="158"/>
      <c r="F3" s="158"/>
      <c r="G3" s="158"/>
      <c r="H3" s="18"/>
      <c r="J3" s="158" t="s">
        <v>49</v>
      </c>
      <c r="K3" s="158"/>
      <c r="L3" s="158"/>
      <c r="M3" s="158"/>
      <c r="N3" s="158"/>
      <c r="O3" s="158"/>
      <c r="P3" s="158"/>
      <c r="Q3" s="158"/>
      <c r="R3" s="159"/>
      <c r="S3" s="158"/>
    </row>
    <row r="4" spans="1:19" ht="62" x14ac:dyDescent="0.35">
      <c r="A4" s="17"/>
      <c r="B4" s="19" t="s">
        <v>50</v>
      </c>
      <c r="C4" s="20" t="s">
        <v>51</v>
      </c>
      <c r="D4" s="20" t="s">
        <v>52</v>
      </c>
      <c r="E4" s="20" t="s">
        <v>53</v>
      </c>
      <c r="F4" s="20" t="s">
        <v>54</v>
      </c>
      <c r="G4" s="20" t="s">
        <v>42</v>
      </c>
      <c r="H4" s="18"/>
      <c r="J4" s="21" t="s">
        <v>50</v>
      </c>
      <c r="K4" s="20" t="s">
        <v>55</v>
      </c>
      <c r="L4" s="20" t="s">
        <v>56</v>
      </c>
      <c r="M4" s="20" t="s">
        <v>57</v>
      </c>
      <c r="N4" s="20" t="s">
        <v>58</v>
      </c>
      <c r="O4" s="20" t="s">
        <v>59</v>
      </c>
      <c r="P4" s="20"/>
      <c r="Q4" s="20" t="s">
        <v>60</v>
      </c>
      <c r="R4" s="22"/>
      <c r="S4" s="20" t="s">
        <v>42</v>
      </c>
    </row>
    <row r="5" spans="1:19" ht="15.5" x14ac:dyDescent="0.35">
      <c r="A5" s="17"/>
      <c r="B5" s="23" t="s">
        <v>61</v>
      </c>
      <c r="C5" s="24">
        <v>1</v>
      </c>
      <c r="D5" s="24">
        <v>1</v>
      </c>
      <c r="E5" s="25">
        <v>100000</v>
      </c>
      <c r="F5" s="24">
        <v>4</v>
      </c>
      <c r="G5" s="25">
        <f>C5*D5*E5*F5</f>
        <v>400000</v>
      </c>
      <c r="H5" s="18"/>
      <c r="J5" s="23" t="s">
        <v>62</v>
      </c>
      <c r="K5" s="23" t="s">
        <v>63</v>
      </c>
      <c r="L5" s="26">
        <f>VLOOKUP(J5,[1]Master!$A$57:$E$61,2,FALSE)</f>
        <v>2000</v>
      </c>
      <c r="M5" s="26">
        <f>VLOOKUP(J5,[1]Master!$A$57:$E$61,3,FALSE)</f>
        <v>20000</v>
      </c>
      <c r="N5" s="27">
        <v>3500</v>
      </c>
      <c r="O5" s="28">
        <v>2</v>
      </c>
      <c r="P5" s="28"/>
      <c r="Q5" s="28">
        <v>1</v>
      </c>
      <c r="R5" s="29"/>
      <c r="S5" s="25">
        <f>(Q5*O5*L5)+(M5*Q5)+(N5*O5*Q5)</f>
        <v>31000</v>
      </c>
    </row>
    <row r="6" spans="1:19" ht="15.5" x14ac:dyDescent="0.35">
      <c r="A6" s="17"/>
      <c r="B6" s="23" t="s">
        <v>64</v>
      </c>
      <c r="C6" s="24">
        <v>8</v>
      </c>
      <c r="D6" s="24">
        <v>0</v>
      </c>
      <c r="E6" s="25">
        <v>40000</v>
      </c>
      <c r="F6" s="24">
        <v>4</v>
      </c>
      <c r="G6" s="25">
        <v>0</v>
      </c>
      <c r="H6" s="18"/>
      <c r="J6" s="23" t="s">
        <v>65</v>
      </c>
      <c r="K6" s="23" t="s">
        <v>63</v>
      </c>
      <c r="L6" s="26">
        <f>VLOOKUP(J6,[1]Master!$A$57:$E$61,2,FALSE)</f>
        <v>1500</v>
      </c>
      <c r="M6" s="26">
        <f>VLOOKUP(J6,[1]Master!$A$57:$E$61,3,FALSE)</f>
        <v>20000</v>
      </c>
      <c r="N6" s="27">
        <f>VLOOKUP(J6,[1]Master!$A$57:$E$61,4,FALSE)</f>
        <v>3500</v>
      </c>
      <c r="O6" s="28">
        <v>2</v>
      </c>
      <c r="P6" s="28"/>
      <c r="Q6" s="28">
        <v>1</v>
      </c>
      <c r="R6" s="29"/>
      <c r="S6" s="25">
        <f>(Q6*O6*L6)+(M6*Q6)+(N6*O6*Q6)</f>
        <v>30000</v>
      </c>
    </row>
    <row r="7" spans="1:19" ht="15.5" x14ac:dyDescent="0.35">
      <c r="A7" s="17"/>
      <c r="B7" s="23" t="s">
        <v>66</v>
      </c>
      <c r="C7" s="24">
        <v>6</v>
      </c>
      <c r="D7" s="24">
        <v>1</v>
      </c>
      <c r="E7" s="25">
        <v>75000</v>
      </c>
      <c r="F7" s="24">
        <v>4</v>
      </c>
      <c r="G7" s="25">
        <f t="shared" ref="G7" si="0">C7*D7*E7*F7</f>
        <v>1800000</v>
      </c>
      <c r="H7" s="18"/>
      <c r="J7" s="23" t="s">
        <v>67</v>
      </c>
      <c r="K7" s="23" t="s">
        <v>63</v>
      </c>
      <c r="L7" s="26">
        <f>VLOOKUP(J7,[1]Master!$A$57:$E$61,2,FALSE)</f>
        <v>1500</v>
      </c>
      <c r="M7" s="26">
        <f>VLOOKUP(J7,[1]Master!$A$57:$E$61,3,FALSE)</f>
        <v>20000</v>
      </c>
      <c r="N7" s="27">
        <v>3500</v>
      </c>
      <c r="O7" s="28">
        <v>2</v>
      </c>
      <c r="P7" s="28"/>
      <c r="Q7" s="28">
        <v>1</v>
      </c>
      <c r="R7" s="29"/>
      <c r="S7" s="25">
        <f>(Q7*O7*L7)+(M7*Q7)+(N7*O7*Q7)</f>
        <v>30000</v>
      </c>
    </row>
    <row r="8" spans="1:19" ht="15.5" x14ac:dyDescent="0.35">
      <c r="A8" s="17"/>
      <c r="B8" s="23"/>
      <c r="C8" s="30">
        <f>C5*D5+C6*D6+C7*D7</f>
        <v>7</v>
      </c>
      <c r="D8" s="24"/>
      <c r="E8" s="24"/>
      <c r="F8" s="31" t="s">
        <v>42</v>
      </c>
      <c r="G8" s="32">
        <f>SUM(G5:G7)</f>
        <v>2200000</v>
      </c>
      <c r="H8" s="18"/>
      <c r="J8" s="33"/>
      <c r="K8" s="33"/>
      <c r="L8" s="33"/>
      <c r="M8" s="33"/>
      <c r="N8" s="34"/>
      <c r="O8" s="33"/>
      <c r="P8" s="33"/>
      <c r="Q8" s="31" t="s">
        <v>42</v>
      </c>
      <c r="R8" s="35"/>
      <c r="S8" s="32">
        <f>SUM(S5:S7)</f>
        <v>91000</v>
      </c>
    </row>
    <row r="9" spans="1:19" x14ac:dyDescent="0.35">
      <c r="A9" s="17"/>
      <c r="H9" s="18"/>
    </row>
    <row r="10" spans="1:19" x14ac:dyDescent="0.35">
      <c r="A10" s="17"/>
      <c r="H10" s="18"/>
    </row>
    <row r="11" spans="1:19" x14ac:dyDescent="0.35">
      <c r="A11" s="17"/>
      <c r="H11" s="18"/>
      <c r="S11" s="36"/>
    </row>
    <row r="12" spans="1:19" ht="15.5" x14ac:dyDescent="0.35">
      <c r="A12" s="17"/>
      <c r="B12" s="158" t="s">
        <v>68</v>
      </c>
      <c r="C12" s="158"/>
      <c r="D12" s="158"/>
      <c r="E12" s="158"/>
      <c r="F12" s="158"/>
      <c r="G12" s="158"/>
      <c r="H12" s="18"/>
      <c r="J12" s="158" t="s">
        <v>69</v>
      </c>
      <c r="K12" s="158"/>
      <c r="L12" s="158"/>
      <c r="M12" s="158"/>
      <c r="N12" s="158"/>
      <c r="O12" s="158"/>
      <c r="S12" s="36"/>
    </row>
    <row r="13" spans="1:19" ht="46.5" x14ac:dyDescent="0.35">
      <c r="A13" s="17"/>
      <c r="B13" s="20" t="s">
        <v>50</v>
      </c>
      <c r="C13" s="20" t="s">
        <v>51</v>
      </c>
      <c r="D13" s="20" t="s">
        <v>52</v>
      </c>
      <c r="E13" s="20" t="s">
        <v>53</v>
      </c>
      <c r="F13" s="20" t="s">
        <v>54</v>
      </c>
      <c r="G13" s="20" t="s">
        <v>42</v>
      </c>
      <c r="H13" s="18"/>
      <c r="J13" s="20" t="s">
        <v>50</v>
      </c>
      <c r="K13" s="20" t="s">
        <v>51</v>
      </c>
      <c r="L13" s="20" t="s">
        <v>52</v>
      </c>
      <c r="M13" s="20" t="s">
        <v>53</v>
      </c>
      <c r="N13" s="20" t="s">
        <v>54</v>
      </c>
      <c r="O13" s="20" t="s">
        <v>42</v>
      </c>
      <c r="S13" s="36"/>
    </row>
    <row r="14" spans="1:19" ht="15.5" x14ac:dyDescent="0.35">
      <c r="A14" s="17"/>
      <c r="B14" s="23" t="s">
        <v>70</v>
      </c>
      <c r="C14" s="24">
        <v>1</v>
      </c>
      <c r="D14" s="24">
        <v>1</v>
      </c>
      <c r="E14" s="25">
        <v>50000</v>
      </c>
      <c r="F14" s="24">
        <v>6</v>
      </c>
      <c r="G14" s="25">
        <f>C14*D14*E14*F14</f>
        <v>300000</v>
      </c>
      <c r="H14" s="18"/>
      <c r="J14" s="23" t="s">
        <v>71</v>
      </c>
      <c r="K14" s="24">
        <v>0.5</v>
      </c>
      <c r="L14" s="24">
        <v>1</v>
      </c>
      <c r="M14" s="25">
        <v>50000</v>
      </c>
      <c r="N14" s="24">
        <v>12</v>
      </c>
      <c r="O14" s="25">
        <f>K14*L14*M14*N14</f>
        <v>300000</v>
      </c>
    </row>
    <row r="15" spans="1:19" ht="15.5" x14ac:dyDescent="0.35">
      <c r="A15" s="17"/>
      <c r="B15" s="23" t="s">
        <v>104</v>
      </c>
      <c r="C15" s="24">
        <v>2</v>
      </c>
      <c r="D15" s="24">
        <v>0</v>
      </c>
      <c r="E15" s="25">
        <v>30000</v>
      </c>
      <c r="F15" s="24">
        <v>6</v>
      </c>
      <c r="G15" s="25">
        <f>C15*D15*E15*F15</f>
        <v>0</v>
      </c>
      <c r="H15" s="18"/>
      <c r="J15" s="23" t="s">
        <v>104</v>
      </c>
      <c r="K15" s="24">
        <v>2</v>
      </c>
      <c r="L15" s="24">
        <v>4</v>
      </c>
      <c r="M15" s="25">
        <v>30000</v>
      </c>
      <c r="N15" s="24">
        <v>0</v>
      </c>
      <c r="O15" s="25">
        <f>K15*L15*M15*N15</f>
        <v>0</v>
      </c>
      <c r="S15" s="37"/>
    </row>
    <row r="16" spans="1:19" ht="15.5" x14ac:dyDescent="0.35">
      <c r="A16" s="17"/>
      <c r="B16" s="23" t="s">
        <v>103</v>
      </c>
      <c r="C16" s="24">
        <v>1</v>
      </c>
      <c r="D16" s="24">
        <v>0</v>
      </c>
      <c r="E16" s="25">
        <v>30000</v>
      </c>
      <c r="F16" s="24">
        <v>6</v>
      </c>
      <c r="G16" s="25">
        <f>C16*D16*E16*F16</f>
        <v>0</v>
      </c>
      <c r="H16" s="18"/>
      <c r="J16" s="23" t="s">
        <v>103</v>
      </c>
      <c r="K16" s="24">
        <v>1</v>
      </c>
      <c r="L16" s="24">
        <v>4</v>
      </c>
      <c r="M16" s="25">
        <v>30000</v>
      </c>
      <c r="N16" s="24">
        <v>0</v>
      </c>
      <c r="O16" s="25">
        <f>K16*L16*M16*N16</f>
        <v>0</v>
      </c>
      <c r="S16" s="36"/>
    </row>
    <row r="17" spans="1:21" ht="15.5" x14ac:dyDescent="0.35">
      <c r="A17" s="17"/>
      <c r="B17" s="23" t="s">
        <v>107</v>
      </c>
      <c r="C17" s="24">
        <v>1</v>
      </c>
      <c r="D17" s="24">
        <v>1</v>
      </c>
      <c r="E17" s="25">
        <v>30000</v>
      </c>
      <c r="F17" s="24">
        <v>6</v>
      </c>
      <c r="G17" s="25">
        <f>C17*D17*E17*F17</f>
        <v>180000</v>
      </c>
      <c r="H17" s="18"/>
      <c r="J17" s="23" t="s">
        <v>107</v>
      </c>
      <c r="K17" s="24">
        <v>1</v>
      </c>
      <c r="L17" s="24">
        <v>1</v>
      </c>
      <c r="M17" s="25">
        <v>30000</v>
      </c>
      <c r="N17" s="24">
        <v>12</v>
      </c>
      <c r="O17" s="25">
        <f>K17*L17*M17*N17</f>
        <v>360000</v>
      </c>
      <c r="S17" s="36"/>
    </row>
    <row r="18" spans="1:21" ht="15.5" x14ac:dyDescent="0.35">
      <c r="A18" s="17"/>
      <c r="B18" s="23"/>
      <c r="C18" s="23"/>
      <c r="D18" s="23"/>
      <c r="E18" s="23"/>
      <c r="F18" s="31" t="s">
        <v>42</v>
      </c>
      <c r="G18" s="32">
        <f>SUM(G14:G17)</f>
        <v>480000</v>
      </c>
      <c r="H18" s="18"/>
      <c r="J18" s="23"/>
      <c r="K18" s="23"/>
      <c r="L18" s="23"/>
      <c r="M18" s="23"/>
      <c r="N18" s="31" t="s">
        <v>42</v>
      </c>
      <c r="O18" s="32">
        <f>SUM(O14:O17)</f>
        <v>660000</v>
      </c>
      <c r="T18">
        <v>1800000</v>
      </c>
      <c r="U18" s="154" t="s">
        <v>128</v>
      </c>
    </row>
    <row r="19" spans="1:21" x14ac:dyDescent="0.35">
      <c r="A19" s="17"/>
      <c r="D19" s="16"/>
      <c r="H19" s="18"/>
      <c r="T19">
        <v>400000</v>
      </c>
      <c r="U19" s="154"/>
    </row>
    <row r="20" spans="1:21" ht="15" thickBot="1" x14ac:dyDescent="0.4">
      <c r="A20" s="38"/>
      <c r="B20" s="39" t="s">
        <v>105</v>
      </c>
      <c r="C20" s="39"/>
      <c r="D20" s="39"/>
      <c r="E20" s="39"/>
      <c r="F20" s="39"/>
      <c r="G20" s="39"/>
      <c r="H20" s="40"/>
      <c r="T20">
        <v>400000</v>
      </c>
      <c r="U20" t="s">
        <v>130</v>
      </c>
    </row>
    <row r="21" spans="1:21" x14ac:dyDescent="0.35">
      <c r="T21">
        <v>450000</v>
      </c>
      <c r="U21" t="s">
        <v>129</v>
      </c>
    </row>
    <row r="22" spans="1:21" x14ac:dyDescent="0.35">
      <c r="N22" s="37"/>
    </row>
  </sheetData>
  <mergeCells count="6">
    <mergeCell ref="U18:U19"/>
    <mergeCell ref="A1:H1"/>
    <mergeCell ref="B3:G3"/>
    <mergeCell ref="J3:S3"/>
    <mergeCell ref="B12:G12"/>
    <mergeCell ref="J12:O12"/>
  </mergeCells>
  <conditionalFormatting sqref="E5:E7">
    <cfRule type="cellIs" dxfId="6" priority="7" operator="equal">
      <formula>0</formula>
    </cfRule>
  </conditionalFormatting>
  <conditionalFormatting sqref="E14:E17">
    <cfRule type="cellIs" dxfId="5" priority="5" operator="equal">
      <formula>0</formula>
    </cfRule>
  </conditionalFormatting>
  <conditionalFormatting sqref="G5:G8">
    <cfRule type="cellIs" dxfId="4" priority="6" operator="equal">
      <formula>0</formula>
    </cfRule>
  </conditionalFormatting>
  <conditionalFormatting sqref="G14:G18">
    <cfRule type="cellIs" dxfId="3" priority="4" operator="equal">
      <formula>0</formula>
    </cfRule>
  </conditionalFormatting>
  <conditionalFormatting sqref="M14:M17">
    <cfRule type="cellIs" dxfId="2" priority="2" operator="equal">
      <formula>0</formula>
    </cfRule>
  </conditionalFormatting>
  <conditionalFormatting sqref="O14:O18">
    <cfRule type="cellIs" dxfId="1" priority="1" operator="equal">
      <formula>0</formula>
    </cfRule>
  </conditionalFormatting>
  <conditionalFormatting sqref="S5:S8">
    <cfRule type="cellIs" dxfId="0" priority="3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46DF-08AB-4DF6-890B-C26294C003C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0E62-6BB1-4D9C-A0FC-70032DA446C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workbookViewId="0">
      <selection activeCell="I24" sqref="I24"/>
    </sheetView>
  </sheetViews>
  <sheetFormatPr defaultRowHeight="14.5" x14ac:dyDescent="0.35"/>
  <cols>
    <col min="1" max="1" width="5" style="1" customWidth="1"/>
    <col min="2" max="2" width="11.7265625" customWidth="1"/>
    <col min="3" max="3" width="18.1796875" customWidth="1"/>
    <col min="4" max="4" width="10.81640625" bestFit="1" customWidth="1"/>
    <col min="5" max="5" width="10.26953125" customWidth="1"/>
    <col min="6" max="6" width="10.6328125" customWidth="1"/>
    <col min="7" max="7" width="8.453125" customWidth="1"/>
    <col min="8" max="8" width="11.90625" customWidth="1"/>
  </cols>
  <sheetData>
    <row r="1" spans="1:8" ht="43.5" x14ac:dyDescent="0.35">
      <c r="A1" s="7" t="s">
        <v>22</v>
      </c>
      <c r="B1" s="7" t="s">
        <v>21</v>
      </c>
      <c r="C1" s="7" t="s">
        <v>11</v>
      </c>
      <c r="D1" s="7" t="s">
        <v>28</v>
      </c>
      <c r="E1" s="8" t="s">
        <v>29</v>
      </c>
      <c r="F1" s="8" t="s">
        <v>30</v>
      </c>
      <c r="G1" s="8" t="s">
        <v>23</v>
      </c>
      <c r="H1" s="8" t="s">
        <v>24</v>
      </c>
    </row>
    <row r="2" spans="1:8" x14ac:dyDescent="0.35">
      <c r="A2" s="161">
        <v>1</v>
      </c>
      <c r="B2" s="164" t="s">
        <v>9</v>
      </c>
      <c r="C2" s="5" t="s">
        <v>0</v>
      </c>
      <c r="D2" s="2">
        <v>1</v>
      </c>
      <c r="E2" s="2">
        <v>2</v>
      </c>
      <c r="F2" s="2">
        <v>1</v>
      </c>
      <c r="G2" s="2">
        <v>0</v>
      </c>
      <c r="H2" s="2">
        <f>(F2+E2)*D2</f>
        <v>3</v>
      </c>
    </row>
    <row r="3" spans="1:8" x14ac:dyDescent="0.35">
      <c r="A3" s="162"/>
      <c r="B3" s="164"/>
      <c r="C3" s="5" t="s">
        <v>1</v>
      </c>
      <c r="D3" s="2">
        <v>1</v>
      </c>
      <c r="E3" s="2">
        <v>2</v>
      </c>
      <c r="F3" s="2">
        <v>1</v>
      </c>
      <c r="G3" s="2">
        <v>0</v>
      </c>
      <c r="H3" s="2">
        <f t="shared" ref="H3:H40" si="0">(F3+E3)*D3</f>
        <v>3</v>
      </c>
    </row>
    <row r="4" spans="1:8" x14ac:dyDescent="0.35">
      <c r="A4" s="163"/>
      <c r="B4" s="164"/>
      <c r="C4" s="5" t="s">
        <v>12</v>
      </c>
      <c r="D4" s="2">
        <v>1</v>
      </c>
      <c r="E4" s="2">
        <v>2</v>
      </c>
      <c r="F4" s="2">
        <v>1</v>
      </c>
      <c r="G4" s="2">
        <v>0</v>
      </c>
      <c r="H4" s="2">
        <f t="shared" si="0"/>
        <v>3</v>
      </c>
    </row>
    <row r="5" spans="1:8" ht="29" x14ac:dyDescent="0.35">
      <c r="A5" s="2">
        <v>2</v>
      </c>
      <c r="B5" s="2" t="s">
        <v>8</v>
      </c>
      <c r="C5" s="4" t="s">
        <v>19</v>
      </c>
      <c r="D5" s="2">
        <v>2</v>
      </c>
      <c r="E5" s="2">
        <v>2</v>
      </c>
      <c r="F5" s="2">
        <v>1</v>
      </c>
      <c r="G5" s="2">
        <v>0</v>
      </c>
      <c r="H5" s="2">
        <f t="shared" si="0"/>
        <v>6</v>
      </c>
    </row>
    <row r="6" spans="1:8" x14ac:dyDescent="0.35">
      <c r="A6" s="161">
        <v>3</v>
      </c>
      <c r="B6" s="164" t="s">
        <v>7</v>
      </c>
      <c r="C6" s="5" t="s">
        <v>0</v>
      </c>
      <c r="D6" s="2">
        <v>1</v>
      </c>
      <c r="E6" s="2">
        <v>2</v>
      </c>
      <c r="F6" s="2">
        <v>1</v>
      </c>
      <c r="G6" s="2">
        <v>0</v>
      </c>
      <c r="H6" s="2">
        <f t="shared" si="0"/>
        <v>3</v>
      </c>
    </row>
    <row r="7" spans="1:8" x14ac:dyDescent="0.35">
      <c r="A7" s="162"/>
      <c r="B7" s="164"/>
      <c r="C7" s="5" t="s">
        <v>1</v>
      </c>
      <c r="D7" s="2">
        <v>1</v>
      </c>
      <c r="E7" s="2">
        <v>2</v>
      </c>
      <c r="F7" s="2">
        <v>1</v>
      </c>
      <c r="G7" s="2">
        <v>0</v>
      </c>
      <c r="H7" s="2">
        <f t="shared" si="0"/>
        <v>3</v>
      </c>
    </row>
    <row r="8" spans="1:8" x14ac:dyDescent="0.35">
      <c r="A8" s="163"/>
      <c r="B8" s="164"/>
      <c r="C8" s="5" t="s">
        <v>12</v>
      </c>
      <c r="D8" s="2">
        <v>1</v>
      </c>
      <c r="E8" s="2">
        <v>2</v>
      </c>
      <c r="F8" s="2">
        <v>1</v>
      </c>
      <c r="G8" s="2">
        <v>0</v>
      </c>
      <c r="H8" s="2">
        <f t="shared" si="0"/>
        <v>3</v>
      </c>
    </row>
    <row r="9" spans="1:8" x14ac:dyDescent="0.35">
      <c r="A9" s="161">
        <v>4</v>
      </c>
      <c r="B9" s="164" t="s">
        <v>6</v>
      </c>
      <c r="C9" s="5" t="s">
        <v>1</v>
      </c>
      <c r="D9" s="2">
        <v>1</v>
      </c>
      <c r="E9" s="2">
        <v>2</v>
      </c>
      <c r="F9" s="2">
        <v>1</v>
      </c>
      <c r="G9" s="2">
        <v>0</v>
      </c>
      <c r="H9" s="2">
        <f t="shared" si="0"/>
        <v>3</v>
      </c>
    </row>
    <row r="10" spans="1:8" ht="29" x14ac:dyDescent="0.35">
      <c r="A10" s="162"/>
      <c r="B10" s="164"/>
      <c r="C10" s="4" t="s">
        <v>19</v>
      </c>
      <c r="D10" s="2">
        <v>1</v>
      </c>
      <c r="E10" s="2">
        <v>2</v>
      </c>
      <c r="F10" s="2">
        <v>1</v>
      </c>
      <c r="G10" s="2">
        <v>0</v>
      </c>
      <c r="H10" s="2">
        <f t="shared" ref="H10" si="1">(F10+E10)*D10</f>
        <v>3</v>
      </c>
    </row>
    <row r="11" spans="1:8" x14ac:dyDescent="0.35">
      <c r="A11" s="162"/>
      <c r="B11" s="164"/>
      <c r="C11" s="5" t="s">
        <v>5</v>
      </c>
      <c r="D11" s="2">
        <v>1</v>
      </c>
      <c r="E11" s="2">
        <v>2</v>
      </c>
      <c r="F11" s="2">
        <v>1</v>
      </c>
      <c r="G11" s="2">
        <v>0</v>
      </c>
      <c r="H11" s="2">
        <f t="shared" si="0"/>
        <v>3</v>
      </c>
    </row>
    <row r="12" spans="1:8" x14ac:dyDescent="0.35">
      <c r="A12" s="162"/>
      <c r="B12" s="164"/>
      <c r="C12" s="5" t="s">
        <v>0</v>
      </c>
      <c r="D12" s="2">
        <v>1</v>
      </c>
      <c r="E12" s="2">
        <v>2</v>
      </c>
      <c r="F12" s="2">
        <v>1</v>
      </c>
      <c r="G12" s="2">
        <v>0</v>
      </c>
      <c r="H12" s="2">
        <f t="shared" si="0"/>
        <v>3</v>
      </c>
    </row>
    <row r="13" spans="1:8" x14ac:dyDescent="0.35">
      <c r="A13" s="162"/>
      <c r="B13" s="164"/>
      <c r="C13" s="5" t="s">
        <v>2</v>
      </c>
      <c r="D13" s="2">
        <v>2</v>
      </c>
      <c r="E13" s="2">
        <v>2</v>
      </c>
      <c r="F13" s="2">
        <v>1</v>
      </c>
      <c r="G13" s="2">
        <v>0</v>
      </c>
      <c r="H13" s="2">
        <f t="shared" si="0"/>
        <v>6</v>
      </c>
    </row>
    <row r="14" spans="1:8" x14ac:dyDescent="0.35">
      <c r="A14" s="162"/>
      <c r="B14" s="164"/>
      <c r="C14" s="5" t="s">
        <v>4</v>
      </c>
      <c r="D14" s="2">
        <v>1</v>
      </c>
      <c r="E14" s="2">
        <v>2</v>
      </c>
      <c r="F14" s="2">
        <v>1</v>
      </c>
      <c r="G14" s="2">
        <v>0</v>
      </c>
      <c r="H14" s="2">
        <f t="shared" si="0"/>
        <v>3</v>
      </c>
    </row>
    <row r="15" spans="1:8" x14ac:dyDescent="0.35">
      <c r="A15" s="162"/>
      <c r="B15" s="164"/>
      <c r="C15" s="5" t="s">
        <v>12</v>
      </c>
      <c r="D15" s="2">
        <v>1</v>
      </c>
      <c r="E15" s="2">
        <v>2</v>
      </c>
      <c r="F15" s="2">
        <v>1</v>
      </c>
      <c r="G15" s="2">
        <v>0</v>
      </c>
      <c r="H15" s="2">
        <f t="shared" si="0"/>
        <v>3</v>
      </c>
    </row>
    <row r="16" spans="1:8" x14ac:dyDescent="0.35">
      <c r="A16" s="162"/>
      <c r="B16" s="164"/>
      <c r="C16" s="5" t="s">
        <v>3</v>
      </c>
      <c r="D16" s="2">
        <v>1</v>
      </c>
      <c r="E16" s="2">
        <v>2</v>
      </c>
      <c r="F16" s="2">
        <v>1</v>
      </c>
      <c r="G16" s="2">
        <v>0</v>
      </c>
      <c r="H16" s="2">
        <f t="shared" ref="H16" si="2">(F16+E16)*D16</f>
        <v>3</v>
      </c>
    </row>
    <row r="17" spans="1:8" x14ac:dyDescent="0.35">
      <c r="A17" s="162"/>
      <c r="B17" s="164"/>
      <c r="C17" s="5" t="s">
        <v>13</v>
      </c>
      <c r="D17" s="2">
        <v>1</v>
      </c>
      <c r="E17" s="2">
        <v>2</v>
      </c>
      <c r="F17" s="2">
        <v>1</v>
      </c>
      <c r="G17" s="2">
        <v>0</v>
      </c>
      <c r="H17" s="2">
        <f t="shared" si="0"/>
        <v>3</v>
      </c>
    </row>
    <row r="18" spans="1:8" x14ac:dyDescent="0.35">
      <c r="A18" s="163"/>
      <c r="B18" s="164"/>
      <c r="C18" s="5" t="s">
        <v>20</v>
      </c>
      <c r="D18" s="2">
        <v>1</v>
      </c>
      <c r="E18" s="2">
        <v>2</v>
      </c>
      <c r="F18" s="2">
        <v>1</v>
      </c>
      <c r="G18" s="2">
        <v>0</v>
      </c>
      <c r="H18" s="2">
        <f t="shared" si="0"/>
        <v>3</v>
      </c>
    </row>
    <row r="19" spans="1:8" x14ac:dyDescent="0.35">
      <c r="A19" s="161">
        <v>5</v>
      </c>
      <c r="B19" s="164" t="s">
        <v>26</v>
      </c>
      <c r="C19" s="5" t="s">
        <v>0</v>
      </c>
      <c r="D19" s="2">
        <v>2</v>
      </c>
      <c r="E19" s="2">
        <v>6</v>
      </c>
      <c r="F19" s="2">
        <v>6</v>
      </c>
      <c r="G19" s="2">
        <v>0</v>
      </c>
      <c r="H19" s="2">
        <f t="shared" si="0"/>
        <v>24</v>
      </c>
    </row>
    <row r="20" spans="1:8" x14ac:dyDescent="0.35">
      <c r="A20" s="162"/>
      <c r="B20" s="164"/>
      <c r="C20" s="5" t="s">
        <v>12</v>
      </c>
      <c r="D20" s="2">
        <v>1</v>
      </c>
      <c r="E20" s="2">
        <v>6</v>
      </c>
      <c r="F20" s="2">
        <v>6</v>
      </c>
      <c r="G20" s="2">
        <v>0</v>
      </c>
      <c r="H20" s="2">
        <f t="shared" si="0"/>
        <v>12</v>
      </c>
    </row>
    <row r="21" spans="1:8" x14ac:dyDescent="0.35">
      <c r="A21" s="162"/>
      <c r="B21" s="164"/>
      <c r="C21" s="5" t="s">
        <v>13</v>
      </c>
      <c r="D21" s="2">
        <v>2</v>
      </c>
      <c r="E21" s="2">
        <v>6</v>
      </c>
      <c r="F21" s="2">
        <v>6</v>
      </c>
      <c r="G21" s="2">
        <v>0</v>
      </c>
      <c r="H21" s="2">
        <f t="shared" si="0"/>
        <v>24</v>
      </c>
    </row>
    <row r="22" spans="1:8" x14ac:dyDescent="0.35">
      <c r="A22" s="162"/>
      <c r="B22" s="164"/>
      <c r="C22" s="5" t="s">
        <v>1</v>
      </c>
      <c r="D22" s="2">
        <v>2</v>
      </c>
      <c r="E22" s="2">
        <v>6</v>
      </c>
      <c r="F22" s="2">
        <v>6</v>
      </c>
      <c r="G22" s="2">
        <v>0</v>
      </c>
      <c r="H22" s="2">
        <f t="shared" si="0"/>
        <v>24</v>
      </c>
    </row>
    <row r="23" spans="1:8" x14ac:dyDescent="0.35">
      <c r="A23" s="162"/>
      <c r="B23" s="164"/>
      <c r="C23" s="5" t="s">
        <v>3</v>
      </c>
      <c r="D23" s="2">
        <v>1</v>
      </c>
      <c r="E23" s="2">
        <v>6</v>
      </c>
      <c r="F23" s="2">
        <v>6</v>
      </c>
      <c r="G23" s="2">
        <v>0</v>
      </c>
      <c r="H23" s="2">
        <f t="shared" si="0"/>
        <v>12</v>
      </c>
    </row>
    <row r="24" spans="1:8" x14ac:dyDescent="0.35">
      <c r="A24" s="162"/>
      <c r="B24" s="164"/>
      <c r="C24" s="5" t="s">
        <v>14</v>
      </c>
      <c r="D24" s="2">
        <v>3</v>
      </c>
      <c r="E24" s="2">
        <v>6</v>
      </c>
      <c r="F24" s="2">
        <v>6</v>
      </c>
      <c r="G24" s="2">
        <v>0</v>
      </c>
      <c r="H24" s="2">
        <f t="shared" si="0"/>
        <v>36</v>
      </c>
    </row>
    <row r="25" spans="1:8" x14ac:dyDescent="0.35">
      <c r="A25" s="162"/>
      <c r="B25" s="164"/>
      <c r="C25" s="5" t="s">
        <v>2</v>
      </c>
      <c r="D25" s="2">
        <v>2</v>
      </c>
      <c r="E25" s="2">
        <v>6</v>
      </c>
      <c r="F25" s="2">
        <v>6</v>
      </c>
      <c r="G25" s="2">
        <v>0</v>
      </c>
      <c r="H25" s="2">
        <f t="shared" si="0"/>
        <v>24</v>
      </c>
    </row>
    <row r="26" spans="1:8" x14ac:dyDescent="0.35">
      <c r="A26" s="162"/>
      <c r="B26" s="164"/>
      <c r="C26" s="5" t="s">
        <v>5</v>
      </c>
      <c r="D26" s="2">
        <v>1</v>
      </c>
      <c r="E26" s="2">
        <v>6</v>
      </c>
      <c r="F26" s="2">
        <v>6</v>
      </c>
      <c r="G26" s="2">
        <v>0</v>
      </c>
      <c r="H26" s="2">
        <f t="shared" si="0"/>
        <v>12</v>
      </c>
    </row>
    <row r="27" spans="1:8" x14ac:dyDescent="0.35">
      <c r="A27" s="162"/>
      <c r="B27" s="164"/>
      <c r="C27" s="5" t="s">
        <v>4</v>
      </c>
      <c r="D27" s="2">
        <v>2</v>
      </c>
      <c r="E27" s="2">
        <v>6</v>
      </c>
      <c r="F27" s="2">
        <v>6</v>
      </c>
      <c r="G27" s="2">
        <v>0</v>
      </c>
      <c r="H27" s="2">
        <f t="shared" si="0"/>
        <v>24</v>
      </c>
    </row>
    <row r="28" spans="1:8" x14ac:dyDescent="0.35">
      <c r="A28" s="163"/>
      <c r="B28" s="164"/>
      <c r="C28" s="5" t="s">
        <v>20</v>
      </c>
      <c r="D28" s="2">
        <v>1</v>
      </c>
      <c r="E28" s="2">
        <v>6</v>
      </c>
      <c r="F28" s="2">
        <v>6</v>
      </c>
      <c r="G28" s="2">
        <v>0</v>
      </c>
      <c r="H28" s="2">
        <f t="shared" si="0"/>
        <v>12</v>
      </c>
    </row>
    <row r="29" spans="1:8" ht="103.5" customHeight="1" x14ac:dyDescent="0.35">
      <c r="A29" s="2">
        <v>6</v>
      </c>
      <c r="B29" s="2" t="s">
        <v>15</v>
      </c>
      <c r="C29" s="4" t="s">
        <v>16</v>
      </c>
      <c r="D29" s="2"/>
      <c r="E29" s="2"/>
      <c r="F29" s="2"/>
      <c r="G29" s="2">
        <v>0</v>
      </c>
      <c r="H29" s="4" t="s">
        <v>25</v>
      </c>
    </row>
    <row r="30" spans="1:8" ht="29" x14ac:dyDescent="0.35">
      <c r="A30" s="2">
        <v>7</v>
      </c>
      <c r="B30" s="2" t="s">
        <v>17</v>
      </c>
      <c r="C30" s="6" t="s">
        <v>10</v>
      </c>
      <c r="D30" s="3">
        <v>1</v>
      </c>
      <c r="E30" s="2">
        <v>2</v>
      </c>
      <c r="F30" s="2">
        <v>2</v>
      </c>
      <c r="G30" s="2">
        <v>0</v>
      </c>
      <c r="H30" s="2">
        <f t="shared" si="0"/>
        <v>4</v>
      </c>
    </row>
    <row r="31" spans="1:8" ht="29" x14ac:dyDescent="0.35">
      <c r="A31" s="161">
        <v>8</v>
      </c>
      <c r="B31" s="164" t="s">
        <v>31</v>
      </c>
      <c r="C31" s="4" t="s">
        <v>19</v>
      </c>
      <c r="D31" s="2">
        <v>1</v>
      </c>
      <c r="E31" s="2">
        <v>2</v>
      </c>
      <c r="F31" s="2">
        <v>1</v>
      </c>
      <c r="G31" s="2">
        <v>0</v>
      </c>
      <c r="H31" s="2">
        <f t="shared" si="0"/>
        <v>3</v>
      </c>
    </row>
    <row r="32" spans="1:8" x14ac:dyDescent="0.35">
      <c r="A32" s="162"/>
      <c r="B32" s="164"/>
      <c r="C32" s="5" t="s">
        <v>0</v>
      </c>
      <c r="D32" s="2">
        <v>1</v>
      </c>
      <c r="E32" s="2">
        <v>2</v>
      </c>
      <c r="F32" s="2">
        <v>1</v>
      </c>
      <c r="G32" s="2">
        <v>0</v>
      </c>
      <c r="H32" s="2">
        <f t="shared" si="0"/>
        <v>3</v>
      </c>
    </row>
    <row r="33" spans="1:8" x14ac:dyDescent="0.35">
      <c r="A33" s="162"/>
      <c r="B33" s="164"/>
      <c r="C33" s="5" t="s">
        <v>5</v>
      </c>
      <c r="D33" s="2">
        <v>1</v>
      </c>
      <c r="E33" s="2">
        <v>2</v>
      </c>
      <c r="F33" s="2">
        <v>1</v>
      </c>
      <c r="G33" s="2">
        <v>0</v>
      </c>
      <c r="H33" s="2">
        <f t="shared" si="0"/>
        <v>3</v>
      </c>
    </row>
    <row r="34" spans="1:8" x14ac:dyDescent="0.35">
      <c r="A34" s="162"/>
      <c r="B34" s="164"/>
      <c r="C34" s="5" t="s">
        <v>1</v>
      </c>
      <c r="D34" s="2">
        <v>1</v>
      </c>
      <c r="E34" s="2">
        <v>2</v>
      </c>
      <c r="F34" s="2">
        <v>1</v>
      </c>
      <c r="G34" s="2">
        <v>0</v>
      </c>
      <c r="H34" s="2">
        <f t="shared" si="0"/>
        <v>3</v>
      </c>
    </row>
    <row r="35" spans="1:8" x14ac:dyDescent="0.35">
      <c r="A35" s="162"/>
      <c r="B35" s="164"/>
      <c r="C35" s="5" t="s">
        <v>18</v>
      </c>
      <c r="D35" s="2">
        <v>2</v>
      </c>
      <c r="E35" s="2">
        <v>2</v>
      </c>
      <c r="F35" s="2">
        <v>1</v>
      </c>
      <c r="G35" s="2">
        <v>0</v>
      </c>
      <c r="H35" s="2">
        <f t="shared" si="0"/>
        <v>6</v>
      </c>
    </row>
    <row r="36" spans="1:8" x14ac:dyDescent="0.35">
      <c r="A36" s="162"/>
      <c r="B36" s="164"/>
      <c r="C36" s="5" t="s">
        <v>3</v>
      </c>
      <c r="D36" s="2">
        <v>1</v>
      </c>
      <c r="E36" s="2">
        <v>2</v>
      </c>
      <c r="F36" s="2">
        <v>1</v>
      </c>
      <c r="G36" s="2">
        <v>0</v>
      </c>
      <c r="H36" s="2">
        <f t="shared" si="0"/>
        <v>3</v>
      </c>
    </row>
    <row r="37" spans="1:8" x14ac:dyDescent="0.35">
      <c r="A37" s="162"/>
      <c r="B37" s="164"/>
      <c r="C37" s="5" t="s">
        <v>12</v>
      </c>
      <c r="D37" s="2">
        <v>1</v>
      </c>
      <c r="E37" s="2">
        <v>2</v>
      </c>
      <c r="F37" s="2">
        <v>1</v>
      </c>
      <c r="G37" s="2">
        <v>0</v>
      </c>
      <c r="H37" s="2">
        <f t="shared" si="0"/>
        <v>3</v>
      </c>
    </row>
    <row r="38" spans="1:8" x14ac:dyDescent="0.35">
      <c r="A38" s="162"/>
      <c r="B38" s="164"/>
      <c r="C38" s="5" t="s">
        <v>20</v>
      </c>
      <c r="D38" s="2">
        <v>1</v>
      </c>
      <c r="E38" s="2">
        <v>2</v>
      </c>
      <c r="F38" s="2">
        <v>1</v>
      </c>
      <c r="G38" s="2">
        <v>0</v>
      </c>
      <c r="H38" s="2">
        <f t="shared" ref="H38" si="3">(F38+E38)*D38</f>
        <v>3</v>
      </c>
    </row>
    <row r="39" spans="1:8" x14ac:dyDescent="0.35">
      <c r="A39" s="162"/>
      <c r="B39" s="164"/>
      <c r="C39" s="5" t="s">
        <v>2</v>
      </c>
      <c r="D39" s="2">
        <v>2</v>
      </c>
      <c r="E39" s="2">
        <v>2</v>
      </c>
      <c r="F39" s="2">
        <v>1</v>
      </c>
      <c r="G39" s="2">
        <v>0</v>
      </c>
      <c r="H39" s="2">
        <f t="shared" si="0"/>
        <v>6</v>
      </c>
    </row>
    <row r="40" spans="1:8" x14ac:dyDescent="0.35">
      <c r="A40" s="163"/>
      <c r="B40" s="164"/>
      <c r="C40" s="5" t="s">
        <v>4</v>
      </c>
      <c r="D40" s="2">
        <v>1</v>
      </c>
      <c r="E40" s="2">
        <v>2</v>
      </c>
      <c r="F40" s="2">
        <v>1</v>
      </c>
      <c r="G40" s="2">
        <v>0</v>
      </c>
      <c r="H40" s="2">
        <f t="shared" si="0"/>
        <v>3</v>
      </c>
    </row>
    <row r="41" spans="1:8" x14ac:dyDescent="0.35">
      <c r="A41" s="161">
        <v>9</v>
      </c>
      <c r="B41" s="160" t="s">
        <v>27</v>
      </c>
      <c r="C41" s="5" t="s">
        <v>1</v>
      </c>
      <c r="D41" s="2">
        <v>1</v>
      </c>
      <c r="E41" s="2">
        <v>0</v>
      </c>
      <c r="F41" s="2">
        <v>0</v>
      </c>
      <c r="G41" s="2">
        <v>2</v>
      </c>
      <c r="H41" s="2">
        <f>G41*D41</f>
        <v>2</v>
      </c>
    </row>
    <row r="42" spans="1:8" x14ac:dyDescent="0.35">
      <c r="A42" s="162"/>
      <c r="B42" s="160"/>
      <c r="C42" s="5" t="s">
        <v>5</v>
      </c>
      <c r="D42" s="2">
        <v>1</v>
      </c>
      <c r="E42" s="2">
        <v>0</v>
      </c>
      <c r="F42" s="2">
        <v>0</v>
      </c>
      <c r="G42" s="2">
        <v>2</v>
      </c>
      <c r="H42" s="2">
        <f>G42*D42</f>
        <v>2</v>
      </c>
    </row>
    <row r="43" spans="1:8" x14ac:dyDescent="0.35">
      <c r="A43" s="162"/>
      <c r="B43" s="160"/>
      <c r="C43" s="5" t="s">
        <v>2</v>
      </c>
      <c r="D43" s="2">
        <v>2</v>
      </c>
      <c r="E43" s="2">
        <v>0</v>
      </c>
      <c r="F43" s="2">
        <v>0</v>
      </c>
      <c r="G43" s="2">
        <v>2</v>
      </c>
      <c r="H43" s="2">
        <f t="shared" ref="H43:H46" si="4">G43*D43</f>
        <v>4</v>
      </c>
    </row>
    <row r="44" spans="1:8" x14ac:dyDescent="0.35">
      <c r="A44" s="162"/>
      <c r="B44" s="160"/>
      <c r="C44" s="5" t="s">
        <v>0</v>
      </c>
      <c r="D44" s="2">
        <v>1</v>
      </c>
      <c r="E44" s="2">
        <v>0</v>
      </c>
      <c r="F44" s="2">
        <v>0</v>
      </c>
      <c r="G44" s="2">
        <v>2</v>
      </c>
      <c r="H44" s="2">
        <f t="shared" si="4"/>
        <v>2</v>
      </c>
    </row>
    <row r="45" spans="1:8" x14ac:dyDescent="0.35">
      <c r="A45" s="162"/>
      <c r="B45" s="160"/>
      <c r="C45" s="5" t="s">
        <v>20</v>
      </c>
      <c r="D45" s="2">
        <v>1</v>
      </c>
      <c r="E45" s="2">
        <v>0</v>
      </c>
      <c r="F45" s="2">
        <v>0</v>
      </c>
      <c r="G45" s="2">
        <v>2</v>
      </c>
      <c r="H45" s="2">
        <f t="shared" si="4"/>
        <v>2</v>
      </c>
    </row>
    <row r="46" spans="1:8" ht="29" x14ac:dyDescent="0.35">
      <c r="A46" s="163"/>
      <c r="B46" s="160"/>
      <c r="C46" s="4" t="s">
        <v>19</v>
      </c>
      <c r="D46" s="2">
        <v>1</v>
      </c>
      <c r="E46" s="2">
        <v>0</v>
      </c>
      <c r="F46" s="2">
        <v>0</v>
      </c>
      <c r="G46" s="2">
        <v>2</v>
      </c>
      <c r="H46" s="2">
        <f t="shared" si="4"/>
        <v>2</v>
      </c>
    </row>
  </sheetData>
  <mergeCells count="12">
    <mergeCell ref="B41:B46"/>
    <mergeCell ref="A2:A4"/>
    <mergeCell ref="A6:A8"/>
    <mergeCell ref="A9:A18"/>
    <mergeCell ref="A19:A28"/>
    <mergeCell ref="A31:A40"/>
    <mergeCell ref="A41:A46"/>
    <mergeCell ref="B2:B4"/>
    <mergeCell ref="B6:B8"/>
    <mergeCell ref="B9:B18"/>
    <mergeCell ref="B19:B28"/>
    <mergeCell ref="B31:B4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hardware" xr:uid="{45B08E12-ED93-4672-B1A2-E50B4E1F531D}">
          <x14:formula1>
            <xm:f>Master!$A$2:$A$14</xm:f>
          </x14:formula1>
          <xm:sqref>C30:C46 C2:C28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C7D8-FDC1-4388-A7A5-20863317A30E}">
  <dimension ref="B2:C7"/>
  <sheetViews>
    <sheetView workbookViewId="0">
      <selection activeCell="G12" sqref="G12"/>
    </sheetView>
  </sheetViews>
  <sheetFormatPr defaultRowHeight="14.5" x14ac:dyDescent="0.35"/>
  <cols>
    <col min="2" max="2" width="11.54296875" bestFit="1" customWidth="1"/>
  </cols>
  <sheetData>
    <row r="2" spans="2:3" x14ac:dyDescent="0.35">
      <c r="B2" t="s">
        <v>114</v>
      </c>
      <c r="C2">
        <v>200</v>
      </c>
    </row>
    <row r="3" spans="2:3" x14ac:dyDescent="0.35">
      <c r="B3" t="s">
        <v>115</v>
      </c>
      <c r="C3">
        <v>35</v>
      </c>
    </row>
    <row r="4" spans="2:3" x14ac:dyDescent="0.35">
      <c r="B4" t="s">
        <v>116</v>
      </c>
      <c r="C4">
        <f>C2*30</f>
        <v>6000</v>
      </c>
    </row>
    <row r="5" spans="2:3" x14ac:dyDescent="0.35">
      <c r="B5" t="s">
        <v>117</v>
      </c>
      <c r="C5">
        <f>C4*12</f>
        <v>72000</v>
      </c>
    </row>
    <row r="6" spans="2:3" x14ac:dyDescent="0.35">
      <c r="B6" t="s">
        <v>118</v>
      </c>
      <c r="C6">
        <f>C5*3</f>
        <v>216000</v>
      </c>
    </row>
    <row r="7" spans="2:3" x14ac:dyDescent="0.35">
      <c r="B7" t="s">
        <v>119</v>
      </c>
      <c r="C7">
        <f>C6*C3</f>
        <v>7560000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6CED-5BAD-42F4-AAFB-701F7F77852F}">
  <dimension ref="A1:E14"/>
  <sheetViews>
    <sheetView workbookViewId="0">
      <selection activeCell="H10" sqref="H10"/>
    </sheetView>
  </sheetViews>
  <sheetFormatPr defaultRowHeight="14.5" x14ac:dyDescent="0.35"/>
  <cols>
    <col min="1" max="1" width="19.7265625" bestFit="1" customWidth="1"/>
    <col min="4" max="4" width="20.08984375" bestFit="1" customWidth="1"/>
  </cols>
  <sheetData>
    <row r="1" spans="1:5" x14ac:dyDescent="0.35">
      <c r="D1" s="33" t="s">
        <v>11</v>
      </c>
      <c r="E1" s="33" t="s">
        <v>46</v>
      </c>
    </row>
    <row r="2" spans="1:5" x14ac:dyDescent="0.35">
      <c r="A2" t="s">
        <v>0</v>
      </c>
      <c r="D2" s="87" t="s">
        <v>0</v>
      </c>
      <c r="E2" s="88">
        <v>290000</v>
      </c>
    </row>
    <row r="3" spans="1:5" x14ac:dyDescent="0.35">
      <c r="A3" t="s">
        <v>5</v>
      </c>
      <c r="D3" s="33" t="s">
        <v>5</v>
      </c>
      <c r="E3" s="88">
        <v>48000</v>
      </c>
    </row>
    <row r="4" spans="1:5" x14ac:dyDescent="0.35">
      <c r="A4" t="s">
        <v>1</v>
      </c>
      <c r="D4" s="33" t="s">
        <v>1</v>
      </c>
      <c r="E4" s="88">
        <v>27000</v>
      </c>
    </row>
    <row r="5" spans="1:5" x14ac:dyDescent="0.35">
      <c r="A5" t="s">
        <v>10</v>
      </c>
      <c r="D5" s="33" t="s">
        <v>10</v>
      </c>
      <c r="E5" s="88">
        <v>66000</v>
      </c>
    </row>
    <row r="6" spans="1:5" x14ac:dyDescent="0.35">
      <c r="A6" t="s">
        <v>19</v>
      </c>
      <c r="D6" s="33" t="s">
        <v>19</v>
      </c>
      <c r="E6" s="88">
        <v>41000</v>
      </c>
    </row>
    <row r="7" spans="1:5" x14ac:dyDescent="0.35">
      <c r="A7" t="s">
        <v>2</v>
      </c>
      <c r="D7" s="33" t="s">
        <v>2</v>
      </c>
      <c r="E7" s="88">
        <v>7000</v>
      </c>
    </row>
    <row r="8" spans="1:5" x14ac:dyDescent="0.35">
      <c r="A8" t="s">
        <v>4</v>
      </c>
      <c r="D8" s="33" t="s">
        <v>4</v>
      </c>
      <c r="E8" s="88">
        <v>14000</v>
      </c>
    </row>
    <row r="9" spans="1:5" x14ac:dyDescent="0.35">
      <c r="A9" t="s">
        <v>12</v>
      </c>
      <c r="D9" s="33" t="s">
        <v>12</v>
      </c>
      <c r="E9" s="88">
        <v>12000</v>
      </c>
    </row>
    <row r="10" spans="1:5" x14ac:dyDescent="0.35">
      <c r="A10" t="s">
        <v>20</v>
      </c>
      <c r="D10" s="33" t="s">
        <v>20</v>
      </c>
      <c r="E10" s="88">
        <v>21000</v>
      </c>
    </row>
    <row r="11" spans="1:5" x14ac:dyDescent="0.35">
      <c r="A11" t="s">
        <v>14</v>
      </c>
      <c r="D11" s="33" t="s">
        <v>14</v>
      </c>
      <c r="E11" s="88">
        <v>5700</v>
      </c>
    </row>
    <row r="12" spans="1:5" x14ac:dyDescent="0.35">
      <c r="A12" t="s">
        <v>18</v>
      </c>
      <c r="D12" s="33" t="s">
        <v>18</v>
      </c>
      <c r="E12" s="88">
        <v>22000</v>
      </c>
    </row>
    <row r="13" spans="1:5" x14ac:dyDescent="0.35">
      <c r="A13" t="s">
        <v>3</v>
      </c>
      <c r="D13" s="33" t="s">
        <v>3</v>
      </c>
      <c r="E13" s="88">
        <v>16000</v>
      </c>
    </row>
    <row r="14" spans="1:5" x14ac:dyDescent="0.35">
      <c r="A14" t="s">
        <v>13</v>
      </c>
      <c r="D14" s="33" t="s">
        <v>13</v>
      </c>
      <c r="E14" s="88">
        <v>8000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726A-8AD6-4ADC-8167-D0E31DA11F10}">
  <sheetPr>
    <tabColor theme="7" tint="0.79998168889431442"/>
  </sheetPr>
  <dimension ref="A1:G18"/>
  <sheetViews>
    <sheetView zoomScale="80" zoomScaleNormal="80" workbookViewId="0">
      <selection activeCell="C21" sqref="C21"/>
    </sheetView>
  </sheetViews>
  <sheetFormatPr defaultRowHeight="14.5" x14ac:dyDescent="0.35"/>
  <cols>
    <col min="1" max="1" width="16.08984375" bestFit="1" customWidth="1"/>
    <col min="2" max="2" width="44.90625" customWidth="1"/>
    <col min="3" max="3" width="65.90625" bestFit="1" customWidth="1"/>
    <col min="4" max="4" width="19" bestFit="1" customWidth="1"/>
    <col min="5" max="5" width="14.26953125" bestFit="1" customWidth="1"/>
    <col min="7" max="7" width="11.54296875" bestFit="1" customWidth="1"/>
  </cols>
  <sheetData>
    <row r="1" spans="1:7" ht="15" thickBot="1" x14ac:dyDescent="0.4"/>
    <row r="2" spans="1:7" ht="31.5" thickBot="1" x14ac:dyDescent="0.4">
      <c r="A2" s="49" t="s">
        <v>79</v>
      </c>
      <c r="B2" s="50" t="s">
        <v>80</v>
      </c>
      <c r="C2" s="50" t="s">
        <v>81</v>
      </c>
      <c r="D2" s="51" t="s">
        <v>55</v>
      </c>
      <c r="E2" s="54" t="s">
        <v>113</v>
      </c>
    </row>
    <row r="3" spans="1:7" ht="15.5" x14ac:dyDescent="0.35">
      <c r="A3" s="141" t="s">
        <v>86</v>
      </c>
      <c r="B3" s="55" t="s">
        <v>35</v>
      </c>
      <c r="C3" s="56" t="s">
        <v>112</v>
      </c>
      <c r="D3" s="57" t="s">
        <v>87</v>
      </c>
      <c r="E3" s="64">
        <v>23901640</v>
      </c>
    </row>
    <row r="4" spans="1:7" ht="15.5" x14ac:dyDescent="0.35">
      <c r="A4" s="142"/>
      <c r="B4" s="145" t="s">
        <v>90</v>
      </c>
      <c r="C4" s="61" t="s">
        <v>91</v>
      </c>
      <c r="D4" s="61" t="s">
        <v>87</v>
      </c>
      <c r="E4" s="67">
        <v>4640000</v>
      </c>
    </row>
    <row r="5" spans="1:7" ht="15.5" x14ac:dyDescent="0.35">
      <c r="A5" s="142"/>
      <c r="B5" s="146"/>
      <c r="C5" s="33" t="s">
        <v>93</v>
      </c>
      <c r="D5" s="61" t="s">
        <v>87</v>
      </c>
      <c r="E5" s="67">
        <v>3520000</v>
      </c>
    </row>
    <row r="6" spans="1:7" ht="15.5" x14ac:dyDescent="0.35">
      <c r="A6" s="142"/>
      <c r="B6" s="146"/>
      <c r="C6" s="68" t="s">
        <v>95</v>
      </c>
      <c r="D6" s="68" t="s">
        <v>87</v>
      </c>
      <c r="E6" s="67">
        <v>800000</v>
      </c>
    </row>
    <row r="7" spans="1:7" ht="15.5" x14ac:dyDescent="0.35">
      <c r="A7" s="142"/>
      <c r="B7" s="144"/>
      <c r="C7" s="62" t="s">
        <v>126</v>
      </c>
      <c r="D7" s="62"/>
      <c r="E7" s="64">
        <v>8960000</v>
      </c>
    </row>
    <row r="8" spans="1:7" ht="15.5" x14ac:dyDescent="0.35">
      <c r="A8" s="142"/>
      <c r="B8" s="69"/>
      <c r="C8" s="69"/>
      <c r="D8" s="70" t="s">
        <v>97</v>
      </c>
      <c r="E8" s="71">
        <v>32861640</v>
      </c>
    </row>
    <row r="9" spans="1:7" ht="15.5" x14ac:dyDescent="0.35">
      <c r="A9" s="134"/>
      <c r="B9" s="73" t="s">
        <v>98</v>
      </c>
      <c r="C9" s="68" t="s">
        <v>99</v>
      </c>
      <c r="D9" s="68" t="s">
        <v>63</v>
      </c>
      <c r="E9" s="67">
        <v>18360000</v>
      </c>
      <c r="G9" s="36"/>
    </row>
    <row r="10" spans="1:7" ht="15.5" x14ac:dyDescent="0.35">
      <c r="A10" s="135"/>
      <c r="B10" s="73"/>
      <c r="C10" s="68" t="s">
        <v>106</v>
      </c>
      <c r="D10" s="68" t="s">
        <v>63</v>
      </c>
      <c r="E10" s="67">
        <v>13539000</v>
      </c>
      <c r="G10" s="36"/>
    </row>
    <row r="11" spans="1:7" ht="15.5" x14ac:dyDescent="0.35">
      <c r="A11" s="135"/>
      <c r="B11" s="95"/>
      <c r="C11" s="95"/>
      <c r="D11" s="95" t="s">
        <v>108</v>
      </c>
      <c r="E11" s="96">
        <v>31899000</v>
      </c>
    </row>
    <row r="12" spans="1:7" ht="15.5" x14ac:dyDescent="0.35">
      <c r="A12" s="135"/>
      <c r="B12" s="73" t="s">
        <v>122</v>
      </c>
      <c r="C12" s="68" t="s">
        <v>109</v>
      </c>
      <c r="D12" s="68" t="s">
        <v>63</v>
      </c>
      <c r="E12" s="67">
        <v>8536300</v>
      </c>
      <c r="G12" s="36"/>
    </row>
    <row r="13" spans="1:7" ht="15.5" x14ac:dyDescent="0.35">
      <c r="A13" s="135"/>
      <c r="B13" s="73" t="s">
        <v>123</v>
      </c>
      <c r="C13" s="68" t="s">
        <v>120</v>
      </c>
      <c r="D13" s="68" t="s">
        <v>63</v>
      </c>
      <c r="E13" s="67">
        <v>7560000</v>
      </c>
      <c r="G13" s="36"/>
    </row>
    <row r="14" spans="1:7" ht="15.5" x14ac:dyDescent="0.35">
      <c r="A14" s="136"/>
      <c r="B14" s="73" t="s">
        <v>124</v>
      </c>
      <c r="C14" s="68" t="s">
        <v>127</v>
      </c>
      <c r="D14" s="68" t="s">
        <v>63</v>
      </c>
      <c r="E14" s="67">
        <v>1800000</v>
      </c>
      <c r="G14" s="36"/>
    </row>
    <row r="15" spans="1:7" ht="19" thickBot="1" x14ac:dyDescent="0.4">
      <c r="A15" s="78"/>
      <c r="B15" s="79"/>
      <c r="C15" s="132" t="s">
        <v>100</v>
      </c>
      <c r="D15" s="132"/>
      <c r="E15" s="80">
        <v>82656940</v>
      </c>
    </row>
    <row r="18" spans="7:7" x14ac:dyDescent="0.35">
      <c r="G18" t="s">
        <v>101</v>
      </c>
    </row>
  </sheetData>
  <mergeCells count="4">
    <mergeCell ref="A9:A14"/>
    <mergeCell ref="C15:D15"/>
    <mergeCell ref="A3:A8"/>
    <mergeCell ref="B4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Sheet3</vt:lpstr>
      <vt:lpstr>Commercials Final</vt:lpstr>
      <vt:lpstr>Commercials</vt:lpstr>
      <vt:lpstr>Software charges</vt:lpstr>
      <vt:lpstr>Sheet7</vt:lpstr>
      <vt:lpstr>Hardware</vt:lpstr>
      <vt:lpstr>Manpower Cost</vt:lpstr>
      <vt:lpstr>Sheet2</vt:lpstr>
      <vt:lpstr>Sheet4</vt:lpstr>
      <vt:lpstr>BOQ</vt:lpstr>
      <vt:lpstr>Track and Trace</vt:lpstr>
      <vt:lpstr>Master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Manoj Hanagandi Axestrack</cp:lastModifiedBy>
  <dcterms:created xsi:type="dcterms:W3CDTF">2015-06-05T18:17:20Z</dcterms:created>
  <dcterms:modified xsi:type="dcterms:W3CDTF">2025-08-05T13:21:40Z</dcterms:modified>
</cp:coreProperties>
</file>