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Manoj\Manoj\Axestrack\Solutions\Apcotex\"/>
    </mc:Choice>
  </mc:AlternateContent>
  <xr:revisionPtr revIDLastSave="0" documentId="13_ncr:1_{718FABE8-C134-455E-AE01-3AD5B8BC365E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ommercials Full" sheetId="1" r:id="rId1"/>
    <sheet name="Summary" sheetId="6" state="hidden" r:id="rId2"/>
    <sheet name="BOQ" sheetId="4" r:id="rId3"/>
    <sheet name="Sheet2" sheetId="7" state="hidden" r:id="rId4"/>
    <sheet name="Manpower Cost New" sheetId="2" r:id="rId5"/>
    <sheet name="Hardware List" sheetId="3" r:id="rId6"/>
    <sheet name="Master" sheetId="5" r:id="rId7"/>
  </sheets>
  <definedNames>
    <definedName name="_xlnm._FilterDatabase" localSheetId="2" hidden="1">BOQ!$A$1:$H$12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+YsL6XvhZF9dR8lzXe/NWWVzUqBMdt2YqbLL6/d9fAo=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3" i="3"/>
  <c r="I2" i="3"/>
  <c r="J21" i="1"/>
  <c r="H21" i="1"/>
  <c r="B8" i="3"/>
  <c r="F8" i="3" s="1"/>
  <c r="H8" i="3" s="1"/>
  <c r="D8" i="3"/>
  <c r="E8" i="3"/>
  <c r="G10" i="4"/>
  <c r="F18" i="1" l="1"/>
  <c r="S7" i="2"/>
  <c r="C3" i="7"/>
  <c r="D3" i="7" s="1"/>
  <c r="D2" i="7"/>
  <c r="C5" i="7"/>
  <c r="D5" i="7" s="1"/>
  <c r="C4" i="7"/>
  <c r="D4" i="7" s="1"/>
  <c r="C6" i="7"/>
  <c r="D6" i="7" s="1"/>
  <c r="C2" i="7"/>
  <c r="F22" i="1"/>
  <c r="H22" i="1" s="1"/>
  <c r="O8" i="2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G11" i="4"/>
  <c r="D11" i="4"/>
  <c r="H11" i="4" s="1"/>
  <c r="G9" i="4"/>
  <c r="D9" i="4"/>
  <c r="H9" i="4" s="1"/>
  <c r="G8" i="4"/>
  <c r="D8" i="4"/>
  <c r="H8" i="4" s="1"/>
  <c r="G7" i="4"/>
  <c r="D7" i="4"/>
  <c r="H7" i="4" s="1"/>
  <c r="G5" i="4"/>
  <c r="D5" i="4"/>
  <c r="H5" i="4" s="1"/>
  <c r="G4" i="4"/>
  <c r="D4" i="4"/>
  <c r="H4" i="4" s="1"/>
  <c r="G3" i="4"/>
  <c r="D3" i="4"/>
  <c r="G2" i="4"/>
  <c r="D2" i="4"/>
  <c r="H2" i="4" s="1"/>
  <c r="A7" i="3"/>
  <c r="B7" i="3" s="1"/>
  <c r="A6" i="3"/>
  <c r="A5" i="3"/>
  <c r="A4" i="3"/>
  <c r="B4" i="3" s="1"/>
  <c r="A3" i="3"/>
  <c r="B3" i="3" s="1"/>
  <c r="A2" i="3"/>
  <c r="B2" i="3" s="1"/>
  <c r="I31" i="2"/>
  <c r="I30" i="2"/>
  <c r="I32" i="2" s="1"/>
  <c r="I26" i="2"/>
  <c r="I25" i="2"/>
  <c r="I24" i="2"/>
  <c r="J17" i="2"/>
  <c r="C17" i="2"/>
  <c r="E17" i="2" s="1"/>
  <c r="J16" i="2"/>
  <c r="C16" i="2"/>
  <c r="E16" i="2" s="1"/>
  <c r="J15" i="2"/>
  <c r="C15" i="2"/>
  <c r="E15" i="2" s="1"/>
  <c r="C9" i="2"/>
  <c r="E8" i="2"/>
  <c r="G8" i="2" s="1"/>
  <c r="E7" i="2"/>
  <c r="E6" i="2"/>
  <c r="S6" i="2"/>
  <c r="S8" i="2" s="1"/>
  <c r="G24" i="1"/>
  <c r="G22" i="1"/>
  <c r="G21" i="1"/>
  <c r="H18" i="1"/>
  <c r="J18" i="1" s="1"/>
  <c r="D3" i="1"/>
  <c r="D7" i="7" l="1"/>
  <c r="H3" i="4"/>
  <c r="H12" i="4" s="1"/>
  <c r="I27" i="2"/>
  <c r="I34" i="2" s="1"/>
  <c r="E18" i="2"/>
  <c r="C6" i="3"/>
  <c r="K18" i="1"/>
  <c r="B6" i="3"/>
  <c r="G12" i="4"/>
  <c r="C3" i="3"/>
  <c r="C4" i="3"/>
  <c r="C2" i="3"/>
  <c r="C5" i="3"/>
  <c r="G7" i="2"/>
  <c r="K22" i="1"/>
  <c r="B5" i="3"/>
  <c r="G6" i="2"/>
  <c r="C9" i="3" l="1"/>
  <c r="G9" i="2"/>
  <c r="C38" i="2" s="1"/>
  <c r="F17" i="1" s="1"/>
  <c r="E4" i="3"/>
  <c r="F4" i="3"/>
  <c r="H4" i="3" s="1"/>
  <c r="D5" i="3"/>
  <c r="F5" i="3"/>
  <c r="D3" i="3"/>
  <c r="F3" i="3"/>
  <c r="F6" i="3"/>
  <c r="D6" i="3"/>
  <c r="D2" i="3"/>
  <c r="F2" i="3"/>
  <c r="D7" i="3"/>
  <c r="F7" i="3"/>
  <c r="E19" i="2"/>
  <c r="E20" i="2" s="1"/>
  <c r="F9" i="3" l="1"/>
  <c r="E2" i="3"/>
  <c r="E6" i="3"/>
  <c r="H7" i="3"/>
  <c r="H17" i="1"/>
  <c r="E3" i="3"/>
  <c r="H3" i="3"/>
  <c r="G9" i="3"/>
  <c r="H5" i="3"/>
  <c r="E5" i="3"/>
  <c r="E7" i="3"/>
  <c r="H6" i="3"/>
  <c r="H2" i="3" l="1"/>
  <c r="H13" i="1"/>
  <c r="F13" i="1"/>
  <c r="K17" i="1"/>
  <c r="K19" i="1" s="1"/>
  <c r="D3" i="6" s="1"/>
  <c r="J17" i="1"/>
  <c r="H19" i="1"/>
  <c r="F14" i="1"/>
  <c r="H14" i="1"/>
  <c r="H9" i="3" l="1"/>
  <c r="F15" i="1" s="1"/>
  <c r="F24" i="1"/>
  <c r="K13" i="1"/>
  <c r="J13" i="1"/>
  <c r="H15" i="1"/>
  <c r="H16" i="1" s="1"/>
  <c r="H20" i="1" s="1"/>
  <c r="K14" i="1"/>
  <c r="J14" i="1"/>
  <c r="K15" i="1" l="1"/>
  <c r="K16" i="1" s="1"/>
  <c r="J15" i="1"/>
  <c r="H24" i="1"/>
  <c r="J24" i="1" s="1"/>
  <c r="K20" i="1" l="1"/>
  <c r="D2" i="6"/>
  <c r="H25" i="1"/>
  <c r="K24" i="1"/>
  <c r="K25" i="1" s="1"/>
  <c r="D5" i="6" s="1"/>
  <c r="O38" i="2"/>
  <c r="O41" i="2" s="1"/>
  <c r="F21" i="1"/>
  <c r="K21" i="1" l="1"/>
  <c r="K23" i="1" s="1"/>
  <c r="K26" i="1" s="1"/>
  <c r="D4" i="6"/>
  <c r="D6" i="6" s="1"/>
  <c r="H23" i="1" l="1"/>
  <c r="H26" i="1" s="1"/>
  <c r="I26" i="1" s="1"/>
</calcChain>
</file>

<file path=xl/sharedStrings.xml><?xml version="1.0" encoding="utf-8"?>
<sst xmlns="http://schemas.openxmlformats.org/spreadsheetml/2006/main" count="207" uniqueCount="140">
  <si>
    <t xml:space="preserve">Customer </t>
  </si>
  <si>
    <t>AM/NS Pune</t>
  </si>
  <si>
    <t xml:space="preserve">Date </t>
  </si>
  <si>
    <t xml:space="preserve">Contract Year </t>
  </si>
  <si>
    <t>AMC Cost</t>
  </si>
  <si>
    <t>Hardware Transportation Cost</t>
  </si>
  <si>
    <t>Software Subscription cost per month Current</t>
  </si>
  <si>
    <t>ERP Integration</t>
  </si>
  <si>
    <t>Total Equipments</t>
  </si>
  <si>
    <t>Model</t>
  </si>
  <si>
    <t>Items</t>
  </si>
  <si>
    <t>Details</t>
  </si>
  <si>
    <t>Type</t>
  </si>
  <si>
    <t>Unit Cost</t>
  </si>
  <si>
    <t>Nos. of years</t>
  </si>
  <si>
    <t>Total Cost to Axestrack for 3 years</t>
  </si>
  <si>
    <t>Margin</t>
  </si>
  <si>
    <t>Unit Price with Margin</t>
  </si>
  <si>
    <t>Cost for 3 Years</t>
  </si>
  <si>
    <t>One Time Cost</t>
  </si>
  <si>
    <t>Hardware Cost</t>
  </si>
  <si>
    <t>One Time</t>
  </si>
  <si>
    <t>Spares</t>
  </si>
  <si>
    <t>Hardware Transportation cost</t>
  </si>
  <si>
    <t>Total Hardware Cost</t>
  </si>
  <si>
    <t>Installation, Training &amp; Configuration</t>
  </si>
  <si>
    <t>Total Installation, Setup &amp; API Development Cost</t>
  </si>
  <si>
    <t>Total One Time Cost</t>
  </si>
  <si>
    <t>Subscription Fee</t>
  </si>
  <si>
    <t>Project Management Cost</t>
  </si>
  <si>
    <t>Per Year</t>
  </si>
  <si>
    <t>Annual Subscription fee</t>
  </si>
  <si>
    <t>Platform Subscription Fee</t>
  </si>
  <si>
    <t>AMC</t>
  </si>
  <si>
    <t>AMC from 2nd Year onwards</t>
  </si>
  <si>
    <t>Implementation</t>
  </si>
  <si>
    <t>Hypercare 3 months</t>
  </si>
  <si>
    <t>Onsite Manpower</t>
  </si>
  <si>
    <t>M1 to M6</t>
  </si>
  <si>
    <t>M7 &amp; M9</t>
  </si>
  <si>
    <t>M7 to M48</t>
  </si>
  <si>
    <t>Installation, Training &amp; Configuration Cost for phase 1 (a)</t>
  </si>
  <si>
    <t>Hypercare (a) (M7 to M9)</t>
  </si>
  <si>
    <t>Onsite Manpower, Support &amp; Maintenance Cost (b) from M7 to M42</t>
  </si>
  <si>
    <t>Type of Manpower</t>
  </si>
  <si>
    <t>Count per shift</t>
  </si>
  <si>
    <t>Nos. of shifts</t>
  </si>
  <si>
    <t>Cost per Resource per month</t>
  </si>
  <si>
    <t>Duration in Months</t>
  </si>
  <si>
    <t>Total</t>
  </si>
  <si>
    <t>Sr. CS (Offshore)</t>
  </si>
  <si>
    <t>PM</t>
  </si>
  <si>
    <t>Hardware Engineers</t>
  </si>
  <si>
    <t>Support Engineers (CPL)</t>
  </si>
  <si>
    <t>Software Engineers</t>
  </si>
  <si>
    <t>Software Engineers (Offshore)</t>
  </si>
  <si>
    <t>Total (A)</t>
  </si>
  <si>
    <t>Current Equipments</t>
  </si>
  <si>
    <t>Count</t>
  </si>
  <si>
    <t>Productivity per resource</t>
  </si>
  <si>
    <t>Resources Required</t>
  </si>
  <si>
    <t>Planned Equipments</t>
  </si>
  <si>
    <t>Machines</t>
  </si>
  <si>
    <t>Gate Lanes</t>
  </si>
  <si>
    <t>Vehicles</t>
  </si>
  <si>
    <t>Onsite</t>
  </si>
  <si>
    <t>MIS</t>
  </si>
  <si>
    <t>Travel &amp; Lodging</t>
  </si>
  <si>
    <t>Onsite Manpower (b) (M7 to M9)</t>
  </si>
  <si>
    <t>Travel Allowance</t>
  </si>
  <si>
    <t>Travel Cost</t>
  </si>
  <si>
    <t>Stay Cost per Day</t>
  </si>
  <si>
    <t>Days per trip</t>
  </si>
  <si>
    <t>Frequency</t>
  </si>
  <si>
    <t xml:space="preserve">PM/Seniors </t>
  </si>
  <si>
    <t>PM/ Sr. CS (Onsite)</t>
  </si>
  <si>
    <t>Support Engineers (Onsite)</t>
  </si>
  <si>
    <t>MIS Support (Offshore)</t>
  </si>
  <si>
    <t>Total (B)</t>
  </si>
  <si>
    <t>Rent</t>
  </si>
  <si>
    <t>month</t>
  </si>
  <si>
    <t>Per month rent</t>
  </si>
  <si>
    <t>Kitchen</t>
  </si>
  <si>
    <t>Total (C)</t>
  </si>
  <si>
    <t>Total (B+C)</t>
  </si>
  <si>
    <t>Total Implementation Cost (M1 to M6)  (A+B+C)</t>
  </si>
  <si>
    <t>Live Project Management</t>
  </si>
  <si>
    <t>(Travel+Lodging for Support considered for 3 years)</t>
  </si>
  <si>
    <t>Hardware</t>
  </si>
  <si>
    <t>Price</t>
  </si>
  <si>
    <t>Hardware Count</t>
  </si>
  <si>
    <t>Spares (10%)</t>
  </si>
  <si>
    <t>Total Count</t>
  </si>
  <si>
    <t>Spare Cost</t>
  </si>
  <si>
    <t>Total Cost- One Plant</t>
  </si>
  <si>
    <t>Sr No</t>
  </si>
  <si>
    <t xml:space="preserve">Stage </t>
  </si>
  <si>
    <t>Unit Price</t>
  </si>
  <si>
    <t>Quantity per Check Point</t>
  </si>
  <si>
    <t>Checkpoints</t>
  </si>
  <si>
    <t>Remarks</t>
  </si>
  <si>
    <t>RFID Reader</t>
  </si>
  <si>
    <t>Handheld RFID Reader</t>
  </si>
  <si>
    <t>RFID tags</t>
  </si>
  <si>
    <t>4 Port POE</t>
  </si>
  <si>
    <t>Traffic Light</t>
  </si>
  <si>
    <t>Breath Analyzer</t>
  </si>
  <si>
    <t>ANPR Camera</t>
  </si>
  <si>
    <t>AT Controller</t>
  </si>
  <si>
    <t>Boom Barrier</t>
  </si>
  <si>
    <t>PA System 8 horn</t>
  </si>
  <si>
    <t>LED Display-XXL</t>
  </si>
  <si>
    <t>Tablet (Industrial Grade)</t>
  </si>
  <si>
    <t>Gate IN</t>
  </si>
  <si>
    <t xml:space="preserve">PA System </t>
  </si>
  <si>
    <t>Biometric</t>
  </si>
  <si>
    <t>Gate OUT</t>
  </si>
  <si>
    <t>AT Positioning Sensor</t>
  </si>
  <si>
    <t>LED Display-2 Line</t>
  </si>
  <si>
    <t>Smart Camera</t>
  </si>
  <si>
    <t>8 Port POE</t>
  </si>
  <si>
    <t>LED Display-1 Line</t>
  </si>
  <si>
    <t>POS Printer</t>
  </si>
  <si>
    <t>Desktop</t>
  </si>
  <si>
    <t>Kiosk Cabin</t>
  </si>
  <si>
    <t>Full Height Turnstile</t>
  </si>
  <si>
    <t>Laser Printer</t>
  </si>
  <si>
    <t>Implementation Cost (Implementation+Hypercare)</t>
  </si>
  <si>
    <t>Total Subscription &amp; PMO Cost for 3 Years</t>
  </si>
  <si>
    <t>Implementation Cost</t>
  </si>
  <si>
    <t>One time</t>
  </si>
  <si>
    <t>For 3 Years</t>
  </si>
  <si>
    <t>AMC for 2 years</t>
  </si>
  <si>
    <t>For 2 years</t>
  </si>
  <si>
    <t>Qty</t>
  </si>
  <si>
    <t>ERP  &amp; Weighbridge Integration</t>
  </si>
  <si>
    <t>API track n trace</t>
  </si>
  <si>
    <t>AT GPS</t>
  </si>
  <si>
    <t>Total Cost of the Project</t>
  </si>
  <si>
    <t>Project Management, Support &amp;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</si>
</sst>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14009]dd\ mmmm\ yyyy"/>
    <numFmt numFmtId="165" formatCode="_(* #,##0_);_(* \(#,##0\);_(* &quot;-&quot;??_);_(@_)"/>
    <numFmt numFmtId="166" formatCode="_(* #,##0.0_);_(* \(#,##0.0\);_(* &quot;-&quot;?_);_(@_)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14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6"/>
      <color theme="1"/>
      <name val="Calibri"/>
    </font>
    <font>
      <b/>
      <strike/>
      <sz val="16"/>
      <color theme="1"/>
      <name val="Calibri"/>
    </font>
    <font>
      <b/>
      <sz val="11"/>
      <color theme="1"/>
      <name val="Calibri"/>
    </font>
    <font>
      <b/>
      <sz val="13"/>
      <color theme="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2"/>
      <color rgb="FFFFFFFF"/>
      <name val="Calibri"/>
    </font>
    <font>
      <b/>
      <sz val="12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ECECEC"/>
        <bgColor rgb="FFECECEC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0000FF"/>
        <bgColor rgb="FF0000FF"/>
      </patternFill>
    </fill>
    <fill>
      <patternFill patternType="solid">
        <fgColor rgb="FFBDD6EE"/>
        <bgColor rgb="FFBDD6EE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6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9" fontId="5" fillId="0" borderId="7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7" fillId="0" borderId="0" xfId="0" applyFont="1"/>
    <xf numFmtId="3" fontId="5" fillId="3" borderId="6" xfId="0" applyNumberFormat="1" applyFont="1" applyFill="1" applyBorder="1" applyAlignment="1">
      <alignment horizontal="center"/>
    </xf>
    <xf numFmtId="165" fontId="5" fillId="0" borderId="9" xfId="0" applyNumberFormat="1" applyFont="1" applyBorder="1" applyAlignment="1">
      <alignment horizontal="center" vertical="center" wrapText="1" readingOrder="1"/>
    </xf>
    <xf numFmtId="3" fontId="5" fillId="0" borderId="12" xfId="0" applyNumberFormat="1" applyFont="1" applyBorder="1" applyAlignment="1">
      <alignment horizontal="center"/>
    </xf>
    <xf numFmtId="0" fontId="3" fillId="0" borderId="0" xfId="0" applyFont="1"/>
    <xf numFmtId="165" fontId="8" fillId="0" borderId="0" xfId="0" applyNumberFormat="1" applyFont="1" applyAlignment="1">
      <alignment horizontal="right"/>
    </xf>
    <xf numFmtId="1" fontId="5" fillId="4" borderId="9" xfId="0" applyNumberFormat="1" applyFont="1" applyFill="1" applyBorder="1" applyAlignment="1">
      <alignment horizontal="center" vertical="center" wrapText="1" readingOrder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 readingOrder="1"/>
    </xf>
    <xf numFmtId="0" fontId="8" fillId="4" borderId="19" xfId="0" applyFont="1" applyFill="1" applyBorder="1" applyAlignment="1">
      <alignment horizontal="center" vertical="center" wrapText="1" readingOrder="1"/>
    </xf>
    <xf numFmtId="0" fontId="8" fillId="4" borderId="12" xfId="0" applyFont="1" applyFill="1" applyBorder="1" applyAlignment="1">
      <alignment horizontal="center" vertical="center" wrapText="1" readingOrder="1"/>
    </xf>
    <xf numFmtId="0" fontId="8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1" fontId="6" fillId="6" borderId="23" xfId="0" applyNumberFormat="1" applyFont="1" applyFill="1" applyBorder="1" applyAlignment="1">
      <alignment vertical="center"/>
    </xf>
    <xf numFmtId="0" fontId="6" fillId="6" borderId="23" xfId="0" applyFont="1" applyFill="1" applyBorder="1" applyAlignment="1">
      <alignment vertical="center"/>
    </xf>
    <xf numFmtId="165" fontId="6" fillId="0" borderId="22" xfId="0" applyNumberFormat="1" applyFont="1" applyBorder="1" applyAlignment="1">
      <alignment horizontal="right" vertical="center" wrapText="1" readingOrder="1"/>
    </xf>
    <xf numFmtId="9" fontId="6" fillId="7" borderId="23" xfId="0" applyNumberFormat="1" applyFont="1" applyFill="1" applyBorder="1" applyAlignment="1">
      <alignment horizontal="center" vertical="center"/>
    </xf>
    <xf numFmtId="165" fontId="6" fillId="8" borderId="24" xfId="0" applyNumberFormat="1" applyFont="1" applyFill="1" applyBorder="1" applyAlignment="1">
      <alignment horizontal="right" vertical="center" wrapText="1" readingOrder="1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1" fontId="6" fillId="6" borderId="9" xfId="0" applyNumberFormat="1" applyFont="1" applyFill="1" applyBorder="1" applyAlignment="1">
      <alignment vertical="center"/>
    </xf>
    <xf numFmtId="165" fontId="6" fillId="0" borderId="9" xfId="0" applyNumberFormat="1" applyFont="1" applyBorder="1" applyAlignment="1">
      <alignment horizontal="right" vertical="center" wrapText="1" readingOrder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right" vertical="center" wrapText="1" readingOrder="1"/>
    </xf>
    <xf numFmtId="165" fontId="6" fillId="6" borderId="9" xfId="0" applyNumberFormat="1" applyFont="1" applyFill="1" applyBorder="1" applyAlignment="1">
      <alignment vertical="center"/>
    </xf>
    <xf numFmtId="9" fontId="6" fillId="7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vertical="center"/>
    </xf>
    <xf numFmtId="3" fontId="6" fillId="6" borderId="9" xfId="0" applyNumberFormat="1" applyFont="1" applyFill="1" applyBorder="1" applyAlignment="1">
      <alignment vertical="center"/>
    </xf>
    <xf numFmtId="165" fontId="8" fillId="2" borderId="9" xfId="0" applyNumberFormat="1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right" vertical="center"/>
    </xf>
    <xf numFmtId="165" fontId="8" fillId="10" borderId="9" xfId="0" applyNumberFormat="1" applyFont="1" applyFill="1" applyBorder="1" applyAlignment="1">
      <alignment horizontal="right" vertical="center" wrapText="1" readingOrder="1"/>
    </xf>
    <xf numFmtId="0" fontId="8" fillId="10" borderId="9" xfId="0" applyFont="1" applyFill="1" applyBorder="1" applyAlignment="1">
      <alignment horizontal="center" vertical="center"/>
    </xf>
    <xf numFmtId="165" fontId="8" fillId="10" borderId="9" xfId="0" applyNumberFormat="1" applyFont="1" applyFill="1" applyBorder="1" applyAlignment="1">
      <alignment horizontal="center" vertical="center"/>
    </xf>
    <xf numFmtId="165" fontId="2" fillId="0" borderId="0" xfId="0" applyNumberFormat="1" applyFont="1"/>
    <xf numFmtId="0" fontId="6" fillId="7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65" fontId="8" fillId="10" borderId="27" xfId="0" applyNumberFormat="1" applyFont="1" applyFill="1" applyBorder="1" applyAlignment="1">
      <alignment vertical="center"/>
    </xf>
    <xf numFmtId="0" fontId="8" fillId="10" borderId="28" xfId="0" applyFont="1" applyFill="1" applyBorder="1" applyAlignment="1">
      <alignment vertical="center"/>
    </xf>
    <xf numFmtId="0" fontId="3" fillId="11" borderId="30" xfId="0" applyFont="1" applyFill="1" applyBorder="1" applyAlignment="1">
      <alignment vertical="center"/>
    </xf>
    <xf numFmtId="0" fontId="3" fillId="11" borderId="31" xfId="0" applyFont="1" applyFill="1" applyBorder="1" applyAlignment="1">
      <alignment vertical="center"/>
    </xf>
    <xf numFmtId="0" fontId="3" fillId="11" borderId="32" xfId="0" applyFont="1" applyFill="1" applyBorder="1" applyAlignment="1">
      <alignment horizontal="right" vertical="center"/>
    </xf>
    <xf numFmtId="165" fontId="3" fillId="11" borderId="19" xfId="0" applyNumberFormat="1" applyFont="1" applyFill="1" applyBorder="1" applyAlignment="1">
      <alignment horizontal="right" vertical="center" wrapText="1" readingOrder="1"/>
    </xf>
    <xf numFmtId="10" fontId="5" fillId="6" borderId="19" xfId="0" applyNumberFormat="1" applyFont="1" applyFill="1" applyBorder="1" applyAlignment="1">
      <alignment horizontal="center" vertical="center"/>
    </xf>
    <xf numFmtId="165" fontId="5" fillId="6" borderId="33" xfId="0" applyNumberFormat="1" applyFont="1" applyFill="1" applyBorder="1" applyAlignment="1">
      <alignment horizontal="center" vertical="center"/>
    </xf>
    <xf numFmtId="43" fontId="2" fillId="0" borderId="0" xfId="0" applyNumberFormat="1" applyFont="1"/>
    <xf numFmtId="0" fontId="2" fillId="0" borderId="0" xfId="0" applyFont="1"/>
    <xf numFmtId="0" fontId="11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165" fontId="6" fillId="0" borderId="9" xfId="0" applyNumberFormat="1" applyFont="1" applyBorder="1" applyAlignment="1">
      <alignment horizontal="right" wrapText="1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8" fillId="14" borderId="9" xfId="0" applyFont="1" applyFill="1" applyBorder="1" applyAlignment="1">
      <alignment horizontal="center"/>
    </xf>
    <xf numFmtId="165" fontId="8" fillId="14" borderId="9" xfId="0" applyNumberFormat="1" applyFont="1" applyFill="1" applyBorder="1" applyAlignment="1">
      <alignment horizontal="right" wrapText="1"/>
    </xf>
    <xf numFmtId="0" fontId="2" fillId="13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2" fillId="0" borderId="25" xfId="0" applyFont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0" borderId="25" xfId="0" applyFont="1" applyBorder="1" applyAlignment="1">
      <alignment horizontal="right"/>
    </xf>
    <xf numFmtId="0" fontId="11" fillId="13" borderId="35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8" fillId="2" borderId="9" xfId="0" applyFont="1" applyFill="1" applyBorder="1" applyAlignment="1">
      <alignment wrapText="1"/>
    </xf>
    <xf numFmtId="0" fontId="8" fillId="2" borderId="0" xfId="0" applyFont="1" applyFill="1" applyAlignment="1">
      <alignment horizontal="center" wrapText="1"/>
    </xf>
    <xf numFmtId="165" fontId="6" fillId="0" borderId="9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right" wrapText="1"/>
    </xf>
    <xf numFmtId="165" fontId="6" fillId="0" borderId="9" xfId="0" applyNumberFormat="1" applyFont="1" applyBorder="1"/>
    <xf numFmtId="1" fontId="2" fillId="0" borderId="9" xfId="0" applyNumberFormat="1" applyFont="1" applyBorder="1"/>
    <xf numFmtId="1" fontId="2" fillId="0" borderId="0" xfId="0" applyNumberFormat="1" applyFont="1"/>
    <xf numFmtId="0" fontId="2" fillId="14" borderId="36" xfId="0" applyFont="1" applyFill="1" applyBorder="1"/>
    <xf numFmtId="165" fontId="2" fillId="14" borderId="36" xfId="0" applyNumberFormat="1" applyFont="1" applyFill="1" applyBorder="1"/>
    <xf numFmtId="165" fontId="8" fillId="14" borderId="0" xfId="0" applyNumberFormat="1" applyFont="1" applyFill="1" applyAlignment="1">
      <alignment horizontal="right" wrapText="1"/>
    </xf>
    <xf numFmtId="166" fontId="2" fillId="0" borderId="0" xfId="0" applyNumberFormat="1" applyFont="1"/>
    <xf numFmtId="0" fontId="8" fillId="14" borderId="9" xfId="0" applyFont="1" applyFill="1" applyBorder="1" applyAlignment="1">
      <alignment horizontal="center" vertical="center"/>
    </xf>
    <xf numFmtId="165" fontId="9" fillId="15" borderId="9" xfId="0" applyNumberFormat="1" applyFont="1" applyFill="1" applyBorder="1" applyAlignment="1">
      <alignment horizontal="right" vertical="center"/>
    </xf>
    <xf numFmtId="0" fontId="12" fillId="0" borderId="0" xfId="0" applyFont="1"/>
    <xf numFmtId="165" fontId="12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11" fillId="16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3" fillId="17" borderId="0" xfId="0" applyNumberFormat="1" applyFont="1" applyFill="1" applyAlignment="1">
      <alignment horizontal="center"/>
    </xf>
    <xf numFmtId="9" fontId="7" fillId="0" borderId="0" xfId="0" applyNumberFormat="1" applyFont="1"/>
    <xf numFmtId="1" fontId="8" fillId="0" borderId="0" xfId="0" applyNumberFormat="1" applyFont="1"/>
    <xf numFmtId="0" fontId="8" fillId="18" borderId="9" xfId="0" applyFont="1" applyFill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left" wrapText="1" readingOrder="1"/>
    </xf>
    <xf numFmtId="165" fontId="6" fillId="0" borderId="9" xfId="0" applyNumberFormat="1" applyFont="1" applyBorder="1" applyAlignment="1">
      <alignment horizontal="right" wrapText="1" readingOrder="1"/>
    </xf>
    <xf numFmtId="0" fontId="6" fillId="0" borderId="9" xfId="0" applyFont="1" applyBorder="1" applyAlignment="1">
      <alignment horizont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0" fontId="14" fillId="17" borderId="9" xfId="0" applyFont="1" applyFill="1" applyBorder="1" applyAlignment="1">
      <alignment horizontal="center"/>
    </xf>
    <xf numFmtId="165" fontId="14" fillId="17" borderId="9" xfId="0" applyNumberFormat="1" applyFont="1" applyFill="1" applyBorder="1" applyAlignment="1">
      <alignment horizontal="center"/>
    </xf>
    <xf numFmtId="0" fontId="15" fillId="17" borderId="9" xfId="0" applyFont="1" applyFill="1" applyBorder="1"/>
    <xf numFmtId="0" fontId="2" fillId="0" borderId="0" xfId="0" applyFont="1" applyAlignment="1">
      <alignment horizontal="left"/>
    </xf>
    <xf numFmtId="0" fontId="7" fillId="0" borderId="9" xfId="0" applyFont="1" applyBorder="1"/>
    <xf numFmtId="0" fontId="9" fillId="4" borderId="8" xfId="0" applyFont="1" applyFill="1" applyBorder="1" applyAlignment="1">
      <alignment horizontal="center" wrapText="1"/>
    </xf>
    <xf numFmtId="0" fontId="8" fillId="12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 wrapText="1"/>
    </xf>
    <xf numFmtId="0" fontId="6" fillId="8" borderId="24" xfId="0" applyFont="1" applyFill="1" applyBorder="1" applyAlignment="1">
      <alignment horizontal="right" vertical="center" wrapText="1" readingOrder="1"/>
    </xf>
    <xf numFmtId="0" fontId="6" fillId="0" borderId="37" xfId="0" applyFont="1" applyBorder="1" applyAlignment="1">
      <alignment horizontal="center" vertical="center" wrapText="1"/>
    </xf>
    <xf numFmtId="165" fontId="0" fillId="0" borderId="37" xfId="0" applyNumberFormat="1" applyBorder="1"/>
    <xf numFmtId="165" fontId="6" fillId="0" borderId="37" xfId="0" applyNumberFormat="1" applyFont="1" applyBorder="1" applyAlignment="1">
      <alignment horizontal="right" vertical="center" wrapText="1" readingOrder="1"/>
    </xf>
    <xf numFmtId="0" fontId="16" fillId="19" borderId="37" xfId="0" applyFont="1" applyFill="1" applyBorder="1" applyAlignment="1">
      <alignment horizontal="center" vertical="center" wrapText="1"/>
    </xf>
    <xf numFmtId="0" fontId="1" fillId="0" borderId="0" xfId="0" applyFont="1"/>
    <xf numFmtId="165" fontId="0" fillId="0" borderId="0" xfId="0" applyNumberFormat="1"/>
    <xf numFmtId="0" fontId="6" fillId="0" borderId="36" xfId="0" applyFont="1" applyBorder="1" applyAlignment="1">
      <alignment horizontal="center" vertical="center" wrapText="1" readingOrder="1"/>
    </xf>
    <xf numFmtId="0" fontId="4" fillId="0" borderId="5" xfId="0" applyFont="1" applyBorder="1"/>
    <xf numFmtId="0" fontId="4" fillId="0" borderId="34" xfId="0" applyFont="1" applyBorder="1"/>
    <xf numFmtId="0" fontId="6" fillId="0" borderId="35" xfId="0" applyFont="1" applyBorder="1" applyAlignment="1">
      <alignment horizontal="center" wrapText="1" readingOrder="1"/>
    </xf>
    <xf numFmtId="0" fontId="8" fillId="0" borderId="29" xfId="0" applyFont="1" applyBorder="1" applyAlignment="1">
      <alignment horizontal="center" vertical="center" wrapText="1"/>
    </xf>
    <xf numFmtId="0" fontId="4" fillId="0" borderId="20" xfId="0" applyFont="1" applyBorder="1"/>
    <xf numFmtId="0" fontId="4" fillId="0" borderId="26" xfId="0" applyFont="1" applyBorder="1"/>
    <xf numFmtId="0" fontId="8" fillId="0" borderId="29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/>
    </xf>
    <xf numFmtId="0" fontId="4" fillId="0" borderId="5" xfId="0" applyFont="1" applyBorder="1"/>
    <xf numFmtId="0" fontId="9" fillId="4" borderId="1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3" fillId="2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4" fillId="0" borderId="11" xfId="0" applyFont="1" applyBorder="1"/>
    <xf numFmtId="0" fontId="8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6" fillId="0" borderId="2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 readingOrder="1"/>
    </xf>
    <xf numFmtId="0" fontId="6" fillId="0" borderId="21" xfId="0" applyFont="1" applyBorder="1" applyAlignment="1">
      <alignment horizontal="center" vertical="center" wrapText="1" readingOrder="1"/>
    </xf>
    <xf numFmtId="0" fontId="6" fillId="0" borderId="23" xfId="0" applyFont="1" applyBorder="1" applyAlignment="1">
      <alignment horizontal="center" vertical="center" wrapText="1" readingOrder="1"/>
    </xf>
    <xf numFmtId="0" fontId="14" fillId="17" borderId="28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8" fillId="12" borderId="8" xfId="0" applyFont="1" applyFill="1" applyBorder="1" applyAlignment="1">
      <alignment horizontal="center"/>
    </xf>
    <xf numFmtId="0" fontId="4" fillId="0" borderId="34" xfId="0" applyFont="1" applyBorder="1"/>
    <xf numFmtId="0" fontId="9" fillId="4" borderId="8" xfId="0" applyFont="1" applyFill="1" applyBorder="1" applyAlignment="1">
      <alignment horizontal="center" wrapText="1"/>
    </xf>
    <xf numFmtId="0" fontId="13" fillId="17" borderId="0" xfId="0" applyFont="1" applyFill="1" applyAlignment="1">
      <alignment horizontal="center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</sheetPr>
  <dimension ref="B1:P1000"/>
  <sheetViews>
    <sheetView topLeftCell="A4" zoomScale="70" zoomScaleNormal="70" workbookViewId="0">
      <selection activeCell="D21" sqref="D21"/>
    </sheetView>
  </sheetViews>
  <sheetFormatPr defaultColWidth="14.453125" defaultRowHeight="15" customHeight="1"/>
  <cols>
    <col min="1" max="1" width="3.453125" customWidth="1"/>
    <col min="2" max="2" width="15.453125" customWidth="1"/>
    <col min="3" max="3" width="43.7265625" customWidth="1"/>
    <col min="4" max="4" width="62.26953125" customWidth="1"/>
    <col min="5" max="5" width="13.26953125" customWidth="1"/>
    <col min="6" max="6" width="14" customWidth="1"/>
    <col min="7" max="7" width="7.7265625" customWidth="1"/>
    <col min="8" max="8" width="18.7265625" customWidth="1"/>
    <col min="9" max="9" width="10.7265625" customWidth="1"/>
    <col min="10" max="10" width="15.7265625" customWidth="1"/>
    <col min="11" max="11" width="21.7265625" customWidth="1"/>
    <col min="12" max="12" width="16.26953125" customWidth="1"/>
    <col min="13" max="13" width="9.7265625" customWidth="1"/>
    <col min="14" max="14" width="12.453125" customWidth="1"/>
    <col min="15" max="15" width="8.81640625" customWidth="1"/>
    <col min="16" max="16" width="18.08984375" customWidth="1"/>
    <col min="17" max="26" width="8.7265625" customWidth="1"/>
  </cols>
  <sheetData>
    <row r="1" spans="2:16" ht="14.25" customHeight="1">
      <c r="O1" s="1"/>
    </row>
    <row r="2" spans="2:16" ht="14.25" customHeight="1">
      <c r="B2" s="143" t="s">
        <v>0</v>
      </c>
      <c r="C2" s="144"/>
      <c r="D2" s="2" t="s">
        <v>1</v>
      </c>
      <c r="E2" s="3"/>
      <c r="I2" s="4"/>
      <c r="O2" s="1"/>
    </row>
    <row r="3" spans="2:16" ht="14.25" customHeight="1">
      <c r="B3" s="145" t="s">
        <v>2</v>
      </c>
      <c r="C3" s="139"/>
      <c r="D3" s="5">
        <f ca="1">TODAY()</f>
        <v>45936</v>
      </c>
      <c r="I3" s="4"/>
      <c r="O3" s="1"/>
    </row>
    <row r="4" spans="2:16" ht="14.25" customHeight="1">
      <c r="B4" s="145" t="s">
        <v>3</v>
      </c>
      <c r="C4" s="139"/>
      <c r="D4" s="6">
        <v>3</v>
      </c>
      <c r="E4" s="3"/>
      <c r="O4" s="1"/>
    </row>
    <row r="5" spans="2:16" ht="14.25" customHeight="1">
      <c r="B5" s="145" t="s">
        <v>4</v>
      </c>
      <c r="C5" s="139"/>
      <c r="D5" s="7">
        <v>0.23</v>
      </c>
      <c r="E5" s="3"/>
      <c r="O5" s="1"/>
    </row>
    <row r="6" spans="2:16" ht="14.25" customHeight="1">
      <c r="B6" s="145" t="s">
        <v>5</v>
      </c>
      <c r="C6" s="139"/>
      <c r="D6" s="8">
        <v>0.05</v>
      </c>
      <c r="E6" s="3"/>
      <c r="O6" s="1"/>
    </row>
    <row r="7" spans="2:16" ht="14.25" customHeight="1">
      <c r="B7" s="145" t="s">
        <v>6</v>
      </c>
      <c r="C7" s="139"/>
      <c r="D7" s="9">
        <v>80000</v>
      </c>
      <c r="E7" s="3"/>
      <c r="O7" s="10"/>
      <c r="P7" s="11"/>
    </row>
    <row r="8" spans="2:16" ht="14.25" customHeight="1">
      <c r="B8" s="146"/>
      <c r="C8" s="139"/>
      <c r="D8" s="12"/>
      <c r="E8" s="3"/>
      <c r="I8" s="138"/>
      <c r="J8" s="139"/>
      <c r="K8" s="13"/>
      <c r="O8" s="10"/>
      <c r="P8" s="11"/>
    </row>
    <row r="9" spans="2:16" ht="14.25" customHeight="1">
      <c r="B9" s="147" t="s">
        <v>7</v>
      </c>
      <c r="C9" s="148"/>
      <c r="D9" s="14">
        <v>200000</v>
      </c>
      <c r="E9" s="3"/>
      <c r="F9" s="15"/>
      <c r="G9" s="16"/>
      <c r="H9" s="16"/>
      <c r="I9" s="138"/>
      <c r="J9" s="139"/>
      <c r="K9" s="17"/>
      <c r="O9" s="1"/>
      <c r="P9" s="11"/>
    </row>
    <row r="10" spans="2:16" ht="14.25" customHeight="1">
      <c r="O10" s="1"/>
      <c r="P10" s="11"/>
    </row>
    <row r="11" spans="2:16" ht="43.5" customHeight="1">
      <c r="B11" s="4"/>
      <c r="C11" s="4"/>
      <c r="D11" s="4"/>
      <c r="E11" s="4"/>
      <c r="F11" s="140" t="s">
        <v>8</v>
      </c>
      <c r="G11" s="141"/>
      <c r="H11" s="141"/>
      <c r="I11" s="141"/>
      <c r="J11" s="141"/>
      <c r="K11" s="142"/>
      <c r="O11" s="1"/>
    </row>
    <row r="12" spans="2:16" ht="49.5" customHeight="1">
      <c r="B12" s="18" t="s">
        <v>9</v>
      </c>
      <c r="C12" s="19" t="s">
        <v>10</v>
      </c>
      <c r="D12" s="19" t="s">
        <v>11</v>
      </c>
      <c r="E12" s="20" t="s">
        <v>12</v>
      </c>
      <c r="F12" s="21" t="s">
        <v>13</v>
      </c>
      <c r="G12" s="22" t="s">
        <v>14</v>
      </c>
      <c r="H12" s="22" t="s">
        <v>15</v>
      </c>
      <c r="I12" s="22" t="s">
        <v>16</v>
      </c>
      <c r="J12" s="22" t="s">
        <v>17</v>
      </c>
      <c r="K12" s="23" t="s">
        <v>18</v>
      </c>
      <c r="O12" s="1"/>
    </row>
    <row r="13" spans="2:16" ht="18" customHeight="1">
      <c r="B13" s="149" t="s">
        <v>19</v>
      </c>
      <c r="C13" s="150" t="s">
        <v>20</v>
      </c>
      <c r="D13" s="24" t="s">
        <v>20</v>
      </c>
      <c r="E13" s="25" t="s">
        <v>21</v>
      </c>
      <c r="F13" s="26">
        <f ca="1">'Hardware List'!F9</f>
        <v>479200</v>
      </c>
      <c r="G13" s="27"/>
      <c r="H13" s="28">
        <f ca="1">'Hardware List'!F9</f>
        <v>479200</v>
      </c>
      <c r="I13" s="29">
        <v>0.3</v>
      </c>
      <c r="J13" s="30">
        <f t="shared" ref="J13:J15" ca="1" si="0">H13/(1-I13)</f>
        <v>684571.42857142864</v>
      </c>
      <c r="K13" s="28">
        <f t="shared" ref="K13:K15" ca="1" si="1">H13/(1-I13)</f>
        <v>684571.42857142864</v>
      </c>
      <c r="O13" s="1"/>
    </row>
    <row r="14" spans="2:16" ht="18" customHeight="1">
      <c r="B14" s="135"/>
      <c r="C14" s="151"/>
      <c r="D14" s="31" t="s">
        <v>22</v>
      </c>
      <c r="E14" s="32" t="s">
        <v>21</v>
      </c>
      <c r="F14" s="33">
        <f>'Hardware List'!G9</f>
        <v>0</v>
      </c>
      <c r="G14" s="27"/>
      <c r="H14" s="34">
        <f>'Hardware List'!G9</f>
        <v>0</v>
      </c>
      <c r="I14" s="29">
        <v>0.3</v>
      </c>
      <c r="J14" s="30">
        <f t="shared" si="0"/>
        <v>0</v>
      </c>
      <c r="K14" s="34">
        <f t="shared" si="1"/>
        <v>0</v>
      </c>
      <c r="O14" s="1"/>
    </row>
    <row r="15" spans="2:16" ht="18" customHeight="1">
      <c r="B15" s="135"/>
      <c r="C15" s="151"/>
      <c r="D15" s="35" t="s">
        <v>23</v>
      </c>
      <c r="E15" s="36" t="s">
        <v>21</v>
      </c>
      <c r="F15" s="37">
        <f ca="1">'Hardware List'!H9*D6</f>
        <v>23960.050000000003</v>
      </c>
      <c r="G15" s="37"/>
      <c r="H15" s="34">
        <f ca="1">(SUM(H13:H14)*$D$6)</f>
        <v>23960</v>
      </c>
      <c r="I15" s="29">
        <v>0.3</v>
      </c>
      <c r="J15" s="30">
        <f t="shared" ca="1" si="0"/>
        <v>34228.571428571428</v>
      </c>
      <c r="K15" s="34">
        <f t="shared" ca="1" si="1"/>
        <v>34228.571428571428</v>
      </c>
      <c r="O15" s="1"/>
    </row>
    <row r="16" spans="2:16" ht="18" customHeight="1">
      <c r="B16" s="135"/>
      <c r="C16" s="152"/>
      <c r="D16" s="38" t="s">
        <v>24</v>
      </c>
      <c r="E16" s="39"/>
      <c r="F16" s="38"/>
      <c r="G16" s="38"/>
      <c r="H16" s="40">
        <f ca="1">SUM(H13:H15)</f>
        <v>503160</v>
      </c>
      <c r="I16" s="39"/>
      <c r="J16" s="39"/>
      <c r="K16" s="40">
        <f ca="1">SUM(K13:K15)</f>
        <v>718800.00000000012</v>
      </c>
      <c r="O16" s="1"/>
    </row>
    <row r="17" spans="2:16" ht="18" customHeight="1">
      <c r="B17" s="135"/>
      <c r="C17" s="153" t="s">
        <v>127</v>
      </c>
      <c r="D17" s="35" t="s">
        <v>25</v>
      </c>
      <c r="E17" s="36" t="s">
        <v>21</v>
      </c>
      <c r="F17" s="41">
        <f>'Manpower Cost New'!C38</f>
        <v>205500</v>
      </c>
      <c r="G17" s="37"/>
      <c r="H17" s="34">
        <f t="shared" ref="H17:H18" si="2">F17</f>
        <v>205500</v>
      </c>
      <c r="I17" s="42">
        <v>0.3</v>
      </c>
      <c r="J17" s="30">
        <f t="shared" ref="J17:J18" si="3">H17/(1-I17)</f>
        <v>293571.42857142858</v>
      </c>
      <c r="K17" s="34">
        <f t="shared" ref="K17:K18" si="4">H17/(1-I17)</f>
        <v>293571.42857142858</v>
      </c>
      <c r="O17" s="1"/>
    </row>
    <row r="18" spans="2:16" ht="18" customHeight="1">
      <c r="B18" s="135"/>
      <c r="C18" s="151"/>
      <c r="D18" s="43" t="s">
        <v>135</v>
      </c>
      <c r="E18" s="32" t="s">
        <v>21</v>
      </c>
      <c r="F18" s="44">
        <f>D9</f>
        <v>200000</v>
      </c>
      <c r="G18" s="37"/>
      <c r="H18" s="34">
        <f t="shared" si="2"/>
        <v>200000</v>
      </c>
      <c r="I18" s="42">
        <v>0</v>
      </c>
      <c r="J18" s="30">
        <f t="shared" si="3"/>
        <v>200000</v>
      </c>
      <c r="K18" s="34">
        <f t="shared" si="4"/>
        <v>200000</v>
      </c>
      <c r="O18" s="1"/>
    </row>
    <row r="19" spans="2:16" ht="18" customHeight="1">
      <c r="B19" s="135"/>
      <c r="C19" s="152"/>
      <c r="D19" s="38" t="s">
        <v>26</v>
      </c>
      <c r="E19" s="39"/>
      <c r="F19" s="38"/>
      <c r="G19" s="38"/>
      <c r="H19" s="40">
        <f>SUM(H17:H18)</f>
        <v>405500</v>
      </c>
      <c r="I19" s="39"/>
      <c r="J19" s="45"/>
      <c r="K19" s="40">
        <f>SUM(K17:K18)</f>
        <v>493571.42857142858</v>
      </c>
      <c r="O19" s="1"/>
    </row>
    <row r="20" spans="2:16" ht="18" customHeight="1">
      <c r="B20" s="136"/>
      <c r="D20" s="46"/>
      <c r="E20" s="47"/>
      <c r="F20" s="46"/>
      <c r="G20" s="48" t="s">
        <v>27</v>
      </c>
      <c r="H20" s="49">
        <f ca="1">H16+H19</f>
        <v>908660</v>
      </c>
      <c r="I20" s="50"/>
      <c r="J20" s="51"/>
      <c r="K20" s="49">
        <f ca="1">K16+K19</f>
        <v>1212371.4285714286</v>
      </c>
      <c r="N20" s="11"/>
      <c r="O20" s="1"/>
      <c r="P20" s="52"/>
    </row>
    <row r="21" spans="2:16" ht="18" customHeight="1">
      <c r="B21" s="134" t="s">
        <v>28</v>
      </c>
      <c r="C21" s="36" t="s">
        <v>29</v>
      </c>
      <c r="D21" s="43" t="s">
        <v>139</v>
      </c>
      <c r="E21" s="32" t="s">
        <v>30</v>
      </c>
      <c r="F21" s="34">
        <f>'Manpower Cost New'!S8+('Manpower Cost New'!U26*3)</f>
        <v>126000</v>
      </c>
      <c r="G21" s="53">
        <f t="shared" ref="G21:G22" si="5">$D$4</f>
        <v>3</v>
      </c>
      <c r="H21" s="34">
        <f>F21*G21</f>
        <v>378000</v>
      </c>
      <c r="I21" s="42">
        <v>0.3</v>
      </c>
      <c r="J21" s="30">
        <f>H21/(1-I21)</f>
        <v>540000</v>
      </c>
      <c r="K21" s="34">
        <f t="shared" ref="K21:K22" si="6">H21/(1-I21)</f>
        <v>540000</v>
      </c>
      <c r="L21" s="52"/>
      <c r="N21" s="11"/>
      <c r="O21" s="1"/>
      <c r="P21" s="52"/>
    </row>
    <row r="22" spans="2:16" ht="18" customHeight="1">
      <c r="B22" s="135"/>
      <c r="C22" s="36" t="s">
        <v>31</v>
      </c>
      <c r="D22" s="54" t="s">
        <v>32</v>
      </c>
      <c r="E22" s="32" t="s">
        <v>30</v>
      </c>
      <c r="F22" s="34">
        <f>D7*12</f>
        <v>960000</v>
      </c>
      <c r="G22" s="53">
        <f t="shared" si="5"/>
        <v>3</v>
      </c>
      <c r="H22" s="34">
        <f>F22*G22</f>
        <v>2880000</v>
      </c>
      <c r="I22" s="42"/>
      <c r="J22" s="123">
        <v>0</v>
      </c>
      <c r="K22" s="34">
        <f t="shared" si="6"/>
        <v>2880000</v>
      </c>
      <c r="N22" s="11"/>
      <c r="O22" s="1"/>
      <c r="P22" s="52"/>
    </row>
    <row r="23" spans="2:16" ht="18" customHeight="1">
      <c r="B23" s="136"/>
      <c r="D23" s="46"/>
      <c r="E23" s="47"/>
      <c r="F23" s="55"/>
      <c r="G23" s="48" t="s">
        <v>128</v>
      </c>
      <c r="H23" s="49">
        <f>SUM(H21:H22)</f>
        <v>3258000</v>
      </c>
      <c r="I23" s="50"/>
      <c r="J23" s="51"/>
      <c r="K23" s="34">
        <f>SUM(K21:K22)</f>
        <v>3420000</v>
      </c>
      <c r="L23" s="52"/>
      <c r="O23" s="1"/>
    </row>
    <row r="24" spans="2:16" ht="18" customHeight="1">
      <c r="B24" s="137" t="s">
        <v>33</v>
      </c>
      <c r="C24" s="36" t="s">
        <v>33</v>
      </c>
      <c r="D24" s="54" t="s">
        <v>34</v>
      </c>
      <c r="E24" s="32" t="s">
        <v>30</v>
      </c>
      <c r="F24" s="34">
        <f ca="1">SUM(H13:H14)*$D$5</f>
        <v>110216</v>
      </c>
      <c r="G24" s="53">
        <f>G21-1</f>
        <v>2</v>
      </c>
      <c r="H24" s="34">
        <f ca="1">F24*G24</f>
        <v>220432</v>
      </c>
      <c r="I24" s="42">
        <v>0.3</v>
      </c>
      <c r="J24" s="30">
        <f t="shared" ref="J24" ca="1" si="7">H24/(1-I24)</f>
        <v>314902.85714285716</v>
      </c>
      <c r="K24" s="34">
        <f ca="1">H24/(1-I24)</f>
        <v>314902.85714285716</v>
      </c>
      <c r="N24" s="11"/>
      <c r="O24" s="1"/>
      <c r="P24" s="52"/>
    </row>
    <row r="25" spans="2:16" ht="18" customHeight="1">
      <c r="B25" s="136"/>
      <c r="C25" s="56" t="s">
        <v>132</v>
      </c>
      <c r="D25" s="46"/>
      <c r="E25" s="46"/>
      <c r="F25" s="46"/>
      <c r="G25" s="48" t="s">
        <v>132</v>
      </c>
      <c r="H25" s="49">
        <f ca="1">SUM(H24)</f>
        <v>220432</v>
      </c>
      <c r="I25" s="50"/>
      <c r="J25" s="51"/>
      <c r="K25" s="49">
        <f ca="1">SUM(K24)</f>
        <v>314902.85714285716</v>
      </c>
      <c r="O25" s="1"/>
      <c r="P25" s="52"/>
    </row>
    <row r="26" spans="2:16" ht="38.25" customHeight="1">
      <c r="B26" s="57"/>
      <c r="C26" s="58"/>
      <c r="D26" s="58"/>
      <c r="E26" s="58"/>
      <c r="F26" s="58"/>
      <c r="G26" s="59" t="s">
        <v>138</v>
      </c>
      <c r="H26" s="60">
        <f ca="1">H20+H25+H23</f>
        <v>4387092</v>
      </c>
      <c r="I26" s="61">
        <f ca="1">1-H26/K26</f>
        <v>0.1132304888232829</v>
      </c>
      <c r="J26" s="62"/>
      <c r="K26" s="60">
        <f ca="1">SUM(K20+K23+K25)</f>
        <v>4947274.2857142864</v>
      </c>
      <c r="O26" s="1"/>
    </row>
    <row r="27" spans="2:16" ht="14.25" customHeight="1">
      <c r="D27" t="s">
        <v>136</v>
      </c>
      <c r="E27">
        <v>135</v>
      </c>
      <c r="H27" s="52"/>
      <c r="O27" s="1"/>
    </row>
    <row r="28" spans="2:16" ht="14.25" customHeight="1">
      <c r="D28" t="s">
        <v>137</v>
      </c>
      <c r="E28">
        <v>235</v>
      </c>
      <c r="L28" s="11"/>
      <c r="O28" s="1"/>
    </row>
    <row r="29" spans="2:16" ht="14.25" customHeight="1">
      <c r="D29" s="52"/>
      <c r="L29" s="63"/>
      <c r="M29" s="63"/>
      <c r="O29" s="1"/>
    </row>
    <row r="30" spans="2:16" ht="14.25" customHeight="1">
      <c r="L30" s="63"/>
      <c r="M30" s="63"/>
      <c r="O30" s="1"/>
    </row>
    <row r="31" spans="2:16" ht="14.25" customHeight="1">
      <c r="O31" s="1"/>
    </row>
    <row r="32" spans="2:16" ht="14.25" customHeight="1">
      <c r="H32" s="52"/>
      <c r="O32" s="1"/>
    </row>
    <row r="33" spans="15:15" ht="14.25" customHeight="1">
      <c r="O33" s="1"/>
    </row>
    <row r="34" spans="15:15" ht="14.25" customHeight="1">
      <c r="O34" s="1"/>
    </row>
    <row r="35" spans="15:15" ht="14.25" customHeight="1">
      <c r="O35" s="1"/>
    </row>
    <row r="36" spans="15:15" ht="14.25" customHeight="1">
      <c r="O36" s="1"/>
    </row>
    <row r="37" spans="15:15" ht="14.25" customHeight="1">
      <c r="O37" s="1"/>
    </row>
    <row r="38" spans="15:15" ht="14.25" customHeight="1">
      <c r="O38" s="1"/>
    </row>
    <row r="39" spans="15:15" ht="14.25" customHeight="1">
      <c r="O39" s="1"/>
    </row>
    <row r="40" spans="15:15" ht="14.25" customHeight="1">
      <c r="O40" s="1"/>
    </row>
    <row r="41" spans="15:15" ht="14.25" customHeight="1">
      <c r="O41" s="1"/>
    </row>
    <row r="42" spans="15:15" ht="14.25" customHeight="1">
      <c r="O42" s="1"/>
    </row>
    <row r="43" spans="15:15" ht="14.25" customHeight="1">
      <c r="O43" s="1"/>
    </row>
    <row r="44" spans="15:15" ht="14.25" customHeight="1">
      <c r="O44" s="1"/>
    </row>
    <row r="45" spans="15:15" ht="14.25" customHeight="1">
      <c r="O45" s="1"/>
    </row>
    <row r="46" spans="15:15" ht="14.25" customHeight="1">
      <c r="O46" s="1"/>
    </row>
    <row r="47" spans="15:15" ht="14.25" customHeight="1">
      <c r="O47" s="1"/>
    </row>
    <row r="48" spans="15:15" ht="14.25" customHeight="1">
      <c r="O48" s="1"/>
    </row>
    <row r="49" spans="15:15" ht="14.25" customHeight="1">
      <c r="O49" s="1"/>
    </row>
    <row r="50" spans="15:15" ht="14.25" customHeight="1">
      <c r="O50" s="1"/>
    </row>
    <row r="51" spans="15:15" ht="14.25" customHeight="1">
      <c r="O51" s="1"/>
    </row>
    <row r="52" spans="15:15" ht="14.25" customHeight="1">
      <c r="O52" s="1"/>
    </row>
    <row r="53" spans="15:15" ht="14.25" customHeight="1">
      <c r="O53" s="1"/>
    </row>
    <row r="54" spans="15:15" ht="14.25" customHeight="1">
      <c r="O54" s="1"/>
    </row>
    <row r="55" spans="15:15" ht="14.25" customHeight="1">
      <c r="O55" s="1"/>
    </row>
    <row r="56" spans="15:15" ht="14.25" customHeight="1">
      <c r="O56" s="1"/>
    </row>
    <row r="57" spans="15:15" ht="14.25" customHeight="1">
      <c r="O57" s="1"/>
    </row>
    <row r="58" spans="15:15" ht="14.25" customHeight="1">
      <c r="O58" s="1"/>
    </row>
    <row r="59" spans="15:15" ht="14.25" customHeight="1">
      <c r="O59" s="1"/>
    </row>
    <row r="60" spans="15:15" ht="14.25" customHeight="1">
      <c r="O60" s="1"/>
    </row>
    <row r="61" spans="15:15" ht="14.25" customHeight="1">
      <c r="O61" s="1"/>
    </row>
    <row r="62" spans="15:15" ht="14.25" customHeight="1">
      <c r="O62" s="1"/>
    </row>
    <row r="63" spans="15:15" ht="14.25" customHeight="1">
      <c r="O63" s="1"/>
    </row>
    <row r="64" spans="15:15" ht="14.25" customHeight="1">
      <c r="O64" s="1"/>
    </row>
    <row r="65" spans="15:15" ht="14.25" customHeight="1">
      <c r="O65" s="1"/>
    </row>
    <row r="66" spans="15:15" ht="14.25" customHeight="1">
      <c r="O66" s="1"/>
    </row>
    <row r="67" spans="15:15" ht="14.25" customHeight="1">
      <c r="O67" s="1"/>
    </row>
    <row r="68" spans="15:15" ht="14.25" customHeight="1">
      <c r="O68" s="1"/>
    </row>
    <row r="69" spans="15:15" ht="14.25" customHeight="1">
      <c r="O69" s="1"/>
    </row>
    <row r="70" spans="15:15" ht="14.25" customHeight="1">
      <c r="O70" s="1"/>
    </row>
    <row r="71" spans="15:15" ht="14.25" customHeight="1">
      <c r="O71" s="1"/>
    </row>
    <row r="72" spans="15:15" ht="14.25" customHeight="1">
      <c r="O72" s="1"/>
    </row>
    <row r="73" spans="15:15" ht="14.25" customHeight="1">
      <c r="O73" s="1"/>
    </row>
    <row r="74" spans="15:15" ht="14.25" customHeight="1">
      <c r="O74" s="1"/>
    </row>
    <row r="75" spans="15:15" ht="14.25" customHeight="1">
      <c r="O75" s="1"/>
    </row>
    <row r="76" spans="15:15" ht="14.25" customHeight="1">
      <c r="O76" s="1"/>
    </row>
    <row r="77" spans="15:15" ht="14.25" customHeight="1">
      <c r="O77" s="1"/>
    </row>
    <row r="78" spans="15:15" ht="14.25" customHeight="1">
      <c r="O78" s="1"/>
    </row>
    <row r="79" spans="15:15" ht="14.25" customHeight="1">
      <c r="O79" s="1"/>
    </row>
    <row r="80" spans="15:15" ht="14.25" customHeight="1">
      <c r="O80" s="1"/>
    </row>
    <row r="81" spans="15:15" ht="14.25" customHeight="1">
      <c r="O81" s="1"/>
    </row>
    <row r="82" spans="15:15" ht="14.25" customHeight="1">
      <c r="O82" s="1"/>
    </row>
    <row r="83" spans="15:15" ht="14.25" customHeight="1">
      <c r="O83" s="1"/>
    </row>
    <row r="84" spans="15:15" ht="14.25" customHeight="1">
      <c r="O84" s="1"/>
    </row>
    <row r="85" spans="15:15" ht="14.25" customHeight="1">
      <c r="O85" s="1"/>
    </row>
    <row r="86" spans="15:15" ht="14.25" customHeight="1">
      <c r="O86" s="1"/>
    </row>
    <row r="87" spans="15:15" ht="14.25" customHeight="1">
      <c r="O87" s="1"/>
    </row>
    <row r="88" spans="15:15" ht="14.25" customHeight="1">
      <c r="O88" s="1"/>
    </row>
    <row r="89" spans="15:15" ht="14.25" customHeight="1">
      <c r="O89" s="1"/>
    </row>
    <row r="90" spans="15:15" ht="14.25" customHeight="1">
      <c r="O90" s="1"/>
    </row>
    <row r="91" spans="15:15" ht="14.25" customHeight="1">
      <c r="O91" s="1"/>
    </row>
    <row r="92" spans="15:15" ht="14.25" customHeight="1">
      <c r="O92" s="1"/>
    </row>
    <row r="93" spans="15:15" ht="14.25" customHeight="1">
      <c r="O93" s="1"/>
    </row>
    <row r="94" spans="15:15" ht="14.25" customHeight="1">
      <c r="O94" s="1"/>
    </row>
    <row r="95" spans="15:15" ht="14.25" customHeight="1">
      <c r="O95" s="1"/>
    </row>
    <row r="96" spans="15:15" ht="14.25" customHeight="1">
      <c r="O96" s="1"/>
    </row>
    <row r="97" spans="15:15" ht="14.25" customHeight="1">
      <c r="O97" s="1"/>
    </row>
    <row r="98" spans="15:15" ht="14.25" customHeight="1">
      <c r="O98" s="1"/>
    </row>
    <row r="99" spans="15:15" ht="14.25" customHeight="1">
      <c r="O99" s="1"/>
    </row>
    <row r="100" spans="15:15" ht="14.25" customHeight="1">
      <c r="O100" s="1"/>
    </row>
    <row r="101" spans="15:15" ht="14.25" customHeight="1">
      <c r="O101" s="1"/>
    </row>
    <row r="102" spans="15:15" ht="14.25" customHeight="1">
      <c r="O102" s="1"/>
    </row>
    <row r="103" spans="15:15" ht="14.25" customHeight="1">
      <c r="O103" s="1"/>
    </row>
    <row r="104" spans="15:15" ht="14.25" customHeight="1">
      <c r="O104" s="1"/>
    </row>
    <row r="105" spans="15:15" ht="14.25" customHeight="1">
      <c r="O105" s="1"/>
    </row>
    <row r="106" spans="15:15" ht="14.25" customHeight="1">
      <c r="O106" s="1"/>
    </row>
    <row r="107" spans="15:15" ht="14.25" customHeight="1">
      <c r="O107" s="1"/>
    </row>
    <row r="108" spans="15:15" ht="14.25" customHeight="1">
      <c r="O108" s="1"/>
    </row>
    <row r="109" spans="15:15" ht="14.25" customHeight="1">
      <c r="O109" s="1"/>
    </row>
    <row r="110" spans="15:15" ht="14.25" customHeight="1">
      <c r="O110" s="1"/>
    </row>
    <row r="111" spans="15:15" ht="14.25" customHeight="1">
      <c r="O111" s="1"/>
    </row>
    <row r="112" spans="15:15" ht="14.25" customHeight="1">
      <c r="O112" s="1"/>
    </row>
    <row r="113" spans="15:15" ht="14.25" customHeight="1">
      <c r="O113" s="1"/>
    </row>
    <row r="114" spans="15:15" ht="14.25" customHeight="1">
      <c r="O114" s="1"/>
    </row>
    <row r="115" spans="15:15" ht="14.25" customHeight="1">
      <c r="O115" s="1"/>
    </row>
    <row r="116" spans="15:15" ht="14.25" customHeight="1">
      <c r="O116" s="1"/>
    </row>
    <row r="117" spans="15:15" ht="14.25" customHeight="1">
      <c r="O117" s="1"/>
    </row>
    <row r="118" spans="15:15" ht="14.25" customHeight="1">
      <c r="O118" s="1"/>
    </row>
    <row r="119" spans="15:15" ht="14.25" customHeight="1">
      <c r="O119" s="1"/>
    </row>
    <row r="120" spans="15:15" ht="14.25" customHeight="1">
      <c r="O120" s="1"/>
    </row>
    <row r="121" spans="15:15" ht="14.25" customHeight="1">
      <c r="O121" s="1"/>
    </row>
    <row r="122" spans="15:15" ht="14.25" customHeight="1">
      <c r="O122" s="1"/>
    </row>
    <row r="123" spans="15:15" ht="14.25" customHeight="1">
      <c r="O123" s="1"/>
    </row>
    <row r="124" spans="15:15" ht="14.25" customHeight="1">
      <c r="O124" s="1"/>
    </row>
    <row r="125" spans="15:15" ht="14.25" customHeight="1">
      <c r="O125" s="1"/>
    </row>
    <row r="126" spans="15:15" ht="14.25" customHeight="1">
      <c r="O126" s="1"/>
    </row>
    <row r="127" spans="15:15" ht="14.25" customHeight="1">
      <c r="O127" s="1"/>
    </row>
    <row r="128" spans="15:15" ht="14.25" customHeight="1">
      <c r="O128" s="1"/>
    </row>
    <row r="129" spans="15:15" ht="14.25" customHeight="1">
      <c r="O129" s="1"/>
    </row>
    <row r="130" spans="15:15" ht="14.25" customHeight="1">
      <c r="O130" s="1"/>
    </row>
    <row r="131" spans="15:15" ht="14.25" customHeight="1">
      <c r="O131" s="1"/>
    </row>
    <row r="132" spans="15:15" ht="14.25" customHeight="1">
      <c r="O132" s="1"/>
    </row>
    <row r="133" spans="15:15" ht="14.25" customHeight="1">
      <c r="O133" s="1"/>
    </row>
    <row r="134" spans="15:15" ht="14.25" customHeight="1">
      <c r="O134" s="1"/>
    </row>
    <row r="135" spans="15:15" ht="14.25" customHeight="1">
      <c r="O135" s="1"/>
    </row>
    <row r="136" spans="15:15" ht="14.25" customHeight="1">
      <c r="O136" s="1"/>
    </row>
    <row r="137" spans="15:15" ht="14.25" customHeight="1">
      <c r="O137" s="1"/>
    </row>
    <row r="138" spans="15:15" ht="14.25" customHeight="1">
      <c r="O138" s="1"/>
    </row>
    <row r="139" spans="15:15" ht="14.25" customHeight="1">
      <c r="O139" s="1"/>
    </row>
    <row r="140" spans="15:15" ht="14.25" customHeight="1">
      <c r="O140" s="1"/>
    </row>
    <row r="141" spans="15:15" ht="14.25" customHeight="1">
      <c r="O141" s="1"/>
    </row>
    <row r="142" spans="15:15" ht="14.25" customHeight="1">
      <c r="O142" s="1"/>
    </row>
    <row r="143" spans="15:15" ht="14.25" customHeight="1">
      <c r="O143" s="1"/>
    </row>
    <row r="144" spans="15:15" ht="14.25" customHeight="1">
      <c r="O144" s="1"/>
    </row>
    <row r="145" spans="15:15" ht="14.25" customHeight="1">
      <c r="O145" s="1"/>
    </row>
    <row r="146" spans="15:15" ht="14.25" customHeight="1">
      <c r="O146" s="1"/>
    </row>
    <row r="147" spans="15:15" ht="14.25" customHeight="1">
      <c r="O147" s="1"/>
    </row>
    <row r="148" spans="15:15" ht="14.25" customHeight="1">
      <c r="O148" s="1"/>
    </row>
    <row r="149" spans="15:15" ht="14.25" customHeight="1">
      <c r="O149" s="1"/>
    </row>
    <row r="150" spans="15:15" ht="14.25" customHeight="1">
      <c r="O150" s="1"/>
    </row>
    <row r="151" spans="15:15" ht="14.25" customHeight="1">
      <c r="O151" s="1"/>
    </row>
    <row r="152" spans="15:15" ht="14.25" customHeight="1">
      <c r="O152" s="1"/>
    </row>
    <row r="153" spans="15:15" ht="14.25" customHeight="1">
      <c r="O153" s="1"/>
    </row>
    <row r="154" spans="15:15" ht="14.25" customHeight="1">
      <c r="O154" s="1"/>
    </row>
    <row r="155" spans="15:15" ht="14.25" customHeight="1">
      <c r="O155" s="1"/>
    </row>
    <row r="156" spans="15:15" ht="14.25" customHeight="1">
      <c r="O156" s="1"/>
    </row>
    <row r="157" spans="15:15" ht="14.25" customHeight="1">
      <c r="O157" s="1"/>
    </row>
    <row r="158" spans="15:15" ht="14.25" customHeight="1">
      <c r="O158" s="1"/>
    </row>
    <row r="159" spans="15:15" ht="14.25" customHeight="1">
      <c r="O159" s="1"/>
    </row>
    <row r="160" spans="15:15" ht="14.25" customHeight="1">
      <c r="O160" s="1"/>
    </row>
    <row r="161" spans="15:15" ht="14.25" customHeight="1">
      <c r="O161" s="1"/>
    </row>
    <row r="162" spans="15:15" ht="14.25" customHeight="1">
      <c r="O162" s="1"/>
    </row>
    <row r="163" spans="15:15" ht="14.25" customHeight="1">
      <c r="O163" s="1"/>
    </row>
    <row r="164" spans="15:15" ht="14.25" customHeight="1">
      <c r="O164" s="1"/>
    </row>
    <row r="165" spans="15:15" ht="14.25" customHeight="1">
      <c r="O165" s="1"/>
    </row>
    <row r="166" spans="15:15" ht="14.25" customHeight="1">
      <c r="O166" s="1"/>
    </row>
    <row r="167" spans="15:15" ht="14.25" customHeight="1">
      <c r="O167" s="1"/>
    </row>
    <row r="168" spans="15:15" ht="14.25" customHeight="1">
      <c r="O168" s="1"/>
    </row>
    <row r="169" spans="15:15" ht="14.25" customHeight="1">
      <c r="O169" s="1"/>
    </row>
    <row r="170" spans="15:15" ht="14.25" customHeight="1">
      <c r="O170" s="1"/>
    </row>
    <row r="171" spans="15:15" ht="14.25" customHeight="1">
      <c r="O171" s="1"/>
    </row>
    <row r="172" spans="15:15" ht="14.25" customHeight="1">
      <c r="O172" s="1"/>
    </row>
    <row r="173" spans="15:15" ht="14.25" customHeight="1">
      <c r="O173" s="1"/>
    </row>
    <row r="174" spans="15:15" ht="14.25" customHeight="1">
      <c r="O174" s="1"/>
    </row>
    <row r="175" spans="15:15" ht="14.25" customHeight="1">
      <c r="O175" s="1"/>
    </row>
    <row r="176" spans="15:15" ht="14.25" customHeight="1">
      <c r="O176" s="1"/>
    </row>
    <row r="177" spans="15:15" ht="14.25" customHeight="1">
      <c r="O177" s="1"/>
    </row>
    <row r="178" spans="15:15" ht="14.25" customHeight="1">
      <c r="O178" s="1"/>
    </row>
    <row r="179" spans="15:15" ht="14.25" customHeight="1">
      <c r="O179" s="1"/>
    </row>
    <row r="180" spans="15:15" ht="14.25" customHeight="1">
      <c r="O180" s="1"/>
    </row>
    <row r="181" spans="15:15" ht="14.25" customHeight="1">
      <c r="O181" s="1"/>
    </row>
    <row r="182" spans="15:15" ht="14.25" customHeight="1">
      <c r="O182" s="1"/>
    </row>
    <row r="183" spans="15:15" ht="14.25" customHeight="1">
      <c r="O183" s="1"/>
    </row>
    <row r="184" spans="15:15" ht="14.25" customHeight="1">
      <c r="O184" s="1"/>
    </row>
    <row r="185" spans="15:15" ht="14.25" customHeight="1">
      <c r="O185" s="1"/>
    </row>
    <row r="186" spans="15:15" ht="14.25" customHeight="1">
      <c r="O186" s="1"/>
    </row>
    <row r="187" spans="15:15" ht="14.25" customHeight="1">
      <c r="O187" s="1"/>
    </row>
    <row r="188" spans="15:15" ht="14.25" customHeight="1">
      <c r="O188" s="1"/>
    </row>
    <row r="189" spans="15:15" ht="14.25" customHeight="1">
      <c r="O189" s="1"/>
    </row>
    <row r="190" spans="15:15" ht="14.25" customHeight="1">
      <c r="O190" s="1"/>
    </row>
    <row r="191" spans="15:15" ht="14.25" customHeight="1">
      <c r="O191" s="1"/>
    </row>
    <row r="192" spans="15:15" ht="14.25" customHeight="1">
      <c r="O192" s="1"/>
    </row>
    <row r="193" spans="15:15" ht="14.25" customHeight="1">
      <c r="O193" s="1"/>
    </row>
    <row r="194" spans="15:15" ht="14.25" customHeight="1">
      <c r="O194" s="1"/>
    </row>
    <row r="195" spans="15:15" ht="14.25" customHeight="1">
      <c r="O195" s="1"/>
    </row>
    <row r="196" spans="15:15" ht="14.25" customHeight="1">
      <c r="O196" s="1"/>
    </row>
    <row r="197" spans="15:15" ht="14.25" customHeight="1">
      <c r="O197" s="1"/>
    </row>
    <row r="198" spans="15:15" ht="14.25" customHeight="1">
      <c r="O198" s="1"/>
    </row>
    <row r="199" spans="15:15" ht="14.25" customHeight="1">
      <c r="O199" s="1"/>
    </row>
    <row r="200" spans="15:15" ht="14.25" customHeight="1">
      <c r="O200" s="1"/>
    </row>
    <row r="201" spans="15:15" ht="14.25" customHeight="1">
      <c r="O201" s="1"/>
    </row>
    <row r="202" spans="15:15" ht="14.25" customHeight="1">
      <c r="O202" s="1"/>
    </row>
    <row r="203" spans="15:15" ht="14.25" customHeight="1">
      <c r="O203" s="1"/>
    </row>
    <row r="204" spans="15:15" ht="14.25" customHeight="1">
      <c r="O204" s="1"/>
    </row>
    <row r="205" spans="15:15" ht="14.25" customHeight="1">
      <c r="O205" s="1"/>
    </row>
    <row r="206" spans="15:15" ht="14.25" customHeight="1">
      <c r="O206" s="1"/>
    </row>
    <row r="207" spans="15:15" ht="14.25" customHeight="1">
      <c r="O207" s="1"/>
    </row>
    <row r="208" spans="15:15" ht="14.25" customHeight="1">
      <c r="O208" s="1"/>
    </row>
    <row r="209" spans="15:15" ht="14.25" customHeight="1">
      <c r="O209" s="1"/>
    </row>
    <row r="210" spans="15:15" ht="14.25" customHeight="1">
      <c r="O210" s="1"/>
    </row>
    <row r="211" spans="15:15" ht="14.25" customHeight="1">
      <c r="O211" s="1"/>
    </row>
    <row r="212" spans="15:15" ht="14.25" customHeight="1">
      <c r="O212" s="1"/>
    </row>
    <row r="213" spans="15:15" ht="14.25" customHeight="1">
      <c r="O213" s="1"/>
    </row>
    <row r="214" spans="15:15" ht="14.25" customHeight="1">
      <c r="O214" s="1"/>
    </row>
    <row r="215" spans="15:15" ht="14.25" customHeight="1">
      <c r="O215" s="1"/>
    </row>
    <row r="216" spans="15:15" ht="14.25" customHeight="1">
      <c r="O216" s="1"/>
    </row>
    <row r="217" spans="15:15" ht="14.25" customHeight="1">
      <c r="O217" s="1"/>
    </row>
    <row r="218" spans="15:15" ht="14.25" customHeight="1">
      <c r="O218" s="1"/>
    </row>
    <row r="219" spans="15:15" ht="14.25" customHeight="1">
      <c r="O219" s="1"/>
    </row>
    <row r="220" spans="15:15" ht="14.25" customHeight="1">
      <c r="O220" s="1"/>
    </row>
    <row r="221" spans="15:15" ht="14.25" customHeight="1">
      <c r="O221" s="1"/>
    </row>
    <row r="222" spans="15:15" ht="14.25" customHeight="1">
      <c r="O222" s="1"/>
    </row>
    <row r="223" spans="15:15" ht="14.25" customHeight="1">
      <c r="O223" s="1"/>
    </row>
    <row r="224" spans="15:15" ht="14.25" customHeight="1">
      <c r="O224" s="1"/>
    </row>
    <row r="225" spans="15:15" ht="14.25" customHeight="1">
      <c r="O225" s="1"/>
    </row>
    <row r="226" spans="15:15" ht="14.25" customHeight="1">
      <c r="O226" s="1"/>
    </row>
    <row r="227" spans="15:15" ht="14.25" customHeight="1">
      <c r="O227" s="1"/>
    </row>
    <row r="228" spans="15:15" ht="14.25" customHeight="1">
      <c r="O228" s="1"/>
    </row>
    <row r="229" spans="15:15" ht="14.25" customHeight="1">
      <c r="O229" s="1"/>
    </row>
    <row r="230" spans="15:15" ht="14.25" customHeight="1">
      <c r="O230" s="1"/>
    </row>
    <row r="231" spans="15:15" ht="14.25" customHeight="1">
      <c r="O231" s="1"/>
    </row>
    <row r="232" spans="15:15" ht="14.25" customHeight="1">
      <c r="O232" s="1"/>
    </row>
    <row r="233" spans="15:15" ht="14.25" customHeight="1">
      <c r="O233" s="1"/>
    </row>
    <row r="234" spans="15:15" ht="14.25" customHeight="1">
      <c r="O234" s="1"/>
    </row>
    <row r="235" spans="15:15" ht="14.25" customHeight="1">
      <c r="O235" s="1"/>
    </row>
    <row r="236" spans="15:15" ht="14.25" customHeight="1">
      <c r="O236" s="1"/>
    </row>
    <row r="237" spans="15:15" ht="14.25" customHeight="1">
      <c r="O237" s="1"/>
    </row>
    <row r="238" spans="15:15" ht="14.25" customHeight="1">
      <c r="O238" s="1"/>
    </row>
    <row r="239" spans="15:15" ht="14.25" customHeight="1">
      <c r="O239" s="1"/>
    </row>
    <row r="240" spans="15:15" ht="14.25" customHeight="1">
      <c r="O240" s="1"/>
    </row>
    <row r="241" spans="15:15" ht="14.25" customHeight="1">
      <c r="O241" s="1"/>
    </row>
    <row r="242" spans="15:15" ht="14.25" customHeight="1">
      <c r="O242" s="1"/>
    </row>
    <row r="243" spans="15:15" ht="14.25" customHeight="1">
      <c r="O243" s="1"/>
    </row>
    <row r="244" spans="15:15" ht="14.25" customHeight="1">
      <c r="O244" s="1"/>
    </row>
    <row r="245" spans="15:15" ht="14.25" customHeight="1">
      <c r="O245" s="1"/>
    </row>
    <row r="246" spans="15:15" ht="14.25" customHeight="1">
      <c r="O246" s="1"/>
    </row>
    <row r="247" spans="15:15" ht="14.25" customHeight="1">
      <c r="O247" s="1"/>
    </row>
    <row r="248" spans="15:15" ht="14.25" customHeight="1">
      <c r="O248" s="1"/>
    </row>
    <row r="249" spans="15:15" ht="14.25" customHeight="1">
      <c r="O249" s="1"/>
    </row>
    <row r="250" spans="15:15" ht="14.25" customHeight="1">
      <c r="O250" s="1"/>
    </row>
    <row r="251" spans="15:15" ht="14.25" customHeight="1">
      <c r="O251" s="1"/>
    </row>
    <row r="252" spans="15:15" ht="14.25" customHeight="1">
      <c r="O252" s="1"/>
    </row>
    <row r="253" spans="15:15" ht="14.25" customHeight="1">
      <c r="O253" s="1"/>
    </row>
    <row r="254" spans="15:15" ht="14.25" customHeight="1">
      <c r="O254" s="1"/>
    </row>
    <row r="255" spans="15:15" ht="14.25" customHeight="1">
      <c r="O255" s="1"/>
    </row>
    <row r="256" spans="15:15" ht="14.25" customHeight="1">
      <c r="O256" s="1"/>
    </row>
    <row r="257" spans="15:15" ht="14.25" customHeight="1">
      <c r="O257" s="1"/>
    </row>
    <row r="258" spans="15:15" ht="14.25" customHeight="1">
      <c r="O258" s="1"/>
    </row>
    <row r="259" spans="15:15" ht="14.25" customHeight="1">
      <c r="O259" s="1"/>
    </row>
    <row r="260" spans="15:15" ht="14.25" customHeight="1">
      <c r="O260" s="1"/>
    </row>
    <row r="261" spans="15:15" ht="14.25" customHeight="1">
      <c r="O261" s="1"/>
    </row>
    <row r="262" spans="15:15" ht="14.25" customHeight="1">
      <c r="O262" s="1"/>
    </row>
    <row r="263" spans="15:15" ht="14.25" customHeight="1">
      <c r="O263" s="1"/>
    </row>
    <row r="264" spans="15:15" ht="14.25" customHeight="1">
      <c r="O264" s="1"/>
    </row>
    <row r="265" spans="15:15" ht="14.25" customHeight="1">
      <c r="O265" s="1"/>
    </row>
    <row r="266" spans="15:15" ht="14.25" customHeight="1">
      <c r="O266" s="1"/>
    </row>
    <row r="267" spans="15:15" ht="14.25" customHeight="1">
      <c r="O267" s="1"/>
    </row>
    <row r="268" spans="15:15" ht="14.25" customHeight="1">
      <c r="O268" s="1"/>
    </row>
    <row r="269" spans="15:15" ht="14.25" customHeight="1">
      <c r="O269" s="1"/>
    </row>
    <row r="270" spans="15:15" ht="14.25" customHeight="1">
      <c r="O270" s="1"/>
    </row>
    <row r="271" spans="15:15" ht="14.25" customHeight="1">
      <c r="O271" s="1"/>
    </row>
    <row r="272" spans="15:15" ht="14.25" customHeight="1">
      <c r="O272" s="1"/>
    </row>
    <row r="273" spans="15:15" ht="14.25" customHeight="1">
      <c r="O273" s="1"/>
    </row>
    <row r="274" spans="15:15" ht="14.25" customHeight="1">
      <c r="O274" s="1"/>
    </row>
    <row r="275" spans="15:15" ht="14.25" customHeight="1">
      <c r="O275" s="1"/>
    </row>
    <row r="276" spans="15:15" ht="14.25" customHeight="1">
      <c r="O276" s="1"/>
    </row>
    <row r="277" spans="15:15" ht="14.25" customHeight="1">
      <c r="O277" s="1"/>
    </row>
    <row r="278" spans="15:15" ht="14.25" customHeight="1">
      <c r="O278" s="1"/>
    </row>
    <row r="279" spans="15:15" ht="14.25" customHeight="1">
      <c r="O279" s="1"/>
    </row>
    <row r="280" spans="15:15" ht="14.25" customHeight="1">
      <c r="O280" s="1"/>
    </row>
    <row r="281" spans="15:15" ht="14.25" customHeight="1">
      <c r="O281" s="1"/>
    </row>
    <row r="282" spans="15:15" ht="14.25" customHeight="1">
      <c r="O282" s="1"/>
    </row>
    <row r="283" spans="15:15" ht="14.25" customHeight="1">
      <c r="O283" s="1"/>
    </row>
    <row r="284" spans="15:15" ht="14.25" customHeight="1">
      <c r="O284" s="1"/>
    </row>
    <row r="285" spans="15:15" ht="14.25" customHeight="1">
      <c r="O285" s="1"/>
    </row>
    <row r="286" spans="15:15" ht="14.25" customHeight="1">
      <c r="O286" s="1"/>
    </row>
    <row r="287" spans="15:15" ht="14.25" customHeight="1">
      <c r="O287" s="1"/>
    </row>
    <row r="288" spans="15:15" ht="14.25" customHeight="1">
      <c r="O288" s="1"/>
    </row>
    <row r="289" spans="15:15" ht="14.25" customHeight="1">
      <c r="O289" s="1"/>
    </row>
    <row r="290" spans="15:15" ht="14.25" customHeight="1">
      <c r="O290" s="1"/>
    </row>
    <row r="291" spans="15:15" ht="14.25" customHeight="1">
      <c r="O291" s="1"/>
    </row>
    <row r="292" spans="15:15" ht="14.25" customHeight="1">
      <c r="O292" s="1"/>
    </row>
    <row r="293" spans="15:15" ht="14.25" customHeight="1">
      <c r="O293" s="1"/>
    </row>
    <row r="294" spans="15:15" ht="14.25" customHeight="1">
      <c r="O294" s="1"/>
    </row>
    <row r="295" spans="15:15" ht="14.25" customHeight="1">
      <c r="O295" s="1"/>
    </row>
    <row r="296" spans="15:15" ht="14.25" customHeight="1">
      <c r="O296" s="1"/>
    </row>
    <row r="297" spans="15:15" ht="14.25" customHeight="1">
      <c r="O297" s="1"/>
    </row>
    <row r="298" spans="15:15" ht="14.25" customHeight="1">
      <c r="O298" s="1"/>
    </row>
    <row r="299" spans="15:15" ht="14.25" customHeight="1">
      <c r="O299" s="1"/>
    </row>
    <row r="300" spans="15:15" ht="14.25" customHeight="1">
      <c r="O300" s="1"/>
    </row>
    <row r="301" spans="15:15" ht="14.25" customHeight="1">
      <c r="O301" s="1"/>
    </row>
    <row r="302" spans="15:15" ht="14.25" customHeight="1">
      <c r="O302" s="1"/>
    </row>
    <row r="303" spans="15:15" ht="14.25" customHeight="1">
      <c r="O303" s="1"/>
    </row>
    <row r="304" spans="15:15" ht="14.25" customHeight="1">
      <c r="O304" s="1"/>
    </row>
    <row r="305" spans="15:15" ht="14.25" customHeight="1">
      <c r="O305" s="1"/>
    </row>
    <row r="306" spans="15:15" ht="14.25" customHeight="1">
      <c r="O306" s="1"/>
    </row>
    <row r="307" spans="15:15" ht="14.25" customHeight="1">
      <c r="O307" s="1"/>
    </row>
    <row r="308" spans="15:15" ht="14.25" customHeight="1">
      <c r="O308" s="1"/>
    </row>
    <row r="309" spans="15:15" ht="14.25" customHeight="1">
      <c r="O309" s="1"/>
    </row>
    <row r="310" spans="15:15" ht="14.25" customHeight="1">
      <c r="O310" s="1"/>
    </row>
    <row r="311" spans="15:15" ht="14.25" customHeight="1">
      <c r="O311" s="1"/>
    </row>
    <row r="312" spans="15:15" ht="14.25" customHeight="1">
      <c r="O312" s="1"/>
    </row>
    <row r="313" spans="15:15" ht="14.25" customHeight="1">
      <c r="O313" s="1"/>
    </row>
    <row r="314" spans="15:15" ht="14.25" customHeight="1">
      <c r="O314" s="1"/>
    </row>
    <row r="315" spans="15:15" ht="14.25" customHeight="1">
      <c r="O315" s="1"/>
    </row>
    <row r="316" spans="15:15" ht="14.25" customHeight="1">
      <c r="O316" s="1"/>
    </row>
    <row r="317" spans="15:15" ht="14.25" customHeight="1">
      <c r="O317" s="1"/>
    </row>
    <row r="318" spans="15:15" ht="14.25" customHeight="1">
      <c r="O318" s="1"/>
    </row>
    <row r="319" spans="15:15" ht="14.25" customHeight="1">
      <c r="O319" s="1"/>
    </row>
    <row r="320" spans="15:15" ht="14.25" customHeight="1">
      <c r="O320" s="1"/>
    </row>
    <row r="321" spans="15:15" ht="14.25" customHeight="1">
      <c r="O321" s="1"/>
    </row>
    <row r="322" spans="15:15" ht="14.25" customHeight="1">
      <c r="O322" s="1"/>
    </row>
    <row r="323" spans="15:15" ht="14.25" customHeight="1">
      <c r="O323" s="1"/>
    </row>
    <row r="324" spans="15:15" ht="14.25" customHeight="1">
      <c r="O324" s="1"/>
    </row>
    <row r="325" spans="15:15" ht="14.25" customHeight="1">
      <c r="O325" s="1"/>
    </row>
    <row r="326" spans="15:15" ht="14.25" customHeight="1">
      <c r="O326" s="1"/>
    </row>
    <row r="327" spans="15:15" ht="14.25" customHeight="1">
      <c r="O327" s="1"/>
    </row>
    <row r="328" spans="15:15" ht="14.25" customHeight="1">
      <c r="O328" s="1"/>
    </row>
    <row r="329" spans="15:15" ht="14.25" customHeight="1">
      <c r="O329" s="1"/>
    </row>
    <row r="330" spans="15:15" ht="14.25" customHeight="1">
      <c r="O330" s="1"/>
    </row>
    <row r="331" spans="15:15" ht="14.25" customHeight="1">
      <c r="O331" s="1"/>
    </row>
    <row r="332" spans="15:15" ht="14.25" customHeight="1">
      <c r="O332" s="1"/>
    </row>
    <row r="333" spans="15:15" ht="14.25" customHeight="1">
      <c r="O333" s="1"/>
    </row>
    <row r="334" spans="15:15" ht="14.25" customHeight="1">
      <c r="O334" s="1"/>
    </row>
    <row r="335" spans="15:15" ht="14.25" customHeight="1">
      <c r="O335" s="1"/>
    </row>
    <row r="336" spans="15:15" ht="14.25" customHeight="1">
      <c r="O336" s="1"/>
    </row>
    <row r="337" spans="15:15" ht="14.25" customHeight="1">
      <c r="O337" s="1"/>
    </row>
    <row r="338" spans="15:15" ht="14.25" customHeight="1">
      <c r="O338" s="1"/>
    </row>
    <row r="339" spans="15:15" ht="14.25" customHeight="1">
      <c r="O339" s="1"/>
    </row>
    <row r="340" spans="15:15" ht="14.25" customHeight="1">
      <c r="O340" s="1"/>
    </row>
    <row r="341" spans="15:15" ht="14.25" customHeight="1">
      <c r="O341" s="1"/>
    </row>
    <row r="342" spans="15:15" ht="14.25" customHeight="1">
      <c r="O342" s="1"/>
    </row>
    <row r="343" spans="15:15" ht="14.25" customHeight="1">
      <c r="O343" s="1"/>
    </row>
    <row r="344" spans="15:15" ht="14.25" customHeight="1">
      <c r="O344" s="1"/>
    </row>
    <row r="345" spans="15:15" ht="14.25" customHeight="1">
      <c r="O345" s="1"/>
    </row>
    <row r="346" spans="15:15" ht="14.25" customHeight="1">
      <c r="O346" s="1"/>
    </row>
    <row r="347" spans="15:15" ht="14.25" customHeight="1">
      <c r="O347" s="1"/>
    </row>
    <row r="348" spans="15:15" ht="14.25" customHeight="1">
      <c r="O348" s="1"/>
    </row>
    <row r="349" spans="15:15" ht="14.25" customHeight="1">
      <c r="O349" s="1"/>
    </row>
    <row r="350" spans="15:15" ht="14.25" customHeight="1">
      <c r="O350" s="1"/>
    </row>
    <row r="351" spans="15:15" ht="14.25" customHeight="1">
      <c r="O351" s="1"/>
    </row>
    <row r="352" spans="15:15" ht="14.25" customHeight="1">
      <c r="O352" s="1"/>
    </row>
    <row r="353" spans="15:15" ht="14.25" customHeight="1">
      <c r="O353" s="1"/>
    </row>
    <row r="354" spans="15:15" ht="14.25" customHeight="1">
      <c r="O354" s="1"/>
    </row>
    <row r="355" spans="15:15" ht="14.25" customHeight="1">
      <c r="O355" s="1"/>
    </row>
    <row r="356" spans="15:15" ht="14.25" customHeight="1">
      <c r="O356" s="1"/>
    </row>
    <row r="357" spans="15:15" ht="14.25" customHeight="1">
      <c r="O357" s="1"/>
    </row>
    <row r="358" spans="15:15" ht="14.25" customHeight="1">
      <c r="O358" s="1"/>
    </row>
    <row r="359" spans="15:15" ht="14.25" customHeight="1">
      <c r="O359" s="1"/>
    </row>
    <row r="360" spans="15:15" ht="14.25" customHeight="1">
      <c r="O360" s="1"/>
    </row>
    <row r="361" spans="15:15" ht="14.25" customHeight="1">
      <c r="O361" s="1"/>
    </row>
    <row r="362" spans="15:15" ht="14.25" customHeight="1">
      <c r="O362" s="1"/>
    </row>
    <row r="363" spans="15:15" ht="14.25" customHeight="1">
      <c r="O363" s="1"/>
    </row>
    <row r="364" spans="15:15" ht="14.25" customHeight="1">
      <c r="O364" s="1"/>
    </row>
    <row r="365" spans="15:15" ht="14.25" customHeight="1">
      <c r="O365" s="1"/>
    </row>
    <row r="366" spans="15:15" ht="14.25" customHeight="1">
      <c r="O366" s="1"/>
    </row>
    <row r="367" spans="15:15" ht="14.25" customHeight="1">
      <c r="O367" s="1"/>
    </row>
    <row r="368" spans="15:15" ht="14.25" customHeight="1">
      <c r="O368" s="1"/>
    </row>
    <row r="369" spans="15:15" ht="14.25" customHeight="1">
      <c r="O369" s="1"/>
    </row>
    <row r="370" spans="15:15" ht="14.25" customHeight="1">
      <c r="O370" s="1"/>
    </row>
    <row r="371" spans="15:15" ht="14.25" customHeight="1">
      <c r="O371" s="1"/>
    </row>
    <row r="372" spans="15:15" ht="14.25" customHeight="1">
      <c r="O372" s="1"/>
    </row>
    <row r="373" spans="15:15" ht="14.25" customHeight="1">
      <c r="O373" s="1"/>
    </row>
    <row r="374" spans="15:15" ht="14.25" customHeight="1">
      <c r="O374" s="1"/>
    </row>
    <row r="375" spans="15:15" ht="14.25" customHeight="1">
      <c r="O375" s="1"/>
    </row>
    <row r="376" spans="15:15" ht="14.25" customHeight="1">
      <c r="O376" s="1"/>
    </row>
    <row r="377" spans="15:15" ht="14.25" customHeight="1">
      <c r="O377" s="1"/>
    </row>
    <row r="378" spans="15:15" ht="14.25" customHeight="1">
      <c r="O378" s="1"/>
    </row>
    <row r="379" spans="15:15" ht="14.25" customHeight="1">
      <c r="O379" s="1"/>
    </row>
    <row r="380" spans="15:15" ht="14.25" customHeight="1">
      <c r="O380" s="1"/>
    </row>
    <row r="381" spans="15:15" ht="14.25" customHeight="1">
      <c r="O381" s="1"/>
    </row>
    <row r="382" spans="15:15" ht="14.25" customHeight="1">
      <c r="O382" s="1"/>
    </row>
    <row r="383" spans="15:15" ht="14.25" customHeight="1">
      <c r="O383" s="1"/>
    </row>
    <row r="384" spans="15:15" ht="14.25" customHeight="1">
      <c r="O384" s="1"/>
    </row>
    <row r="385" spans="15:15" ht="14.25" customHeight="1">
      <c r="O385" s="1"/>
    </row>
    <row r="386" spans="15:15" ht="14.25" customHeight="1">
      <c r="O386" s="1"/>
    </row>
    <row r="387" spans="15:15" ht="14.25" customHeight="1">
      <c r="O387" s="1"/>
    </row>
    <row r="388" spans="15:15" ht="14.25" customHeight="1">
      <c r="O388" s="1"/>
    </row>
    <row r="389" spans="15:15" ht="14.25" customHeight="1">
      <c r="O389" s="1"/>
    </row>
    <row r="390" spans="15:15" ht="14.25" customHeight="1">
      <c r="O390" s="1"/>
    </row>
    <row r="391" spans="15:15" ht="14.25" customHeight="1">
      <c r="O391" s="1"/>
    </row>
    <row r="392" spans="15:15" ht="14.25" customHeight="1">
      <c r="O392" s="1"/>
    </row>
    <row r="393" spans="15:15" ht="14.25" customHeight="1">
      <c r="O393" s="1"/>
    </row>
    <row r="394" spans="15:15" ht="14.25" customHeight="1">
      <c r="O394" s="1"/>
    </row>
    <row r="395" spans="15:15" ht="14.25" customHeight="1">
      <c r="O395" s="1"/>
    </row>
    <row r="396" spans="15:15" ht="14.25" customHeight="1">
      <c r="O396" s="1"/>
    </row>
    <row r="397" spans="15:15" ht="14.25" customHeight="1">
      <c r="O397" s="1"/>
    </row>
    <row r="398" spans="15:15" ht="14.25" customHeight="1">
      <c r="O398" s="1"/>
    </row>
    <row r="399" spans="15:15" ht="14.25" customHeight="1">
      <c r="O399" s="1"/>
    </row>
    <row r="400" spans="15:15" ht="14.25" customHeight="1">
      <c r="O400" s="1"/>
    </row>
    <row r="401" spans="15:15" ht="14.25" customHeight="1">
      <c r="O401" s="1"/>
    </row>
    <row r="402" spans="15:15" ht="14.25" customHeight="1">
      <c r="O402" s="1"/>
    </row>
    <row r="403" spans="15:15" ht="14.25" customHeight="1">
      <c r="O403" s="1"/>
    </row>
    <row r="404" spans="15:15" ht="14.25" customHeight="1">
      <c r="O404" s="1"/>
    </row>
    <row r="405" spans="15:15" ht="14.25" customHeight="1">
      <c r="O405" s="1"/>
    </row>
    <row r="406" spans="15:15" ht="14.25" customHeight="1">
      <c r="O406" s="1"/>
    </row>
    <row r="407" spans="15:15" ht="14.25" customHeight="1">
      <c r="O407" s="1"/>
    </row>
    <row r="408" spans="15:15" ht="14.25" customHeight="1">
      <c r="O408" s="1"/>
    </row>
    <row r="409" spans="15:15" ht="14.25" customHeight="1">
      <c r="O409" s="1"/>
    </row>
    <row r="410" spans="15:15" ht="14.25" customHeight="1">
      <c r="O410" s="1"/>
    </row>
    <row r="411" spans="15:15" ht="14.25" customHeight="1">
      <c r="O411" s="1"/>
    </row>
    <row r="412" spans="15:15" ht="14.25" customHeight="1">
      <c r="O412" s="1"/>
    </row>
    <row r="413" spans="15:15" ht="14.25" customHeight="1">
      <c r="O413" s="1"/>
    </row>
    <row r="414" spans="15:15" ht="14.25" customHeight="1">
      <c r="O414" s="1"/>
    </row>
    <row r="415" spans="15:15" ht="14.25" customHeight="1">
      <c r="O415" s="1"/>
    </row>
    <row r="416" spans="15:15" ht="14.25" customHeight="1">
      <c r="O416" s="1"/>
    </row>
    <row r="417" spans="15:15" ht="14.25" customHeight="1">
      <c r="O417" s="1"/>
    </row>
    <row r="418" spans="15:15" ht="14.25" customHeight="1">
      <c r="O418" s="1"/>
    </row>
    <row r="419" spans="15:15" ht="14.25" customHeight="1">
      <c r="O419" s="1"/>
    </row>
    <row r="420" spans="15:15" ht="14.25" customHeight="1">
      <c r="O420" s="1"/>
    </row>
    <row r="421" spans="15:15" ht="14.25" customHeight="1">
      <c r="O421" s="1"/>
    </row>
    <row r="422" spans="15:15" ht="14.25" customHeight="1">
      <c r="O422" s="1"/>
    </row>
    <row r="423" spans="15:15" ht="14.25" customHeight="1">
      <c r="O423" s="1"/>
    </row>
    <row r="424" spans="15:15" ht="14.25" customHeight="1">
      <c r="O424" s="1"/>
    </row>
    <row r="425" spans="15:15" ht="14.25" customHeight="1">
      <c r="O425" s="1"/>
    </row>
    <row r="426" spans="15:15" ht="14.25" customHeight="1">
      <c r="O426" s="1"/>
    </row>
    <row r="427" spans="15:15" ht="14.25" customHeight="1">
      <c r="O427" s="1"/>
    </row>
    <row r="428" spans="15:15" ht="14.25" customHeight="1">
      <c r="O428" s="1"/>
    </row>
    <row r="429" spans="15:15" ht="14.25" customHeight="1">
      <c r="O429" s="1"/>
    </row>
    <row r="430" spans="15:15" ht="14.25" customHeight="1">
      <c r="O430" s="1"/>
    </row>
    <row r="431" spans="15:15" ht="14.25" customHeight="1">
      <c r="O431" s="1"/>
    </row>
    <row r="432" spans="15:15" ht="14.25" customHeight="1">
      <c r="O432" s="1"/>
    </row>
    <row r="433" spans="15:15" ht="14.25" customHeight="1">
      <c r="O433" s="1"/>
    </row>
    <row r="434" spans="15:15" ht="14.25" customHeight="1">
      <c r="O434" s="1"/>
    </row>
    <row r="435" spans="15:15" ht="14.25" customHeight="1">
      <c r="O435" s="1"/>
    </row>
    <row r="436" spans="15:15" ht="14.25" customHeight="1">
      <c r="O436" s="1"/>
    </row>
    <row r="437" spans="15:15" ht="14.25" customHeight="1">
      <c r="O437" s="1"/>
    </row>
    <row r="438" spans="15:15" ht="14.25" customHeight="1">
      <c r="O438" s="1"/>
    </row>
    <row r="439" spans="15:15" ht="14.25" customHeight="1">
      <c r="O439" s="1"/>
    </row>
    <row r="440" spans="15:15" ht="14.25" customHeight="1">
      <c r="O440" s="1"/>
    </row>
    <row r="441" spans="15:15" ht="14.25" customHeight="1">
      <c r="O441" s="1"/>
    </row>
    <row r="442" spans="15:15" ht="14.25" customHeight="1">
      <c r="O442" s="1"/>
    </row>
    <row r="443" spans="15:15" ht="14.25" customHeight="1">
      <c r="O443" s="1"/>
    </row>
    <row r="444" spans="15:15" ht="14.25" customHeight="1">
      <c r="O444" s="1"/>
    </row>
    <row r="445" spans="15:15" ht="14.25" customHeight="1">
      <c r="O445" s="1"/>
    </row>
    <row r="446" spans="15:15" ht="14.25" customHeight="1">
      <c r="O446" s="1"/>
    </row>
    <row r="447" spans="15:15" ht="14.25" customHeight="1">
      <c r="O447" s="1"/>
    </row>
    <row r="448" spans="15:15" ht="14.25" customHeight="1">
      <c r="O448" s="1"/>
    </row>
    <row r="449" spans="15:15" ht="14.25" customHeight="1">
      <c r="O449" s="1"/>
    </row>
    <row r="450" spans="15:15" ht="14.25" customHeight="1">
      <c r="O450" s="1"/>
    </row>
    <row r="451" spans="15:15" ht="14.25" customHeight="1">
      <c r="O451" s="1"/>
    </row>
    <row r="452" spans="15:15" ht="14.25" customHeight="1">
      <c r="O452" s="1"/>
    </row>
    <row r="453" spans="15:15" ht="14.25" customHeight="1">
      <c r="O453" s="1"/>
    </row>
    <row r="454" spans="15:15" ht="14.25" customHeight="1">
      <c r="O454" s="1"/>
    </row>
    <row r="455" spans="15:15" ht="14.25" customHeight="1">
      <c r="O455" s="1"/>
    </row>
    <row r="456" spans="15:15" ht="14.25" customHeight="1">
      <c r="O456" s="1"/>
    </row>
    <row r="457" spans="15:15" ht="14.25" customHeight="1">
      <c r="O457" s="1"/>
    </row>
    <row r="458" spans="15:15" ht="14.25" customHeight="1">
      <c r="O458" s="1"/>
    </row>
    <row r="459" spans="15:15" ht="14.25" customHeight="1">
      <c r="O459" s="1"/>
    </row>
    <row r="460" spans="15:15" ht="14.25" customHeight="1">
      <c r="O460" s="1"/>
    </row>
    <row r="461" spans="15:15" ht="14.25" customHeight="1">
      <c r="O461" s="1"/>
    </row>
    <row r="462" spans="15:15" ht="14.25" customHeight="1">
      <c r="O462" s="1"/>
    </row>
    <row r="463" spans="15:15" ht="14.25" customHeight="1">
      <c r="O463" s="1"/>
    </row>
    <row r="464" spans="15:15" ht="14.25" customHeight="1">
      <c r="O464" s="1"/>
    </row>
    <row r="465" spans="15:15" ht="14.25" customHeight="1">
      <c r="O465" s="1"/>
    </row>
    <row r="466" spans="15:15" ht="14.25" customHeight="1">
      <c r="O466" s="1"/>
    </row>
    <row r="467" spans="15:15" ht="14.25" customHeight="1">
      <c r="O467" s="1"/>
    </row>
    <row r="468" spans="15:15" ht="14.25" customHeight="1">
      <c r="O468" s="1"/>
    </row>
    <row r="469" spans="15:15" ht="14.25" customHeight="1">
      <c r="O469" s="1"/>
    </row>
    <row r="470" spans="15:15" ht="14.25" customHeight="1">
      <c r="O470" s="1"/>
    </row>
    <row r="471" spans="15:15" ht="14.25" customHeight="1">
      <c r="O471" s="1"/>
    </row>
    <row r="472" spans="15:15" ht="14.25" customHeight="1">
      <c r="O472" s="1"/>
    </row>
    <row r="473" spans="15:15" ht="14.25" customHeight="1">
      <c r="O473" s="1"/>
    </row>
    <row r="474" spans="15:15" ht="14.25" customHeight="1">
      <c r="O474" s="1"/>
    </row>
    <row r="475" spans="15:15" ht="14.25" customHeight="1">
      <c r="O475" s="1"/>
    </row>
    <row r="476" spans="15:15" ht="14.25" customHeight="1">
      <c r="O476" s="1"/>
    </row>
    <row r="477" spans="15:15" ht="14.25" customHeight="1">
      <c r="O477" s="1"/>
    </row>
    <row r="478" spans="15:15" ht="14.25" customHeight="1">
      <c r="O478" s="1"/>
    </row>
    <row r="479" spans="15:15" ht="14.25" customHeight="1">
      <c r="O479" s="1"/>
    </row>
    <row r="480" spans="15:15" ht="14.25" customHeight="1">
      <c r="O480" s="1"/>
    </row>
    <row r="481" spans="15:15" ht="14.25" customHeight="1">
      <c r="O481" s="1"/>
    </row>
    <row r="482" spans="15:15" ht="14.25" customHeight="1">
      <c r="O482" s="1"/>
    </row>
    <row r="483" spans="15:15" ht="14.25" customHeight="1">
      <c r="O483" s="1"/>
    </row>
    <row r="484" spans="15:15" ht="14.25" customHeight="1">
      <c r="O484" s="1"/>
    </row>
    <row r="485" spans="15:15" ht="14.25" customHeight="1">
      <c r="O485" s="1"/>
    </row>
    <row r="486" spans="15:15" ht="14.25" customHeight="1">
      <c r="O486" s="1"/>
    </row>
    <row r="487" spans="15:15" ht="14.25" customHeight="1">
      <c r="O487" s="1"/>
    </row>
    <row r="488" spans="15:15" ht="14.25" customHeight="1">
      <c r="O488" s="1"/>
    </row>
    <row r="489" spans="15:15" ht="14.25" customHeight="1">
      <c r="O489" s="1"/>
    </row>
    <row r="490" spans="15:15" ht="14.25" customHeight="1">
      <c r="O490" s="1"/>
    </row>
    <row r="491" spans="15:15" ht="14.25" customHeight="1">
      <c r="O491" s="1"/>
    </row>
    <row r="492" spans="15:15" ht="14.25" customHeight="1">
      <c r="O492" s="1"/>
    </row>
    <row r="493" spans="15:15" ht="14.25" customHeight="1">
      <c r="O493" s="1"/>
    </row>
    <row r="494" spans="15:15" ht="14.25" customHeight="1">
      <c r="O494" s="1"/>
    </row>
    <row r="495" spans="15:15" ht="14.25" customHeight="1">
      <c r="O495" s="1"/>
    </row>
    <row r="496" spans="15:15" ht="14.25" customHeight="1">
      <c r="O496" s="1"/>
    </row>
    <row r="497" spans="15:15" ht="14.25" customHeight="1">
      <c r="O497" s="1"/>
    </row>
    <row r="498" spans="15:15" ht="14.25" customHeight="1">
      <c r="O498" s="1"/>
    </row>
    <row r="499" spans="15:15" ht="14.25" customHeight="1">
      <c r="O499" s="1"/>
    </row>
    <row r="500" spans="15:15" ht="14.25" customHeight="1">
      <c r="O500" s="1"/>
    </row>
    <row r="501" spans="15:15" ht="14.25" customHeight="1">
      <c r="O501" s="1"/>
    </row>
    <row r="502" spans="15:15" ht="14.25" customHeight="1">
      <c r="O502" s="1"/>
    </row>
    <row r="503" spans="15:15" ht="14.25" customHeight="1">
      <c r="O503" s="1"/>
    </row>
    <row r="504" spans="15:15" ht="14.25" customHeight="1">
      <c r="O504" s="1"/>
    </row>
    <row r="505" spans="15:15" ht="14.25" customHeight="1">
      <c r="O505" s="1"/>
    </row>
    <row r="506" spans="15:15" ht="14.25" customHeight="1">
      <c r="O506" s="1"/>
    </row>
    <row r="507" spans="15:15" ht="14.25" customHeight="1">
      <c r="O507" s="1"/>
    </row>
    <row r="508" spans="15:15" ht="14.25" customHeight="1">
      <c r="O508" s="1"/>
    </row>
    <row r="509" spans="15:15" ht="14.25" customHeight="1">
      <c r="O509" s="1"/>
    </row>
    <row r="510" spans="15:15" ht="14.25" customHeight="1">
      <c r="O510" s="1"/>
    </row>
    <row r="511" spans="15:15" ht="14.25" customHeight="1">
      <c r="O511" s="1"/>
    </row>
    <row r="512" spans="15:15" ht="14.25" customHeight="1">
      <c r="O512" s="1"/>
    </row>
    <row r="513" spans="15:15" ht="14.25" customHeight="1">
      <c r="O513" s="1"/>
    </row>
    <row r="514" spans="15:15" ht="14.25" customHeight="1">
      <c r="O514" s="1"/>
    </row>
    <row r="515" spans="15:15" ht="14.25" customHeight="1">
      <c r="O515" s="1"/>
    </row>
    <row r="516" spans="15:15" ht="14.25" customHeight="1">
      <c r="O516" s="1"/>
    </row>
    <row r="517" spans="15:15" ht="14.25" customHeight="1">
      <c r="O517" s="1"/>
    </row>
    <row r="518" spans="15:15" ht="14.25" customHeight="1">
      <c r="O518" s="1"/>
    </row>
    <row r="519" spans="15:15" ht="14.25" customHeight="1">
      <c r="O519" s="1"/>
    </row>
    <row r="520" spans="15:15" ht="14.25" customHeight="1">
      <c r="O520" s="1"/>
    </row>
    <row r="521" spans="15:15" ht="14.25" customHeight="1">
      <c r="O521" s="1"/>
    </row>
    <row r="522" spans="15:15" ht="14.25" customHeight="1">
      <c r="O522" s="1"/>
    </row>
    <row r="523" spans="15:15" ht="14.25" customHeight="1">
      <c r="O523" s="1"/>
    </row>
    <row r="524" spans="15:15" ht="14.25" customHeight="1">
      <c r="O524" s="1"/>
    </row>
    <row r="525" spans="15:15" ht="14.25" customHeight="1">
      <c r="O525" s="1"/>
    </row>
    <row r="526" spans="15:15" ht="14.25" customHeight="1">
      <c r="O526" s="1"/>
    </row>
    <row r="527" spans="15:15" ht="14.25" customHeight="1">
      <c r="O527" s="1"/>
    </row>
    <row r="528" spans="15:15" ht="14.25" customHeight="1">
      <c r="O528" s="1"/>
    </row>
    <row r="529" spans="15:15" ht="14.25" customHeight="1">
      <c r="O529" s="1"/>
    </row>
    <row r="530" spans="15:15" ht="14.25" customHeight="1">
      <c r="O530" s="1"/>
    </row>
    <row r="531" spans="15:15" ht="14.25" customHeight="1">
      <c r="O531" s="1"/>
    </row>
    <row r="532" spans="15:15" ht="14.25" customHeight="1">
      <c r="O532" s="1"/>
    </row>
    <row r="533" spans="15:15" ht="14.25" customHeight="1">
      <c r="O533" s="1"/>
    </row>
    <row r="534" spans="15:15" ht="14.25" customHeight="1">
      <c r="O534" s="1"/>
    </row>
    <row r="535" spans="15:15" ht="14.25" customHeight="1">
      <c r="O535" s="1"/>
    </row>
    <row r="536" spans="15:15" ht="14.25" customHeight="1">
      <c r="O536" s="1"/>
    </row>
    <row r="537" spans="15:15" ht="14.25" customHeight="1">
      <c r="O537" s="1"/>
    </row>
    <row r="538" spans="15:15" ht="14.25" customHeight="1">
      <c r="O538" s="1"/>
    </row>
    <row r="539" spans="15:15" ht="14.25" customHeight="1">
      <c r="O539" s="1"/>
    </row>
    <row r="540" spans="15:15" ht="14.25" customHeight="1">
      <c r="O540" s="1"/>
    </row>
    <row r="541" spans="15:15" ht="14.25" customHeight="1">
      <c r="O541" s="1"/>
    </row>
    <row r="542" spans="15:15" ht="14.25" customHeight="1">
      <c r="O542" s="1"/>
    </row>
    <row r="543" spans="15:15" ht="14.25" customHeight="1">
      <c r="O543" s="1"/>
    </row>
    <row r="544" spans="15:15" ht="14.25" customHeight="1">
      <c r="O544" s="1"/>
    </row>
    <row r="545" spans="15:15" ht="14.25" customHeight="1">
      <c r="O545" s="1"/>
    </row>
    <row r="546" spans="15:15" ht="14.25" customHeight="1">
      <c r="O546" s="1"/>
    </row>
    <row r="547" spans="15:15" ht="14.25" customHeight="1">
      <c r="O547" s="1"/>
    </row>
    <row r="548" spans="15:15" ht="14.25" customHeight="1">
      <c r="O548" s="1"/>
    </row>
    <row r="549" spans="15:15" ht="14.25" customHeight="1">
      <c r="O549" s="1"/>
    </row>
    <row r="550" spans="15:15" ht="14.25" customHeight="1">
      <c r="O550" s="1"/>
    </row>
    <row r="551" spans="15:15" ht="14.25" customHeight="1">
      <c r="O551" s="1"/>
    </row>
    <row r="552" spans="15:15" ht="14.25" customHeight="1">
      <c r="O552" s="1"/>
    </row>
    <row r="553" spans="15:15" ht="14.25" customHeight="1">
      <c r="O553" s="1"/>
    </row>
    <row r="554" spans="15:15" ht="14.25" customHeight="1">
      <c r="O554" s="1"/>
    </row>
    <row r="555" spans="15:15" ht="14.25" customHeight="1">
      <c r="O555" s="1"/>
    </row>
    <row r="556" spans="15:15" ht="14.25" customHeight="1">
      <c r="O556" s="1"/>
    </row>
    <row r="557" spans="15:15" ht="14.25" customHeight="1">
      <c r="O557" s="1"/>
    </row>
    <row r="558" spans="15:15" ht="14.25" customHeight="1">
      <c r="O558" s="1"/>
    </row>
    <row r="559" spans="15:15" ht="14.25" customHeight="1">
      <c r="O559" s="1"/>
    </row>
    <row r="560" spans="15:15" ht="14.25" customHeight="1">
      <c r="O560" s="1"/>
    </row>
    <row r="561" spans="15:15" ht="14.25" customHeight="1">
      <c r="O561" s="1"/>
    </row>
    <row r="562" spans="15:15" ht="14.25" customHeight="1">
      <c r="O562" s="1"/>
    </row>
    <row r="563" spans="15:15" ht="14.25" customHeight="1">
      <c r="O563" s="1"/>
    </row>
    <row r="564" spans="15:15" ht="14.25" customHeight="1">
      <c r="O564" s="1"/>
    </row>
    <row r="565" spans="15:15" ht="14.25" customHeight="1">
      <c r="O565" s="1"/>
    </row>
    <row r="566" spans="15:15" ht="14.25" customHeight="1">
      <c r="O566" s="1"/>
    </row>
    <row r="567" spans="15:15" ht="14.25" customHeight="1">
      <c r="O567" s="1"/>
    </row>
    <row r="568" spans="15:15" ht="14.25" customHeight="1">
      <c r="O568" s="1"/>
    </row>
    <row r="569" spans="15:15" ht="14.25" customHeight="1">
      <c r="O569" s="1"/>
    </row>
    <row r="570" spans="15:15" ht="14.25" customHeight="1">
      <c r="O570" s="1"/>
    </row>
    <row r="571" spans="15:15" ht="14.25" customHeight="1">
      <c r="O571" s="1"/>
    </row>
    <row r="572" spans="15:15" ht="14.25" customHeight="1">
      <c r="O572" s="1"/>
    </row>
    <row r="573" spans="15:15" ht="14.25" customHeight="1">
      <c r="O573" s="1"/>
    </row>
    <row r="574" spans="15:15" ht="14.25" customHeight="1">
      <c r="O574" s="1"/>
    </row>
    <row r="575" spans="15:15" ht="14.25" customHeight="1">
      <c r="O575" s="1"/>
    </row>
    <row r="576" spans="15:15" ht="14.25" customHeight="1">
      <c r="O576" s="1"/>
    </row>
    <row r="577" spans="15:15" ht="14.25" customHeight="1">
      <c r="O577" s="1"/>
    </row>
    <row r="578" spans="15:15" ht="14.25" customHeight="1">
      <c r="O578" s="1"/>
    </row>
    <row r="579" spans="15:15" ht="14.25" customHeight="1">
      <c r="O579" s="1"/>
    </row>
    <row r="580" spans="15:15" ht="14.25" customHeight="1">
      <c r="O580" s="1"/>
    </row>
    <row r="581" spans="15:15" ht="14.25" customHeight="1">
      <c r="O581" s="1"/>
    </row>
    <row r="582" spans="15:15" ht="14.25" customHeight="1">
      <c r="O582" s="1"/>
    </row>
    <row r="583" spans="15:15" ht="14.25" customHeight="1">
      <c r="O583" s="1"/>
    </row>
    <row r="584" spans="15:15" ht="14.25" customHeight="1">
      <c r="O584" s="1"/>
    </row>
    <row r="585" spans="15:15" ht="14.25" customHeight="1">
      <c r="O585" s="1"/>
    </row>
    <row r="586" spans="15:15" ht="14.25" customHeight="1">
      <c r="O586" s="1"/>
    </row>
    <row r="587" spans="15:15" ht="14.25" customHeight="1">
      <c r="O587" s="1"/>
    </row>
    <row r="588" spans="15:15" ht="14.25" customHeight="1">
      <c r="O588" s="1"/>
    </row>
    <row r="589" spans="15:15" ht="14.25" customHeight="1">
      <c r="O589" s="1"/>
    </row>
    <row r="590" spans="15:15" ht="14.25" customHeight="1">
      <c r="O590" s="1"/>
    </row>
    <row r="591" spans="15:15" ht="14.25" customHeight="1">
      <c r="O591" s="1"/>
    </row>
    <row r="592" spans="15:15" ht="14.25" customHeight="1">
      <c r="O592" s="1"/>
    </row>
    <row r="593" spans="15:15" ht="14.25" customHeight="1">
      <c r="O593" s="1"/>
    </row>
    <row r="594" spans="15:15" ht="14.25" customHeight="1">
      <c r="O594" s="1"/>
    </row>
    <row r="595" spans="15:15" ht="14.25" customHeight="1">
      <c r="O595" s="1"/>
    </row>
    <row r="596" spans="15:15" ht="14.25" customHeight="1">
      <c r="O596" s="1"/>
    </row>
    <row r="597" spans="15:15" ht="14.25" customHeight="1">
      <c r="O597" s="1"/>
    </row>
    <row r="598" spans="15:15" ht="14.25" customHeight="1">
      <c r="O598" s="1"/>
    </row>
    <row r="599" spans="15:15" ht="14.25" customHeight="1">
      <c r="O599" s="1"/>
    </row>
    <row r="600" spans="15:15" ht="14.25" customHeight="1">
      <c r="O600" s="1"/>
    </row>
    <row r="601" spans="15:15" ht="14.25" customHeight="1">
      <c r="O601" s="1"/>
    </row>
    <row r="602" spans="15:15" ht="14.25" customHeight="1">
      <c r="O602" s="1"/>
    </row>
    <row r="603" spans="15:15" ht="14.25" customHeight="1">
      <c r="O603" s="1"/>
    </row>
    <row r="604" spans="15:15" ht="14.25" customHeight="1">
      <c r="O604" s="1"/>
    </row>
    <row r="605" spans="15:15" ht="14.25" customHeight="1">
      <c r="O605" s="1"/>
    </row>
    <row r="606" spans="15:15" ht="14.25" customHeight="1">
      <c r="O606" s="1"/>
    </row>
    <row r="607" spans="15:15" ht="14.25" customHeight="1">
      <c r="O607" s="1"/>
    </row>
    <row r="608" spans="15:15" ht="14.25" customHeight="1">
      <c r="O608" s="1"/>
    </row>
    <row r="609" spans="15:15" ht="14.25" customHeight="1">
      <c r="O609" s="1"/>
    </row>
    <row r="610" spans="15:15" ht="14.25" customHeight="1">
      <c r="O610" s="1"/>
    </row>
    <row r="611" spans="15:15" ht="14.25" customHeight="1">
      <c r="O611" s="1"/>
    </row>
    <row r="612" spans="15:15" ht="14.25" customHeight="1">
      <c r="O612" s="1"/>
    </row>
    <row r="613" spans="15:15" ht="14.25" customHeight="1">
      <c r="O613" s="1"/>
    </row>
    <row r="614" spans="15:15" ht="14.25" customHeight="1">
      <c r="O614" s="1"/>
    </row>
    <row r="615" spans="15:15" ht="14.25" customHeight="1">
      <c r="O615" s="1"/>
    </row>
    <row r="616" spans="15:15" ht="14.25" customHeight="1">
      <c r="O616" s="1"/>
    </row>
    <row r="617" spans="15:15" ht="14.25" customHeight="1">
      <c r="O617" s="1"/>
    </row>
    <row r="618" spans="15:15" ht="14.25" customHeight="1">
      <c r="O618" s="1"/>
    </row>
    <row r="619" spans="15:15" ht="14.25" customHeight="1">
      <c r="O619" s="1"/>
    </row>
    <row r="620" spans="15:15" ht="14.25" customHeight="1">
      <c r="O620" s="1"/>
    </row>
    <row r="621" spans="15:15" ht="14.25" customHeight="1">
      <c r="O621" s="1"/>
    </row>
    <row r="622" spans="15:15" ht="14.25" customHeight="1">
      <c r="O622" s="1"/>
    </row>
    <row r="623" spans="15:15" ht="14.25" customHeight="1">
      <c r="O623" s="1"/>
    </row>
    <row r="624" spans="15:15" ht="14.25" customHeight="1">
      <c r="O624" s="1"/>
    </row>
    <row r="625" spans="15:15" ht="14.25" customHeight="1">
      <c r="O625" s="1"/>
    </row>
    <row r="626" spans="15:15" ht="14.25" customHeight="1">
      <c r="O626" s="1"/>
    </row>
    <row r="627" spans="15:15" ht="14.25" customHeight="1">
      <c r="O627" s="1"/>
    </row>
    <row r="628" spans="15:15" ht="14.25" customHeight="1">
      <c r="O628" s="1"/>
    </row>
    <row r="629" spans="15:15" ht="14.25" customHeight="1">
      <c r="O629" s="1"/>
    </row>
    <row r="630" spans="15:15" ht="14.25" customHeight="1">
      <c r="O630" s="1"/>
    </row>
    <row r="631" spans="15:15" ht="14.25" customHeight="1">
      <c r="O631" s="1"/>
    </row>
    <row r="632" spans="15:15" ht="14.25" customHeight="1">
      <c r="O632" s="1"/>
    </row>
    <row r="633" spans="15:15" ht="14.25" customHeight="1">
      <c r="O633" s="1"/>
    </row>
    <row r="634" spans="15:15" ht="14.25" customHeight="1">
      <c r="O634" s="1"/>
    </row>
    <row r="635" spans="15:15" ht="14.25" customHeight="1">
      <c r="O635" s="1"/>
    </row>
    <row r="636" spans="15:15" ht="14.25" customHeight="1">
      <c r="O636" s="1"/>
    </row>
    <row r="637" spans="15:15" ht="14.25" customHeight="1">
      <c r="O637" s="1"/>
    </row>
    <row r="638" spans="15:15" ht="14.25" customHeight="1">
      <c r="O638" s="1"/>
    </row>
    <row r="639" spans="15:15" ht="14.25" customHeight="1">
      <c r="O639" s="1"/>
    </row>
    <row r="640" spans="15:15" ht="14.25" customHeight="1">
      <c r="O640" s="1"/>
    </row>
    <row r="641" spans="15:15" ht="14.25" customHeight="1">
      <c r="O641" s="1"/>
    </row>
    <row r="642" spans="15:15" ht="14.25" customHeight="1">
      <c r="O642" s="1"/>
    </row>
    <row r="643" spans="15:15" ht="14.25" customHeight="1">
      <c r="O643" s="1"/>
    </row>
    <row r="644" spans="15:15" ht="14.25" customHeight="1">
      <c r="O644" s="1"/>
    </row>
    <row r="645" spans="15:15" ht="14.25" customHeight="1">
      <c r="O645" s="1"/>
    </row>
    <row r="646" spans="15:15" ht="14.25" customHeight="1">
      <c r="O646" s="1"/>
    </row>
    <row r="647" spans="15:15" ht="14.25" customHeight="1">
      <c r="O647" s="1"/>
    </row>
    <row r="648" spans="15:15" ht="14.25" customHeight="1">
      <c r="O648" s="1"/>
    </row>
    <row r="649" spans="15:15" ht="14.25" customHeight="1">
      <c r="O649" s="1"/>
    </row>
    <row r="650" spans="15:15" ht="14.25" customHeight="1">
      <c r="O650" s="1"/>
    </row>
    <row r="651" spans="15:15" ht="14.25" customHeight="1">
      <c r="O651" s="1"/>
    </row>
    <row r="652" spans="15:15" ht="14.25" customHeight="1">
      <c r="O652" s="1"/>
    </row>
    <row r="653" spans="15:15" ht="14.25" customHeight="1">
      <c r="O653" s="1"/>
    </row>
    <row r="654" spans="15:15" ht="14.25" customHeight="1">
      <c r="O654" s="1"/>
    </row>
    <row r="655" spans="15:15" ht="14.25" customHeight="1">
      <c r="O655" s="1"/>
    </row>
    <row r="656" spans="15:15" ht="14.25" customHeight="1">
      <c r="O656" s="1"/>
    </row>
    <row r="657" spans="15:15" ht="14.25" customHeight="1">
      <c r="O657" s="1"/>
    </row>
    <row r="658" spans="15:15" ht="14.25" customHeight="1">
      <c r="O658" s="1"/>
    </row>
    <row r="659" spans="15:15" ht="14.25" customHeight="1">
      <c r="O659" s="1"/>
    </row>
    <row r="660" spans="15:15" ht="14.25" customHeight="1">
      <c r="O660" s="1"/>
    </row>
    <row r="661" spans="15:15" ht="14.25" customHeight="1">
      <c r="O661" s="1"/>
    </row>
    <row r="662" spans="15:15" ht="14.25" customHeight="1">
      <c r="O662" s="1"/>
    </row>
    <row r="663" spans="15:15" ht="14.25" customHeight="1">
      <c r="O663" s="1"/>
    </row>
    <row r="664" spans="15:15" ht="14.25" customHeight="1">
      <c r="O664" s="1"/>
    </row>
    <row r="665" spans="15:15" ht="14.25" customHeight="1">
      <c r="O665" s="1"/>
    </row>
    <row r="666" spans="15:15" ht="14.25" customHeight="1">
      <c r="O666" s="1"/>
    </row>
    <row r="667" spans="15:15" ht="14.25" customHeight="1">
      <c r="O667" s="1"/>
    </row>
    <row r="668" spans="15:15" ht="14.25" customHeight="1">
      <c r="O668" s="1"/>
    </row>
    <row r="669" spans="15:15" ht="14.25" customHeight="1">
      <c r="O669" s="1"/>
    </row>
    <row r="670" spans="15:15" ht="14.25" customHeight="1">
      <c r="O670" s="1"/>
    </row>
    <row r="671" spans="15:15" ht="14.25" customHeight="1">
      <c r="O671" s="1"/>
    </row>
    <row r="672" spans="15:15" ht="14.25" customHeight="1">
      <c r="O672" s="1"/>
    </row>
    <row r="673" spans="15:15" ht="14.25" customHeight="1">
      <c r="O673" s="1"/>
    </row>
    <row r="674" spans="15:15" ht="14.25" customHeight="1">
      <c r="O674" s="1"/>
    </row>
    <row r="675" spans="15:15" ht="14.25" customHeight="1">
      <c r="O675" s="1"/>
    </row>
    <row r="676" spans="15:15" ht="14.25" customHeight="1">
      <c r="O676" s="1"/>
    </row>
    <row r="677" spans="15:15" ht="14.25" customHeight="1">
      <c r="O677" s="1"/>
    </row>
    <row r="678" spans="15:15" ht="14.25" customHeight="1">
      <c r="O678" s="1"/>
    </row>
    <row r="679" spans="15:15" ht="14.25" customHeight="1">
      <c r="O679" s="1"/>
    </row>
    <row r="680" spans="15:15" ht="14.25" customHeight="1">
      <c r="O680" s="1"/>
    </row>
    <row r="681" spans="15:15" ht="14.25" customHeight="1">
      <c r="O681" s="1"/>
    </row>
    <row r="682" spans="15:15" ht="14.25" customHeight="1">
      <c r="O682" s="1"/>
    </row>
    <row r="683" spans="15:15" ht="14.25" customHeight="1">
      <c r="O683" s="1"/>
    </row>
    <row r="684" spans="15:15" ht="14.25" customHeight="1">
      <c r="O684" s="1"/>
    </row>
    <row r="685" spans="15:15" ht="14.25" customHeight="1">
      <c r="O685" s="1"/>
    </row>
    <row r="686" spans="15:15" ht="14.25" customHeight="1">
      <c r="O686" s="1"/>
    </row>
    <row r="687" spans="15:15" ht="14.25" customHeight="1">
      <c r="O687" s="1"/>
    </row>
    <row r="688" spans="15:15" ht="14.25" customHeight="1">
      <c r="O688" s="1"/>
    </row>
    <row r="689" spans="15:15" ht="14.25" customHeight="1">
      <c r="O689" s="1"/>
    </row>
    <row r="690" spans="15:15" ht="14.25" customHeight="1">
      <c r="O690" s="1"/>
    </row>
    <row r="691" spans="15:15" ht="14.25" customHeight="1">
      <c r="O691" s="1"/>
    </row>
    <row r="692" spans="15:15" ht="14.25" customHeight="1">
      <c r="O692" s="1"/>
    </row>
    <row r="693" spans="15:15" ht="14.25" customHeight="1">
      <c r="O693" s="1"/>
    </row>
    <row r="694" spans="15:15" ht="14.25" customHeight="1">
      <c r="O694" s="1"/>
    </row>
    <row r="695" spans="15:15" ht="14.25" customHeight="1">
      <c r="O695" s="1"/>
    </row>
    <row r="696" spans="15:15" ht="14.25" customHeight="1">
      <c r="O696" s="1"/>
    </row>
    <row r="697" spans="15:15" ht="14.25" customHeight="1">
      <c r="O697" s="1"/>
    </row>
    <row r="698" spans="15:15" ht="14.25" customHeight="1">
      <c r="O698" s="1"/>
    </row>
    <row r="699" spans="15:15" ht="14.25" customHeight="1">
      <c r="O699" s="1"/>
    </row>
    <row r="700" spans="15:15" ht="14.25" customHeight="1">
      <c r="O700" s="1"/>
    </row>
    <row r="701" spans="15:15" ht="14.25" customHeight="1">
      <c r="O701" s="1"/>
    </row>
    <row r="702" spans="15:15" ht="14.25" customHeight="1">
      <c r="O702" s="1"/>
    </row>
    <row r="703" spans="15:15" ht="14.25" customHeight="1">
      <c r="O703" s="1"/>
    </row>
    <row r="704" spans="15:15" ht="14.25" customHeight="1">
      <c r="O704" s="1"/>
    </row>
    <row r="705" spans="15:15" ht="14.25" customHeight="1">
      <c r="O705" s="1"/>
    </row>
    <row r="706" spans="15:15" ht="14.25" customHeight="1">
      <c r="O706" s="1"/>
    </row>
    <row r="707" spans="15:15" ht="14.25" customHeight="1">
      <c r="O707" s="1"/>
    </row>
    <row r="708" spans="15:15" ht="14.25" customHeight="1">
      <c r="O708" s="1"/>
    </row>
    <row r="709" spans="15:15" ht="14.25" customHeight="1">
      <c r="O709" s="1"/>
    </row>
    <row r="710" spans="15:15" ht="14.25" customHeight="1">
      <c r="O710" s="1"/>
    </row>
    <row r="711" spans="15:15" ht="14.25" customHeight="1">
      <c r="O711" s="1"/>
    </row>
    <row r="712" spans="15:15" ht="14.25" customHeight="1">
      <c r="O712" s="1"/>
    </row>
    <row r="713" spans="15:15" ht="14.25" customHeight="1">
      <c r="O713" s="1"/>
    </row>
    <row r="714" spans="15:15" ht="14.25" customHeight="1">
      <c r="O714" s="1"/>
    </row>
    <row r="715" spans="15:15" ht="14.25" customHeight="1">
      <c r="O715" s="1"/>
    </row>
    <row r="716" spans="15:15" ht="14.25" customHeight="1">
      <c r="O716" s="1"/>
    </row>
    <row r="717" spans="15:15" ht="14.25" customHeight="1">
      <c r="O717" s="1"/>
    </row>
    <row r="718" spans="15:15" ht="14.25" customHeight="1">
      <c r="O718" s="1"/>
    </row>
    <row r="719" spans="15:15" ht="14.25" customHeight="1">
      <c r="O719" s="1"/>
    </row>
    <row r="720" spans="15:15" ht="14.25" customHeight="1">
      <c r="O720" s="1"/>
    </row>
    <row r="721" spans="15:15" ht="14.25" customHeight="1">
      <c r="O721" s="1"/>
    </row>
    <row r="722" spans="15:15" ht="14.25" customHeight="1">
      <c r="O722" s="1"/>
    </row>
    <row r="723" spans="15:15" ht="14.25" customHeight="1">
      <c r="O723" s="1"/>
    </row>
    <row r="724" spans="15:15" ht="14.25" customHeight="1">
      <c r="O724" s="1"/>
    </row>
    <row r="725" spans="15:15" ht="14.25" customHeight="1">
      <c r="O725" s="1"/>
    </row>
    <row r="726" spans="15:15" ht="14.25" customHeight="1">
      <c r="O726" s="1"/>
    </row>
    <row r="727" spans="15:15" ht="14.25" customHeight="1">
      <c r="O727" s="1"/>
    </row>
    <row r="728" spans="15:15" ht="14.25" customHeight="1">
      <c r="O728" s="1"/>
    </row>
    <row r="729" spans="15:15" ht="14.25" customHeight="1">
      <c r="O729" s="1"/>
    </row>
    <row r="730" spans="15:15" ht="14.25" customHeight="1">
      <c r="O730" s="1"/>
    </row>
    <row r="731" spans="15:15" ht="14.25" customHeight="1">
      <c r="O731" s="1"/>
    </row>
    <row r="732" spans="15:15" ht="14.25" customHeight="1">
      <c r="O732" s="1"/>
    </row>
    <row r="733" spans="15:15" ht="14.25" customHeight="1">
      <c r="O733" s="1"/>
    </row>
    <row r="734" spans="15:15" ht="14.25" customHeight="1">
      <c r="O734" s="1"/>
    </row>
    <row r="735" spans="15:15" ht="14.25" customHeight="1">
      <c r="O735" s="1"/>
    </row>
    <row r="736" spans="15:15" ht="14.25" customHeight="1">
      <c r="O736" s="1"/>
    </row>
    <row r="737" spans="15:15" ht="14.25" customHeight="1">
      <c r="O737" s="1"/>
    </row>
    <row r="738" spans="15:15" ht="14.25" customHeight="1">
      <c r="O738" s="1"/>
    </row>
    <row r="739" spans="15:15" ht="14.25" customHeight="1">
      <c r="O739" s="1"/>
    </row>
    <row r="740" spans="15:15" ht="14.25" customHeight="1">
      <c r="O740" s="1"/>
    </row>
    <row r="741" spans="15:15" ht="14.25" customHeight="1">
      <c r="O741" s="1"/>
    </row>
    <row r="742" spans="15:15" ht="14.25" customHeight="1">
      <c r="O742" s="1"/>
    </row>
    <row r="743" spans="15:15" ht="14.25" customHeight="1">
      <c r="O743" s="1"/>
    </row>
    <row r="744" spans="15:15" ht="14.25" customHeight="1">
      <c r="O744" s="1"/>
    </row>
    <row r="745" spans="15:15" ht="14.25" customHeight="1">
      <c r="O745" s="1"/>
    </row>
    <row r="746" spans="15:15" ht="14.25" customHeight="1">
      <c r="O746" s="1"/>
    </row>
    <row r="747" spans="15:15" ht="14.25" customHeight="1">
      <c r="O747" s="1"/>
    </row>
    <row r="748" spans="15:15" ht="14.25" customHeight="1">
      <c r="O748" s="1"/>
    </row>
    <row r="749" spans="15:15" ht="14.25" customHeight="1">
      <c r="O749" s="1"/>
    </row>
    <row r="750" spans="15:15" ht="14.25" customHeight="1">
      <c r="O750" s="1"/>
    </row>
    <row r="751" spans="15:15" ht="14.25" customHeight="1">
      <c r="O751" s="1"/>
    </row>
    <row r="752" spans="15:15" ht="14.25" customHeight="1">
      <c r="O752" s="1"/>
    </row>
    <row r="753" spans="15:15" ht="14.25" customHeight="1">
      <c r="O753" s="1"/>
    </row>
    <row r="754" spans="15:15" ht="14.25" customHeight="1">
      <c r="O754" s="1"/>
    </row>
    <row r="755" spans="15:15" ht="14.25" customHeight="1">
      <c r="O755" s="1"/>
    </row>
    <row r="756" spans="15:15" ht="14.25" customHeight="1">
      <c r="O756" s="1"/>
    </row>
    <row r="757" spans="15:15" ht="14.25" customHeight="1">
      <c r="O757" s="1"/>
    </row>
    <row r="758" spans="15:15" ht="14.25" customHeight="1">
      <c r="O758" s="1"/>
    </row>
    <row r="759" spans="15:15" ht="14.25" customHeight="1">
      <c r="O759" s="1"/>
    </row>
    <row r="760" spans="15:15" ht="14.25" customHeight="1">
      <c r="O760" s="1"/>
    </row>
    <row r="761" spans="15:15" ht="14.25" customHeight="1">
      <c r="O761" s="1"/>
    </row>
    <row r="762" spans="15:15" ht="14.25" customHeight="1">
      <c r="O762" s="1"/>
    </row>
    <row r="763" spans="15:15" ht="14.25" customHeight="1">
      <c r="O763" s="1"/>
    </row>
    <row r="764" spans="15:15" ht="14.25" customHeight="1">
      <c r="O764" s="1"/>
    </row>
    <row r="765" spans="15:15" ht="14.25" customHeight="1">
      <c r="O765" s="1"/>
    </row>
    <row r="766" spans="15:15" ht="14.25" customHeight="1">
      <c r="O766" s="1"/>
    </row>
    <row r="767" spans="15:15" ht="14.25" customHeight="1">
      <c r="O767" s="1"/>
    </row>
    <row r="768" spans="15:15" ht="14.25" customHeight="1">
      <c r="O768" s="1"/>
    </row>
    <row r="769" spans="15:15" ht="14.25" customHeight="1">
      <c r="O769" s="1"/>
    </row>
    <row r="770" spans="15:15" ht="14.25" customHeight="1">
      <c r="O770" s="1"/>
    </row>
    <row r="771" spans="15:15" ht="14.25" customHeight="1">
      <c r="O771" s="1"/>
    </row>
    <row r="772" spans="15:15" ht="14.25" customHeight="1">
      <c r="O772" s="1"/>
    </row>
    <row r="773" spans="15:15" ht="14.25" customHeight="1">
      <c r="O773" s="1"/>
    </row>
    <row r="774" spans="15:15" ht="14.25" customHeight="1">
      <c r="O774" s="1"/>
    </row>
    <row r="775" spans="15:15" ht="14.25" customHeight="1">
      <c r="O775" s="1"/>
    </row>
    <row r="776" spans="15:15" ht="14.25" customHeight="1">
      <c r="O776" s="1"/>
    </row>
    <row r="777" spans="15:15" ht="14.25" customHeight="1">
      <c r="O777" s="1"/>
    </row>
    <row r="778" spans="15:15" ht="14.25" customHeight="1">
      <c r="O778" s="1"/>
    </row>
    <row r="779" spans="15:15" ht="14.25" customHeight="1">
      <c r="O779" s="1"/>
    </row>
    <row r="780" spans="15:15" ht="14.25" customHeight="1">
      <c r="O780" s="1"/>
    </row>
    <row r="781" spans="15:15" ht="14.25" customHeight="1">
      <c r="O781" s="1"/>
    </row>
    <row r="782" spans="15:15" ht="14.25" customHeight="1">
      <c r="O782" s="1"/>
    </row>
    <row r="783" spans="15:15" ht="14.25" customHeight="1">
      <c r="O783" s="1"/>
    </row>
    <row r="784" spans="15:15" ht="14.25" customHeight="1">
      <c r="O784" s="1"/>
    </row>
    <row r="785" spans="15:15" ht="14.25" customHeight="1">
      <c r="O785" s="1"/>
    </row>
    <row r="786" spans="15:15" ht="14.25" customHeight="1">
      <c r="O786" s="1"/>
    </row>
    <row r="787" spans="15:15" ht="14.25" customHeight="1">
      <c r="O787" s="1"/>
    </row>
    <row r="788" spans="15:15" ht="14.25" customHeight="1">
      <c r="O788" s="1"/>
    </row>
    <row r="789" spans="15:15" ht="14.25" customHeight="1">
      <c r="O789" s="1"/>
    </row>
    <row r="790" spans="15:15" ht="14.25" customHeight="1">
      <c r="O790" s="1"/>
    </row>
    <row r="791" spans="15:15" ht="14.25" customHeight="1">
      <c r="O791" s="1"/>
    </row>
    <row r="792" spans="15:15" ht="14.25" customHeight="1">
      <c r="O792" s="1"/>
    </row>
    <row r="793" spans="15:15" ht="14.25" customHeight="1">
      <c r="O793" s="1"/>
    </row>
    <row r="794" spans="15:15" ht="14.25" customHeight="1">
      <c r="O794" s="1"/>
    </row>
    <row r="795" spans="15:15" ht="14.25" customHeight="1">
      <c r="O795" s="1"/>
    </row>
    <row r="796" spans="15:15" ht="14.25" customHeight="1">
      <c r="O796" s="1"/>
    </row>
    <row r="797" spans="15:15" ht="14.25" customHeight="1">
      <c r="O797" s="1"/>
    </row>
    <row r="798" spans="15:15" ht="14.25" customHeight="1">
      <c r="O798" s="1"/>
    </row>
    <row r="799" spans="15:15" ht="14.25" customHeight="1">
      <c r="O799" s="1"/>
    </row>
    <row r="800" spans="15:15" ht="14.25" customHeight="1">
      <c r="O800" s="1"/>
    </row>
    <row r="801" spans="15:15" ht="14.25" customHeight="1">
      <c r="O801" s="1"/>
    </row>
    <row r="802" spans="15:15" ht="14.25" customHeight="1">
      <c r="O802" s="1"/>
    </row>
    <row r="803" spans="15:15" ht="14.25" customHeight="1">
      <c r="O803" s="1"/>
    </row>
    <row r="804" spans="15:15" ht="14.25" customHeight="1">
      <c r="O804" s="1"/>
    </row>
    <row r="805" spans="15:15" ht="14.25" customHeight="1">
      <c r="O805" s="1"/>
    </row>
    <row r="806" spans="15:15" ht="14.25" customHeight="1">
      <c r="O806" s="1"/>
    </row>
    <row r="807" spans="15:15" ht="14.25" customHeight="1">
      <c r="O807" s="1"/>
    </row>
    <row r="808" spans="15:15" ht="14.25" customHeight="1">
      <c r="O808" s="1"/>
    </row>
    <row r="809" spans="15:15" ht="14.25" customHeight="1">
      <c r="O809" s="1"/>
    </row>
    <row r="810" spans="15:15" ht="14.25" customHeight="1">
      <c r="O810" s="1"/>
    </row>
    <row r="811" spans="15:15" ht="14.25" customHeight="1">
      <c r="O811" s="1"/>
    </row>
    <row r="812" spans="15:15" ht="14.25" customHeight="1">
      <c r="O812" s="1"/>
    </row>
    <row r="813" spans="15:15" ht="14.25" customHeight="1">
      <c r="O813" s="1"/>
    </row>
    <row r="814" spans="15:15" ht="14.25" customHeight="1">
      <c r="O814" s="1"/>
    </row>
    <row r="815" spans="15:15" ht="14.25" customHeight="1">
      <c r="O815" s="1"/>
    </row>
    <row r="816" spans="15:15" ht="14.25" customHeight="1">
      <c r="O816" s="1"/>
    </row>
    <row r="817" spans="15:15" ht="14.25" customHeight="1">
      <c r="O817" s="1"/>
    </row>
    <row r="818" spans="15:15" ht="14.25" customHeight="1">
      <c r="O818" s="1"/>
    </row>
    <row r="819" spans="15:15" ht="14.25" customHeight="1">
      <c r="O819" s="1"/>
    </row>
    <row r="820" spans="15:15" ht="14.25" customHeight="1">
      <c r="O820" s="1"/>
    </row>
    <row r="821" spans="15:15" ht="14.25" customHeight="1">
      <c r="O821" s="1"/>
    </row>
    <row r="822" spans="15:15" ht="14.25" customHeight="1">
      <c r="O822" s="1"/>
    </row>
    <row r="823" spans="15:15" ht="14.25" customHeight="1">
      <c r="O823" s="1"/>
    </row>
    <row r="824" spans="15:15" ht="14.25" customHeight="1">
      <c r="O824" s="1"/>
    </row>
    <row r="825" spans="15:15" ht="14.25" customHeight="1">
      <c r="O825" s="1"/>
    </row>
    <row r="826" spans="15:15" ht="14.25" customHeight="1">
      <c r="O826" s="1"/>
    </row>
    <row r="827" spans="15:15" ht="14.25" customHeight="1">
      <c r="O827" s="1"/>
    </row>
    <row r="828" spans="15:15" ht="14.25" customHeight="1">
      <c r="O828" s="1"/>
    </row>
    <row r="829" spans="15:15" ht="14.25" customHeight="1">
      <c r="O829" s="1"/>
    </row>
    <row r="830" spans="15:15" ht="14.25" customHeight="1">
      <c r="O830" s="1"/>
    </row>
    <row r="831" spans="15:15" ht="14.25" customHeight="1">
      <c r="O831" s="1"/>
    </row>
    <row r="832" spans="15:15" ht="14.25" customHeight="1">
      <c r="O832" s="1"/>
    </row>
    <row r="833" spans="15:15" ht="14.25" customHeight="1">
      <c r="O833" s="1"/>
    </row>
    <row r="834" spans="15:15" ht="14.25" customHeight="1">
      <c r="O834" s="1"/>
    </row>
    <row r="835" spans="15:15" ht="14.25" customHeight="1">
      <c r="O835" s="1"/>
    </row>
    <row r="836" spans="15:15" ht="14.25" customHeight="1">
      <c r="O836" s="1"/>
    </row>
    <row r="837" spans="15:15" ht="14.25" customHeight="1">
      <c r="O837" s="1"/>
    </row>
    <row r="838" spans="15:15" ht="14.25" customHeight="1">
      <c r="O838" s="1"/>
    </row>
    <row r="839" spans="15:15" ht="14.25" customHeight="1">
      <c r="O839" s="1"/>
    </row>
    <row r="840" spans="15:15" ht="14.25" customHeight="1">
      <c r="O840" s="1"/>
    </row>
    <row r="841" spans="15:15" ht="14.25" customHeight="1">
      <c r="O841" s="1"/>
    </row>
    <row r="842" spans="15:15" ht="14.25" customHeight="1">
      <c r="O842" s="1"/>
    </row>
    <row r="843" spans="15:15" ht="14.25" customHeight="1">
      <c r="O843" s="1"/>
    </row>
    <row r="844" spans="15:15" ht="14.25" customHeight="1">
      <c r="O844" s="1"/>
    </row>
    <row r="845" spans="15:15" ht="14.25" customHeight="1">
      <c r="O845" s="1"/>
    </row>
    <row r="846" spans="15:15" ht="14.25" customHeight="1">
      <c r="O846" s="1"/>
    </row>
    <row r="847" spans="15:15" ht="14.25" customHeight="1">
      <c r="O847" s="1"/>
    </row>
    <row r="848" spans="15:15" ht="14.25" customHeight="1">
      <c r="O848" s="1"/>
    </row>
    <row r="849" spans="15:15" ht="14.25" customHeight="1">
      <c r="O849" s="1"/>
    </row>
    <row r="850" spans="15:15" ht="14.25" customHeight="1">
      <c r="O850" s="1"/>
    </row>
    <row r="851" spans="15:15" ht="14.25" customHeight="1">
      <c r="O851" s="1"/>
    </row>
    <row r="852" spans="15:15" ht="14.25" customHeight="1">
      <c r="O852" s="1"/>
    </row>
    <row r="853" spans="15:15" ht="14.25" customHeight="1">
      <c r="O853" s="1"/>
    </row>
    <row r="854" spans="15:15" ht="14.25" customHeight="1">
      <c r="O854" s="1"/>
    </row>
    <row r="855" spans="15:15" ht="14.25" customHeight="1">
      <c r="O855" s="1"/>
    </row>
    <row r="856" spans="15:15" ht="14.25" customHeight="1">
      <c r="O856" s="1"/>
    </row>
    <row r="857" spans="15:15" ht="14.25" customHeight="1">
      <c r="O857" s="1"/>
    </row>
    <row r="858" spans="15:15" ht="14.25" customHeight="1">
      <c r="O858" s="1"/>
    </row>
    <row r="859" spans="15:15" ht="14.25" customHeight="1">
      <c r="O859" s="1"/>
    </row>
    <row r="860" spans="15:15" ht="14.25" customHeight="1">
      <c r="O860" s="1"/>
    </row>
    <row r="861" spans="15:15" ht="14.25" customHeight="1">
      <c r="O861" s="1"/>
    </row>
    <row r="862" spans="15:15" ht="14.25" customHeight="1">
      <c r="O862" s="1"/>
    </row>
    <row r="863" spans="15:15" ht="14.25" customHeight="1">
      <c r="O863" s="1"/>
    </row>
    <row r="864" spans="15:15" ht="14.25" customHeight="1">
      <c r="O864" s="1"/>
    </row>
    <row r="865" spans="15:15" ht="14.25" customHeight="1">
      <c r="O865" s="1"/>
    </row>
    <row r="866" spans="15:15" ht="14.25" customHeight="1">
      <c r="O866" s="1"/>
    </row>
    <row r="867" spans="15:15" ht="14.25" customHeight="1">
      <c r="O867" s="1"/>
    </row>
    <row r="868" spans="15:15" ht="14.25" customHeight="1">
      <c r="O868" s="1"/>
    </row>
    <row r="869" spans="15:15" ht="14.25" customHeight="1">
      <c r="O869" s="1"/>
    </row>
    <row r="870" spans="15:15" ht="14.25" customHeight="1">
      <c r="O870" s="1"/>
    </row>
    <row r="871" spans="15:15" ht="14.25" customHeight="1">
      <c r="O871" s="1"/>
    </row>
    <row r="872" spans="15:15" ht="14.25" customHeight="1">
      <c r="O872" s="1"/>
    </row>
    <row r="873" spans="15:15" ht="14.25" customHeight="1">
      <c r="O873" s="1"/>
    </row>
    <row r="874" spans="15:15" ht="14.25" customHeight="1">
      <c r="O874" s="1"/>
    </row>
    <row r="875" spans="15:15" ht="14.25" customHeight="1">
      <c r="O875" s="1"/>
    </row>
    <row r="876" spans="15:15" ht="14.25" customHeight="1">
      <c r="O876" s="1"/>
    </row>
    <row r="877" spans="15:15" ht="14.25" customHeight="1">
      <c r="O877" s="1"/>
    </row>
    <row r="878" spans="15:15" ht="14.25" customHeight="1">
      <c r="O878" s="1"/>
    </row>
    <row r="879" spans="15:15" ht="14.25" customHeight="1">
      <c r="O879" s="1"/>
    </row>
    <row r="880" spans="15:15" ht="14.25" customHeight="1">
      <c r="O880" s="1"/>
    </row>
    <row r="881" spans="15:15" ht="14.25" customHeight="1">
      <c r="O881" s="1"/>
    </row>
    <row r="882" spans="15:15" ht="14.25" customHeight="1">
      <c r="O882" s="1"/>
    </row>
    <row r="883" spans="15:15" ht="14.25" customHeight="1">
      <c r="O883" s="1"/>
    </row>
    <row r="884" spans="15:15" ht="14.25" customHeight="1">
      <c r="O884" s="1"/>
    </row>
    <row r="885" spans="15:15" ht="14.25" customHeight="1">
      <c r="O885" s="1"/>
    </row>
    <row r="886" spans="15:15" ht="14.25" customHeight="1">
      <c r="O886" s="1"/>
    </row>
    <row r="887" spans="15:15" ht="14.25" customHeight="1">
      <c r="O887" s="1"/>
    </row>
    <row r="888" spans="15:15" ht="14.25" customHeight="1">
      <c r="O888" s="1"/>
    </row>
    <row r="889" spans="15:15" ht="14.25" customHeight="1">
      <c r="O889" s="1"/>
    </row>
    <row r="890" spans="15:15" ht="14.25" customHeight="1">
      <c r="O890" s="1"/>
    </row>
    <row r="891" spans="15:15" ht="14.25" customHeight="1">
      <c r="O891" s="1"/>
    </row>
    <row r="892" spans="15:15" ht="14.25" customHeight="1">
      <c r="O892" s="1"/>
    </row>
    <row r="893" spans="15:15" ht="14.25" customHeight="1">
      <c r="O893" s="1"/>
    </row>
    <row r="894" spans="15:15" ht="14.25" customHeight="1">
      <c r="O894" s="1"/>
    </row>
    <row r="895" spans="15:15" ht="14.25" customHeight="1">
      <c r="O895" s="1"/>
    </row>
    <row r="896" spans="15:15" ht="14.25" customHeight="1">
      <c r="O896" s="1"/>
    </row>
    <row r="897" spans="15:15" ht="14.25" customHeight="1">
      <c r="O897" s="1"/>
    </row>
    <row r="898" spans="15:15" ht="14.25" customHeight="1">
      <c r="O898" s="1"/>
    </row>
    <row r="899" spans="15:15" ht="14.25" customHeight="1">
      <c r="O899" s="1"/>
    </row>
    <row r="900" spans="15:15" ht="14.25" customHeight="1">
      <c r="O900" s="1"/>
    </row>
    <row r="901" spans="15:15" ht="14.25" customHeight="1">
      <c r="O901" s="1"/>
    </row>
    <row r="902" spans="15:15" ht="14.25" customHeight="1">
      <c r="O902" s="1"/>
    </row>
    <row r="903" spans="15:15" ht="14.25" customHeight="1">
      <c r="O903" s="1"/>
    </row>
    <row r="904" spans="15:15" ht="14.25" customHeight="1">
      <c r="O904" s="1"/>
    </row>
    <row r="905" spans="15:15" ht="14.25" customHeight="1">
      <c r="O905" s="1"/>
    </row>
    <row r="906" spans="15:15" ht="14.25" customHeight="1">
      <c r="O906" s="1"/>
    </row>
    <row r="907" spans="15:15" ht="14.25" customHeight="1">
      <c r="O907" s="1"/>
    </row>
    <row r="908" spans="15:15" ht="14.25" customHeight="1">
      <c r="O908" s="1"/>
    </row>
    <row r="909" spans="15:15" ht="14.25" customHeight="1">
      <c r="O909" s="1"/>
    </row>
    <row r="910" spans="15:15" ht="14.25" customHeight="1">
      <c r="O910" s="1"/>
    </row>
    <row r="911" spans="15:15" ht="14.25" customHeight="1">
      <c r="O911" s="1"/>
    </row>
    <row r="912" spans="15:15" ht="14.25" customHeight="1">
      <c r="O912" s="1"/>
    </row>
    <row r="913" spans="15:15" ht="14.25" customHeight="1">
      <c r="O913" s="1"/>
    </row>
    <row r="914" spans="15:15" ht="14.25" customHeight="1">
      <c r="O914" s="1"/>
    </row>
    <row r="915" spans="15:15" ht="14.25" customHeight="1">
      <c r="O915" s="1"/>
    </row>
    <row r="916" spans="15:15" ht="14.25" customHeight="1">
      <c r="O916" s="1"/>
    </row>
    <row r="917" spans="15:15" ht="14.25" customHeight="1">
      <c r="O917" s="1"/>
    </row>
    <row r="918" spans="15:15" ht="14.25" customHeight="1">
      <c r="O918" s="1"/>
    </row>
    <row r="919" spans="15:15" ht="14.25" customHeight="1">
      <c r="O919" s="1"/>
    </row>
    <row r="920" spans="15:15" ht="14.25" customHeight="1">
      <c r="O920" s="1"/>
    </row>
    <row r="921" spans="15:15" ht="14.25" customHeight="1">
      <c r="O921" s="1"/>
    </row>
    <row r="922" spans="15:15" ht="14.25" customHeight="1">
      <c r="O922" s="1"/>
    </row>
    <row r="923" spans="15:15" ht="14.25" customHeight="1">
      <c r="O923" s="1"/>
    </row>
    <row r="924" spans="15:15" ht="14.25" customHeight="1">
      <c r="O924" s="1"/>
    </row>
    <row r="925" spans="15:15" ht="14.25" customHeight="1">
      <c r="O925" s="1"/>
    </row>
    <row r="926" spans="15:15" ht="14.25" customHeight="1">
      <c r="O926" s="1"/>
    </row>
    <row r="927" spans="15:15" ht="14.25" customHeight="1">
      <c r="O927" s="1"/>
    </row>
    <row r="928" spans="15:15" ht="14.25" customHeight="1">
      <c r="O928" s="1"/>
    </row>
    <row r="929" spans="15:15" ht="14.25" customHeight="1">
      <c r="O929" s="1"/>
    </row>
    <row r="930" spans="15:15" ht="14.25" customHeight="1">
      <c r="O930" s="1"/>
    </row>
    <row r="931" spans="15:15" ht="14.25" customHeight="1">
      <c r="O931" s="1"/>
    </row>
    <row r="932" spans="15:15" ht="14.25" customHeight="1">
      <c r="O932" s="1"/>
    </row>
    <row r="933" spans="15:15" ht="14.25" customHeight="1">
      <c r="O933" s="1"/>
    </row>
    <row r="934" spans="15:15" ht="14.25" customHeight="1">
      <c r="O934" s="1"/>
    </row>
    <row r="935" spans="15:15" ht="14.25" customHeight="1">
      <c r="O935" s="1"/>
    </row>
    <row r="936" spans="15:15" ht="14.25" customHeight="1">
      <c r="O936" s="1"/>
    </row>
    <row r="937" spans="15:15" ht="14.25" customHeight="1">
      <c r="O937" s="1"/>
    </row>
    <row r="938" spans="15:15" ht="14.25" customHeight="1">
      <c r="O938" s="1"/>
    </row>
    <row r="939" spans="15:15" ht="14.25" customHeight="1">
      <c r="O939" s="1"/>
    </row>
    <row r="940" spans="15:15" ht="14.25" customHeight="1">
      <c r="O940" s="1"/>
    </row>
    <row r="941" spans="15:15" ht="14.25" customHeight="1">
      <c r="O941" s="1"/>
    </row>
    <row r="942" spans="15:15" ht="14.25" customHeight="1">
      <c r="O942" s="1"/>
    </row>
    <row r="943" spans="15:15" ht="14.25" customHeight="1">
      <c r="O943" s="1"/>
    </row>
    <row r="944" spans="15:15" ht="14.25" customHeight="1">
      <c r="O944" s="1"/>
    </row>
    <row r="945" spans="15:15" ht="14.25" customHeight="1">
      <c r="O945" s="1"/>
    </row>
    <row r="946" spans="15:15" ht="14.25" customHeight="1">
      <c r="O946" s="1"/>
    </row>
    <row r="947" spans="15:15" ht="14.25" customHeight="1">
      <c r="O947" s="1"/>
    </row>
    <row r="948" spans="15:15" ht="14.25" customHeight="1">
      <c r="O948" s="1"/>
    </row>
    <row r="949" spans="15:15" ht="14.25" customHeight="1">
      <c r="O949" s="1"/>
    </row>
    <row r="950" spans="15:15" ht="14.25" customHeight="1">
      <c r="O950" s="1"/>
    </row>
    <row r="951" spans="15:15" ht="14.25" customHeight="1">
      <c r="O951" s="1"/>
    </row>
    <row r="952" spans="15:15" ht="14.25" customHeight="1">
      <c r="O952" s="1"/>
    </row>
    <row r="953" spans="15:15" ht="14.25" customHeight="1">
      <c r="O953" s="1"/>
    </row>
    <row r="954" spans="15:15" ht="14.25" customHeight="1">
      <c r="O954" s="1"/>
    </row>
    <row r="955" spans="15:15" ht="14.25" customHeight="1">
      <c r="O955" s="1"/>
    </row>
    <row r="956" spans="15:15" ht="14.25" customHeight="1">
      <c r="O956" s="1"/>
    </row>
    <row r="957" spans="15:15" ht="14.25" customHeight="1">
      <c r="O957" s="1"/>
    </row>
    <row r="958" spans="15:15" ht="14.25" customHeight="1">
      <c r="O958" s="1"/>
    </row>
    <row r="959" spans="15:15" ht="14.25" customHeight="1">
      <c r="O959" s="1"/>
    </row>
    <row r="960" spans="15:15" ht="14.25" customHeight="1">
      <c r="O960" s="1"/>
    </row>
    <row r="961" spans="15:15" ht="14.25" customHeight="1">
      <c r="O961" s="1"/>
    </row>
    <row r="962" spans="15:15" ht="14.25" customHeight="1">
      <c r="O962" s="1"/>
    </row>
    <row r="963" spans="15:15" ht="14.25" customHeight="1">
      <c r="O963" s="1"/>
    </row>
    <row r="964" spans="15:15" ht="14.25" customHeight="1">
      <c r="O964" s="1"/>
    </row>
    <row r="965" spans="15:15" ht="14.25" customHeight="1">
      <c r="O965" s="1"/>
    </row>
    <row r="966" spans="15:15" ht="14.25" customHeight="1">
      <c r="O966" s="1"/>
    </row>
    <row r="967" spans="15:15" ht="14.25" customHeight="1">
      <c r="O967" s="1"/>
    </row>
    <row r="968" spans="15:15" ht="14.25" customHeight="1">
      <c r="O968" s="1"/>
    </row>
    <row r="969" spans="15:15" ht="14.25" customHeight="1">
      <c r="O969" s="1"/>
    </row>
    <row r="970" spans="15:15" ht="14.25" customHeight="1">
      <c r="O970" s="1"/>
    </row>
    <row r="971" spans="15:15" ht="14.25" customHeight="1">
      <c r="O971" s="1"/>
    </row>
    <row r="972" spans="15:15" ht="14.25" customHeight="1">
      <c r="O972" s="1"/>
    </row>
    <row r="973" spans="15:15" ht="14.25" customHeight="1">
      <c r="O973" s="1"/>
    </row>
    <row r="974" spans="15:15" ht="14.25" customHeight="1">
      <c r="O974" s="1"/>
    </row>
    <row r="975" spans="15:15" ht="14.25" customHeight="1">
      <c r="O975" s="1"/>
    </row>
    <row r="976" spans="15:15" ht="14.25" customHeight="1">
      <c r="O976" s="1"/>
    </row>
    <row r="977" spans="15:15" ht="14.25" customHeight="1">
      <c r="O977" s="1"/>
    </row>
    <row r="978" spans="15:15" ht="14.25" customHeight="1">
      <c r="O978" s="1"/>
    </row>
    <row r="979" spans="15:15" ht="14.25" customHeight="1">
      <c r="O979" s="1"/>
    </row>
    <row r="980" spans="15:15" ht="14.25" customHeight="1">
      <c r="O980" s="1"/>
    </row>
    <row r="981" spans="15:15" ht="14.25" customHeight="1">
      <c r="O981" s="1"/>
    </row>
    <row r="982" spans="15:15" ht="14.25" customHeight="1">
      <c r="O982" s="1"/>
    </row>
    <row r="983" spans="15:15" ht="14.25" customHeight="1">
      <c r="O983" s="1"/>
    </row>
    <row r="984" spans="15:15" ht="14.25" customHeight="1">
      <c r="O984" s="1"/>
    </row>
    <row r="985" spans="15:15" ht="14.25" customHeight="1">
      <c r="O985" s="1"/>
    </row>
    <row r="986" spans="15:15" ht="14.25" customHeight="1">
      <c r="O986" s="1"/>
    </row>
    <row r="987" spans="15:15" ht="14.25" customHeight="1">
      <c r="O987" s="1"/>
    </row>
    <row r="988" spans="15:15" ht="14.25" customHeight="1">
      <c r="O988" s="1"/>
    </row>
    <row r="989" spans="15:15" ht="14.25" customHeight="1">
      <c r="O989" s="1"/>
    </row>
    <row r="990" spans="15:15" ht="14.25" customHeight="1">
      <c r="O990" s="1"/>
    </row>
    <row r="991" spans="15:15" ht="14.25" customHeight="1">
      <c r="O991" s="1"/>
    </row>
    <row r="992" spans="15:15" ht="14.25" customHeight="1">
      <c r="O992" s="1"/>
    </row>
    <row r="993" spans="15:15" ht="14.25" customHeight="1">
      <c r="O993" s="1"/>
    </row>
    <row r="994" spans="15:15" ht="14.25" customHeight="1">
      <c r="O994" s="1"/>
    </row>
    <row r="995" spans="15:15" ht="14.25" customHeight="1">
      <c r="O995" s="1"/>
    </row>
    <row r="996" spans="15:15" ht="14.25" customHeight="1">
      <c r="O996" s="1"/>
    </row>
    <row r="997" spans="15:15" ht="14.25" customHeight="1">
      <c r="O997" s="1"/>
    </row>
    <row r="998" spans="15:15" ht="14.25" customHeight="1">
      <c r="O998" s="1"/>
    </row>
    <row r="999" spans="15:15" ht="14.25" customHeight="1">
      <c r="O999" s="1"/>
    </row>
    <row r="1000" spans="15:15" ht="14.25" customHeight="1">
      <c r="O1000" s="1"/>
    </row>
  </sheetData>
  <mergeCells count="16">
    <mergeCell ref="B21:B23"/>
    <mergeCell ref="B24:B25"/>
    <mergeCell ref="I9:J9"/>
    <mergeCell ref="F11:K11"/>
    <mergeCell ref="B2:C2"/>
    <mergeCell ref="B3:C3"/>
    <mergeCell ref="B4:C4"/>
    <mergeCell ref="B5:C5"/>
    <mergeCell ref="B6:C6"/>
    <mergeCell ref="B7:C7"/>
    <mergeCell ref="I8:J8"/>
    <mergeCell ref="B8:C8"/>
    <mergeCell ref="B9:C9"/>
    <mergeCell ref="B13:B20"/>
    <mergeCell ref="C13:C16"/>
    <mergeCell ref="C17:C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B48F-8493-4669-B04F-FCA784DD9D08}">
  <dimension ref="A1:D6"/>
  <sheetViews>
    <sheetView workbookViewId="0">
      <selection activeCell="D17" sqref="D17"/>
    </sheetView>
  </sheetViews>
  <sheetFormatPr defaultRowHeight="14.5"/>
  <cols>
    <col min="2" max="2" width="35.36328125" customWidth="1"/>
    <col min="3" max="3" width="11.7265625" customWidth="1"/>
    <col min="4" max="4" width="11.90625" customWidth="1"/>
  </cols>
  <sheetData>
    <row r="1" spans="1:4" ht="15.5">
      <c r="A1" s="127" t="s">
        <v>95</v>
      </c>
      <c r="B1" s="127" t="s">
        <v>11</v>
      </c>
      <c r="C1" s="127" t="s">
        <v>12</v>
      </c>
      <c r="D1" s="127" t="s">
        <v>89</v>
      </c>
    </row>
    <row r="2" spans="1:4" ht="15.5">
      <c r="A2" s="124">
        <v>1</v>
      </c>
      <c r="B2" s="124" t="s">
        <v>88</v>
      </c>
      <c r="C2" s="124" t="s">
        <v>130</v>
      </c>
      <c r="D2" s="126">
        <f ca="1">'Commercials Full'!K16</f>
        <v>718800.00000000012</v>
      </c>
    </row>
    <row r="3" spans="1:4" ht="15.5">
      <c r="A3" s="124">
        <v>2</v>
      </c>
      <c r="B3" s="124" t="s">
        <v>129</v>
      </c>
      <c r="C3" s="124" t="s">
        <v>130</v>
      </c>
      <c r="D3" s="126">
        <f>'Commercials Full'!K19</f>
        <v>493571.42857142858</v>
      </c>
    </row>
    <row r="4" spans="1:4" ht="15.5">
      <c r="A4" s="124">
        <v>3</v>
      </c>
      <c r="B4" s="124" t="s">
        <v>29</v>
      </c>
      <c r="C4" s="124" t="s">
        <v>131</v>
      </c>
      <c r="D4" s="126">
        <f>'Commercials Full'!K23</f>
        <v>3420000</v>
      </c>
    </row>
    <row r="5" spans="1:4" ht="15.5">
      <c r="A5" s="124">
        <v>4</v>
      </c>
      <c r="B5" s="124" t="s">
        <v>33</v>
      </c>
      <c r="C5" s="124" t="s">
        <v>133</v>
      </c>
      <c r="D5" s="126">
        <f ca="1">'Commercials Full'!K25</f>
        <v>314902.85714285716</v>
      </c>
    </row>
    <row r="6" spans="1:4" ht="15.5">
      <c r="A6" s="124"/>
      <c r="B6" s="124" t="s">
        <v>49</v>
      </c>
      <c r="C6" s="124"/>
      <c r="D6" s="125">
        <f ca="1">SUM(D2:D5)</f>
        <v>4947274.2857142864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EF2CB"/>
  </sheetPr>
  <dimension ref="A1:X835"/>
  <sheetViews>
    <sheetView zoomScale="80" zoomScaleNormal="80" workbookViewId="0">
      <pane ySplit="1" topLeftCell="A2" activePane="bottomLeft" state="frozen"/>
      <selection activeCell="T8" sqref="T8"/>
      <selection pane="bottomLeft" sqref="A1:E12"/>
    </sheetView>
  </sheetViews>
  <sheetFormatPr defaultColWidth="14.453125" defaultRowHeight="15" customHeight="1"/>
  <cols>
    <col min="1" max="1" width="9.453125" customWidth="1"/>
    <col min="2" max="2" width="28.26953125" customWidth="1"/>
    <col min="3" max="3" width="23" bestFit="1" customWidth="1"/>
    <col min="4" max="4" width="15.7265625" hidden="1" customWidth="1"/>
    <col min="5" max="5" width="15.7265625" customWidth="1"/>
    <col min="6" max="7" width="19.26953125" customWidth="1"/>
    <col min="8" max="8" width="12.7265625" hidden="1" customWidth="1"/>
    <col min="9" max="9" width="75" customWidth="1"/>
    <col min="10" max="24" width="37.453125" customWidth="1"/>
  </cols>
  <sheetData>
    <row r="1" spans="1:24" ht="14.25" customHeight="1">
      <c r="A1" s="110" t="s">
        <v>95</v>
      </c>
      <c r="B1" s="110" t="s">
        <v>96</v>
      </c>
      <c r="C1" s="110" t="s">
        <v>88</v>
      </c>
      <c r="D1" s="110" t="s">
        <v>97</v>
      </c>
      <c r="E1" s="110" t="s">
        <v>98</v>
      </c>
      <c r="F1" s="110" t="s">
        <v>99</v>
      </c>
      <c r="G1" s="110" t="s">
        <v>90</v>
      </c>
      <c r="H1" s="110" t="s">
        <v>49</v>
      </c>
      <c r="I1" s="110" t="s">
        <v>100</v>
      </c>
    </row>
    <row r="2" spans="1:24" ht="14.25" customHeight="1">
      <c r="A2" s="154">
        <v>1</v>
      </c>
      <c r="B2" s="154" t="s">
        <v>113</v>
      </c>
      <c r="C2" s="111" t="s">
        <v>101</v>
      </c>
      <c r="D2" s="112">
        <f>VLOOKUP(C2,Master!$B$1:$C$25,2,FALSE)</f>
        <v>27000</v>
      </c>
      <c r="E2" s="113">
        <v>1</v>
      </c>
      <c r="F2" s="113">
        <v>1</v>
      </c>
      <c r="G2" s="113">
        <f t="shared" ref="G2:G11" si="0">E2*F2</f>
        <v>1</v>
      </c>
      <c r="H2" s="112">
        <f t="shared" ref="H2:H11" si="1">D2*E2*F2</f>
        <v>27000</v>
      </c>
      <c r="I2" s="114"/>
    </row>
    <row r="3" spans="1:24" ht="14.25" customHeight="1">
      <c r="A3" s="155"/>
      <c r="B3" s="155"/>
      <c r="C3" s="111" t="s">
        <v>102</v>
      </c>
      <c r="D3" s="112">
        <f>VLOOKUP(C3,Master!$B$1:$C$25,2,FALSE)</f>
        <v>66000</v>
      </c>
      <c r="E3" s="104">
        <v>1</v>
      </c>
      <c r="F3" s="113">
        <v>1</v>
      </c>
      <c r="G3" s="113">
        <f t="shared" si="0"/>
        <v>1</v>
      </c>
      <c r="H3" s="112">
        <f t="shared" si="1"/>
        <v>66000</v>
      </c>
      <c r="I3" s="114"/>
    </row>
    <row r="4" spans="1:24" ht="14.25" customHeight="1">
      <c r="A4" s="155"/>
      <c r="B4" s="155"/>
      <c r="C4" s="111" t="s">
        <v>109</v>
      </c>
      <c r="D4" s="112">
        <f>VLOOKUP(C4,Master!$B$1:$C$25,2,FALSE)</f>
        <v>105200</v>
      </c>
      <c r="E4" s="113">
        <v>1</v>
      </c>
      <c r="F4" s="113">
        <v>1</v>
      </c>
      <c r="G4" s="113">
        <f t="shared" si="0"/>
        <v>1</v>
      </c>
      <c r="H4" s="112">
        <f t="shared" si="1"/>
        <v>105200</v>
      </c>
      <c r="I4" s="114"/>
    </row>
    <row r="5" spans="1:24" ht="14.25" customHeight="1">
      <c r="A5" s="155"/>
      <c r="B5" s="155"/>
      <c r="C5" s="111" t="s">
        <v>107</v>
      </c>
      <c r="D5" s="112">
        <f>VLOOKUP(C5,Master!$B$1:$C$25,2,FALSE)</f>
        <v>65000</v>
      </c>
      <c r="E5" s="113">
        <v>1</v>
      </c>
      <c r="F5" s="113">
        <v>1</v>
      </c>
      <c r="G5" s="113">
        <f t="shared" si="0"/>
        <v>1</v>
      </c>
      <c r="H5" s="112">
        <f t="shared" si="1"/>
        <v>65000</v>
      </c>
      <c r="I5" s="114"/>
    </row>
    <row r="6" spans="1:24" ht="14.25" customHeight="1">
      <c r="A6" s="155"/>
      <c r="B6" s="155"/>
      <c r="C6" s="111" t="s">
        <v>108</v>
      </c>
      <c r="D6" s="112"/>
      <c r="E6" s="113">
        <v>1</v>
      </c>
      <c r="F6" s="113">
        <v>1</v>
      </c>
      <c r="G6" s="113">
        <v>1</v>
      </c>
      <c r="H6" s="112"/>
      <c r="I6" s="114"/>
    </row>
    <row r="7" spans="1:24" ht="14.25" customHeight="1">
      <c r="A7" s="156"/>
      <c r="B7" s="156"/>
      <c r="C7" s="111" t="s">
        <v>105</v>
      </c>
      <c r="D7" s="112">
        <f>VLOOKUP(C7,Master!$B$1:$C$25,2,FALSE)</f>
        <v>9200</v>
      </c>
      <c r="E7" s="113">
        <v>1</v>
      </c>
      <c r="F7" s="113">
        <v>1</v>
      </c>
      <c r="G7" s="113">
        <f t="shared" si="0"/>
        <v>1</v>
      </c>
      <c r="H7" s="112">
        <f t="shared" si="1"/>
        <v>9200</v>
      </c>
      <c r="I7" s="114"/>
    </row>
    <row r="8" spans="1:24" ht="14.25" customHeight="1">
      <c r="A8" s="154">
        <v>2</v>
      </c>
      <c r="B8" s="154" t="s">
        <v>116</v>
      </c>
      <c r="C8" s="111" t="s">
        <v>101</v>
      </c>
      <c r="D8" s="112">
        <f>VLOOKUP(C8,Master!$B$1:$C$25,2,FALSE)</f>
        <v>27000</v>
      </c>
      <c r="E8" s="113">
        <v>1</v>
      </c>
      <c r="F8" s="113">
        <v>1</v>
      </c>
      <c r="G8" s="113">
        <f t="shared" si="0"/>
        <v>1</v>
      </c>
      <c r="H8" s="112">
        <f t="shared" si="1"/>
        <v>27000</v>
      </c>
      <c r="I8" s="114"/>
    </row>
    <row r="9" spans="1:24" ht="14.25" customHeight="1">
      <c r="A9" s="155"/>
      <c r="B9" s="155"/>
      <c r="C9" s="111" t="s">
        <v>109</v>
      </c>
      <c r="D9" s="112">
        <f>VLOOKUP(C9,Master!$B$1:$C$25,2,FALSE)</f>
        <v>105200</v>
      </c>
      <c r="E9" s="113">
        <v>1</v>
      </c>
      <c r="F9" s="113">
        <v>1</v>
      </c>
      <c r="G9" s="113">
        <f t="shared" si="0"/>
        <v>1</v>
      </c>
      <c r="H9" s="112">
        <f t="shared" si="1"/>
        <v>105200</v>
      </c>
      <c r="I9" s="114"/>
    </row>
    <row r="10" spans="1:24" ht="14.25" customHeight="1">
      <c r="A10" s="155"/>
      <c r="B10" s="155"/>
      <c r="C10" s="111" t="s">
        <v>105</v>
      </c>
      <c r="D10" s="112"/>
      <c r="E10" s="113">
        <v>1</v>
      </c>
      <c r="F10" s="113">
        <v>1</v>
      </c>
      <c r="G10" s="113">
        <f t="shared" si="0"/>
        <v>1</v>
      </c>
      <c r="H10" s="112"/>
      <c r="I10" s="114"/>
    </row>
    <row r="11" spans="1:24" ht="14.25" customHeight="1">
      <c r="A11" s="156"/>
      <c r="B11" s="156"/>
      <c r="C11" s="111" t="s">
        <v>112</v>
      </c>
      <c r="D11" s="112">
        <f>VLOOKUP(C11,Master!$B$1:$C$25,2,FALSE)</f>
        <v>47000</v>
      </c>
      <c r="E11" s="133">
        <v>1</v>
      </c>
      <c r="F11" s="113">
        <v>1</v>
      </c>
      <c r="G11" s="113">
        <f t="shared" si="0"/>
        <v>1</v>
      </c>
      <c r="H11" s="112">
        <f t="shared" si="1"/>
        <v>47000</v>
      </c>
      <c r="I11" s="114"/>
    </row>
    <row r="12" spans="1:24" ht="15.5">
      <c r="A12" s="157" t="s">
        <v>49</v>
      </c>
      <c r="B12" s="158"/>
      <c r="C12" s="158"/>
      <c r="D12" s="132"/>
      <c r="E12" s="115">
        <v>10</v>
      </c>
      <c r="F12" s="131"/>
      <c r="G12" s="115">
        <f>SUM(G2:G11)</f>
        <v>10</v>
      </c>
      <c r="H12" s="116">
        <f>SUM(H2:H11)</f>
        <v>451600</v>
      </c>
      <c r="I12" s="1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25" customHeight="1">
      <c r="B13" s="1"/>
      <c r="C13" s="118"/>
    </row>
    <row r="14" spans="1:24" ht="14.25" customHeight="1">
      <c r="B14" s="1"/>
      <c r="C14" s="118"/>
    </row>
    <row r="15" spans="1:24" ht="14.25" customHeight="1">
      <c r="B15" s="1"/>
      <c r="C15" s="118"/>
    </row>
    <row r="16" spans="1:24" ht="14.25" customHeight="1">
      <c r="B16" s="1"/>
      <c r="C16" s="118"/>
    </row>
    <row r="17" spans="2:3" ht="14.25" customHeight="1">
      <c r="B17" s="1"/>
      <c r="C17" s="118"/>
    </row>
    <row r="18" spans="2:3" ht="14.25" customHeight="1">
      <c r="B18" s="1"/>
      <c r="C18" s="118"/>
    </row>
    <row r="19" spans="2:3" ht="14.25" customHeight="1">
      <c r="B19" s="1"/>
      <c r="C19" s="118"/>
    </row>
    <row r="20" spans="2:3" ht="14.25" customHeight="1">
      <c r="B20" s="1"/>
      <c r="C20" s="118"/>
    </row>
    <row r="21" spans="2:3" ht="14.25" customHeight="1">
      <c r="B21" s="1"/>
      <c r="C21" s="118"/>
    </row>
    <row r="22" spans="2:3" ht="14.25" customHeight="1">
      <c r="B22" s="1"/>
      <c r="C22" s="118"/>
    </row>
    <row r="23" spans="2:3" ht="14.25" customHeight="1">
      <c r="B23" s="1"/>
      <c r="C23" s="118"/>
    </row>
    <row r="24" spans="2:3" ht="14.25" customHeight="1">
      <c r="B24" s="1"/>
      <c r="C24" s="118"/>
    </row>
    <row r="25" spans="2:3" ht="14.25" customHeight="1">
      <c r="B25" s="1"/>
      <c r="C25" s="118"/>
    </row>
    <row r="26" spans="2:3" ht="14.25" customHeight="1">
      <c r="B26" s="1"/>
      <c r="C26" s="118"/>
    </row>
    <row r="27" spans="2:3" ht="14.25" customHeight="1">
      <c r="B27" s="1"/>
      <c r="C27" s="118"/>
    </row>
    <row r="28" spans="2:3" ht="14.25" customHeight="1">
      <c r="B28" s="1"/>
      <c r="C28" s="118"/>
    </row>
    <row r="29" spans="2:3" ht="14.25" customHeight="1">
      <c r="B29" s="1"/>
      <c r="C29" s="118"/>
    </row>
    <row r="30" spans="2:3" ht="14.25" customHeight="1">
      <c r="B30" s="1"/>
      <c r="C30" s="118"/>
    </row>
    <row r="31" spans="2:3" ht="14.25" customHeight="1">
      <c r="B31" s="1"/>
      <c r="C31" s="118"/>
    </row>
    <row r="32" spans="2:3" ht="14.25" customHeight="1">
      <c r="B32" s="1"/>
      <c r="C32" s="118"/>
    </row>
    <row r="33" spans="2:3" ht="14.25" customHeight="1">
      <c r="B33" s="1"/>
      <c r="C33" s="118"/>
    </row>
    <row r="34" spans="2:3" ht="14.25" customHeight="1">
      <c r="B34" s="1"/>
      <c r="C34" s="118"/>
    </row>
    <row r="35" spans="2:3" ht="14.25" customHeight="1">
      <c r="B35" s="1"/>
      <c r="C35" s="118"/>
    </row>
    <row r="36" spans="2:3" ht="14.25" customHeight="1">
      <c r="B36" s="1"/>
      <c r="C36" s="118"/>
    </row>
    <row r="37" spans="2:3" ht="14.25" customHeight="1">
      <c r="B37" s="1"/>
      <c r="C37" s="118"/>
    </row>
    <row r="38" spans="2:3" ht="14.25" customHeight="1">
      <c r="B38" s="1"/>
      <c r="C38" s="118"/>
    </row>
    <row r="39" spans="2:3" ht="14.25" customHeight="1">
      <c r="B39" s="1"/>
      <c r="C39" s="118"/>
    </row>
    <row r="40" spans="2:3" ht="14.25" customHeight="1">
      <c r="B40" s="1"/>
      <c r="C40" s="118"/>
    </row>
    <row r="41" spans="2:3" ht="14.25" customHeight="1">
      <c r="B41" s="1"/>
      <c r="C41" s="118"/>
    </row>
    <row r="42" spans="2:3" ht="14.25" customHeight="1">
      <c r="B42" s="1"/>
      <c r="C42" s="118"/>
    </row>
    <row r="43" spans="2:3" ht="14.25" customHeight="1">
      <c r="B43" s="1"/>
      <c r="C43" s="118"/>
    </row>
    <row r="44" spans="2:3" ht="14.25" customHeight="1">
      <c r="B44" s="1"/>
      <c r="C44" s="118"/>
    </row>
    <row r="45" spans="2:3" ht="14.25" customHeight="1">
      <c r="B45" s="1"/>
      <c r="C45" s="118"/>
    </row>
    <row r="46" spans="2:3" ht="14.25" customHeight="1">
      <c r="B46" s="1"/>
      <c r="C46" s="118"/>
    </row>
    <row r="47" spans="2:3" ht="14.25" customHeight="1">
      <c r="B47" s="1"/>
      <c r="C47" s="118"/>
    </row>
    <row r="48" spans="2:3" ht="14.25" customHeight="1">
      <c r="B48" s="1"/>
      <c r="C48" s="118"/>
    </row>
    <row r="49" spans="2:3" ht="14.25" customHeight="1">
      <c r="B49" s="1"/>
      <c r="C49" s="118"/>
    </row>
    <row r="50" spans="2:3" ht="14.25" customHeight="1">
      <c r="B50" s="1"/>
      <c r="C50" s="118"/>
    </row>
    <row r="51" spans="2:3" ht="14.25" customHeight="1">
      <c r="B51" s="1"/>
      <c r="C51" s="118"/>
    </row>
    <row r="52" spans="2:3" ht="14.25" customHeight="1">
      <c r="B52" s="1"/>
      <c r="C52" s="118"/>
    </row>
    <row r="53" spans="2:3" ht="14.25" customHeight="1">
      <c r="B53" s="1"/>
      <c r="C53" s="118"/>
    </row>
    <row r="54" spans="2:3" ht="14.25" customHeight="1">
      <c r="B54" s="1"/>
      <c r="C54" s="118"/>
    </row>
    <row r="55" spans="2:3" ht="14.25" customHeight="1">
      <c r="B55" s="1"/>
      <c r="C55" s="118"/>
    </row>
    <row r="56" spans="2:3" ht="14.25" customHeight="1">
      <c r="B56" s="1"/>
      <c r="C56" s="118"/>
    </row>
    <row r="57" spans="2:3" ht="14.25" customHeight="1">
      <c r="B57" s="1"/>
      <c r="C57" s="118"/>
    </row>
    <row r="58" spans="2:3" ht="14.25" customHeight="1">
      <c r="B58" s="1"/>
      <c r="C58" s="118"/>
    </row>
    <row r="59" spans="2:3" ht="14.25" customHeight="1">
      <c r="B59" s="1"/>
      <c r="C59" s="118"/>
    </row>
    <row r="60" spans="2:3" ht="14.25" customHeight="1">
      <c r="B60" s="1"/>
      <c r="C60" s="118"/>
    </row>
    <row r="61" spans="2:3" ht="14.25" customHeight="1">
      <c r="B61" s="1"/>
      <c r="C61" s="118"/>
    </row>
    <row r="62" spans="2:3" ht="14.25" customHeight="1">
      <c r="B62" s="1"/>
      <c r="C62" s="118"/>
    </row>
    <row r="63" spans="2:3" ht="14.25" customHeight="1">
      <c r="B63" s="1"/>
      <c r="C63" s="118"/>
    </row>
    <row r="64" spans="2:3" ht="14.25" customHeight="1">
      <c r="B64" s="1"/>
      <c r="C64" s="118"/>
    </row>
    <row r="65" spans="2:3" ht="14.25" customHeight="1">
      <c r="B65" s="1"/>
      <c r="C65" s="118"/>
    </row>
    <row r="66" spans="2:3" ht="14.25" customHeight="1">
      <c r="B66" s="1"/>
      <c r="C66" s="118"/>
    </row>
    <row r="67" spans="2:3" ht="14.25" customHeight="1">
      <c r="B67" s="1"/>
      <c r="C67" s="118"/>
    </row>
    <row r="68" spans="2:3" ht="14.25" customHeight="1">
      <c r="B68" s="1"/>
      <c r="C68" s="118"/>
    </row>
    <row r="69" spans="2:3" ht="14.25" customHeight="1">
      <c r="B69" s="1"/>
      <c r="C69" s="118"/>
    </row>
    <row r="70" spans="2:3" ht="14.25" customHeight="1">
      <c r="B70" s="1"/>
      <c r="C70" s="118"/>
    </row>
    <row r="71" spans="2:3" ht="14.25" customHeight="1">
      <c r="B71" s="1"/>
      <c r="C71" s="118"/>
    </row>
    <row r="72" spans="2:3" ht="14.25" customHeight="1">
      <c r="B72" s="1"/>
      <c r="C72" s="118"/>
    </row>
    <row r="73" spans="2:3" ht="14.25" customHeight="1">
      <c r="B73" s="1"/>
      <c r="C73" s="118"/>
    </row>
    <row r="74" spans="2:3" ht="14.25" customHeight="1">
      <c r="B74" s="1"/>
      <c r="C74" s="118"/>
    </row>
    <row r="75" spans="2:3" ht="14.25" customHeight="1">
      <c r="B75" s="1"/>
      <c r="C75" s="118"/>
    </row>
    <row r="76" spans="2:3" ht="14.25" customHeight="1">
      <c r="B76" s="1"/>
      <c r="C76" s="118"/>
    </row>
    <row r="77" spans="2:3" ht="14.25" customHeight="1">
      <c r="B77" s="1"/>
      <c r="C77" s="118"/>
    </row>
    <row r="78" spans="2:3" ht="14.25" customHeight="1">
      <c r="B78" s="1"/>
      <c r="C78" s="118"/>
    </row>
    <row r="79" spans="2:3" ht="14.25" customHeight="1">
      <c r="B79" s="1"/>
      <c r="C79" s="118"/>
    </row>
    <row r="80" spans="2:3" ht="14.25" customHeight="1">
      <c r="B80" s="1"/>
      <c r="C80" s="118"/>
    </row>
    <row r="81" spans="2:3" ht="14.25" customHeight="1">
      <c r="B81" s="1"/>
      <c r="C81" s="118"/>
    </row>
    <row r="82" spans="2:3" ht="14.25" customHeight="1">
      <c r="B82" s="1"/>
      <c r="C82" s="118"/>
    </row>
    <row r="83" spans="2:3" ht="14.25" customHeight="1">
      <c r="B83" s="1"/>
      <c r="C83" s="118"/>
    </row>
    <row r="84" spans="2:3" ht="14.25" customHeight="1">
      <c r="B84" s="1"/>
      <c r="C84" s="118"/>
    </row>
    <row r="85" spans="2:3" ht="14.25" customHeight="1">
      <c r="B85" s="1"/>
      <c r="C85" s="118"/>
    </row>
    <row r="86" spans="2:3" ht="14.25" customHeight="1">
      <c r="B86" s="1"/>
      <c r="C86" s="118"/>
    </row>
    <row r="87" spans="2:3" ht="14.25" customHeight="1">
      <c r="B87" s="1"/>
      <c r="C87" s="118"/>
    </row>
    <row r="88" spans="2:3" ht="14.25" customHeight="1">
      <c r="B88" s="1"/>
      <c r="C88" s="118"/>
    </row>
    <row r="89" spans="2:3" ht="14.25" customHeight="1">
      <c r="B89" s="1"/>
      <c r="C89" s="118"/>
    </row>
    <row r="90" spans="2:3" ht="14.25" customHeight="1">
      <c r="B90" s="1"/>
      <c r="C90" s="118"/>
    </row>
    <row r="91" spans="2:3" ht="14.25" customHeight="1">
      <c r="B91" s="1"/>
      <c r="C91" s="118"/>
    </row>
    <row r="92" spans="2:3" ht="14.25" customHeight="1">
      <c r="B92" s="1"/>
      <c r="C92" s="118"/>
    </row>
    <row r="93" spans="2:3" ht="14.25" customHeight="1">
      <c r="B93" s="1"/>
      <c r="C93" s="118"/>
    </row>
    <row r="94" spans="2:3" ht="14.25" customHeight="1">
      <c r="B94" s="1"/>
      <c r="C94" s="118"/>
    </row>
    <row r="95" spans="2:3" ht="14.25" customHeight="1">
      <c r="B95" s="1"/>
      <c r="C95" s="118"/>
    </row>
    <row r="96" spans="2:3" ht="14.25" customHeight="1">
      <c r="B96" s="1"/>
      <c r="C96" s="118"/>
    </row>
    <row r="97" spans="2:3" ht="14.25" customHeight="1">
      <c r="B97" s="1"/>
      <c r="C97" s="118"/>
    </row>
    <row r="98" spans="2:3" ht="14.25" customHeight="1">
      <c r="B98" s="1"/>
      <c r="C98" s="118"/>
    </row>
    <row r="99" spans="2:3" ht="14.25" customHeight="1">
      <c r="B99" s="1"/>
      <c r="C99" s="118"/>
    </row>
    <row r="100" spans="2:3" ht="14.25" customHeight="1">
      <c r="B100" s="1"/>
      <c r="C100" s="118"/>
    </row>
    <row r="101" spans="2:3" ht="14.25" customHeight="1">
      <c r="B101" s="1"/>
      <c r="C101" s="118"/>
    </row>
    <row r="102" spans="2:3" ht="14.25" customHeight="1">
      <c r="B102" s="1"/>
      <c r="C102" s="118"/>
    </row>
    <row r="103" spans="2:3" ht="14.25" customHeight="1">
      <c r="B103" s="1"/>
      <c r="C103" s="118"/>
    </row>
    <row r="104" spans="2:3" ht="14.25" customHeight="1">
      <c r="B104" s="1"/>
      <c r="C104" s="118"/>
    </row>
    <row r="105" spans="2:3" ht="14.25" customHeight="1">
      <c r="B105" s="1"/>
      <c r="C105" s="118"/>
    </row>
    <row r="106" spans="2:3" ht="14.25" customHeight="1">
      <c r="B106" s="1"/>
      <c r="C106" s="118"/>
    </row>
    <row r="107" spans="2:3" ht="14.25" customHeight="1">
      <c r="B107" s="1"/>
      <c r="C107" s="118"/>
    </row>
    <row r="108" spans="2:3" ht="14.25" customHeight="1">
      <c r="B108" s="1"/>
      <c r="C108" s="118"/>
    </row>
    <row r="109" spans="2:3" ht="14.25" customHeight="1">
      <c r="B109" s="1"/>
      <c r="C109" s="118"/>
    </row>
    <row r="110" spans="2:3" ht="14.25" customHeight="1">
      <c r="B110" s="1"/>
      <c r="C110" s="118"/>
    </row>
    <row r="111" spans="2:3" ht="14.25" customHeight="1">
      <c r="B111" s="1"/>
      <c r="C111" s="118"/>
    </row>
    <row r="112" spans="2:3" ht="14.25" customHeight="1">
      <c r="B112" s="1"/>
      <c r="C112" s="118"/>
    </row>
    <row r="113" spans="2:3" ht="14.25" customHeight="1">
      <c r="B113" s="1"/>
      <c r="C113" s="118"/>
    </row>
    <row r="114" spans="2:3" ht="14.25" customHeight="1">
      <c r="B114" s="1"/>
      <c r="C114" s="118"/>
    </row>
    <row r="115" spans="2:3" ht="14.25" customHeight="1">
      <c r="B115" s="1"/>
      <c r="C115" s="118"/>
    </row>
    <row r="116" spans="2:3" ht="14.25" customHeight="1">
      <c r="B116" s="1"/>
      <c r="C116" s="118"/>
    </row>
    <row r="117" spans="2:3" ht="14.25" customHeight="1">
      <c r="B117" s="1"/>
      <c r="C117" s="118"/>
    </row>
    <row r="118" spans="2:3" ht="14.25" customHeight="1">
      <c r="B118" s="1"/>
      <c r="C118" s="118"/>
    </row>
    <row r="119" spans="2:3" ht="14.25" customHeight="1">
      <c r="B119" s="1"/>
      <c r="C119" s="118"/>
    </row>
    <row r="120" spans="2:3" ht="14.25" customHeight="1">
      <c r="B120" s="1"/>
      <c r="C120" s="118"/>
    </row>
    <row r="121" spans="2:3" ht="14.25" customHeight="1">
      <c r="B121" s="1"/>
      <c r="C121" s="118"/>
    </row>
    <row r="122" spans="2:3" ht="14.25" customHeight="1">
      <c r="B122" s="1"/>
      <c r="C122" s="118"/>
    </row>
    <row r="123" spans="2:3" ht="14.25" customHeight="1">
      <c r="B123" s="1"/>
      <c r="C123" s="118"/>
    </row>
    <row r="124" spans="2:3" ht="14.25" customHeight="1">
      <c r="B124" s="1"/>
      <c r="C124" s="118"/>
    </row>
    <row r="125" spans="2:3" ht="14.25" customHeight="1">
      <c r="B125" s="1"/>
      <c r="C125" s="118"/>
    </row>
    <row r="126" spans="2:3" ht="14.25" customHeight="1">
      <c r="B126" s="1"/>
      <c r="C126" s="118"/>
    </row>
    <row r="127" spans="2:3" ht="14.25" customHeight="1">
      <c r="B127" s="1"/>
      <c r="C127" s="118"/>
    </row>
    <row r="128" spans="2:3" ht="14.25" customHeight="1">
      <c r="B128" s="1"/>
      <c r="C128" s="118"/>
    </row>
    <row r="129" spans="2:3" ht="14.25" customHeight="1">
      <c r="B129" s="1"/>
      <c r="C129" s="118"/>
    </row>
    <row r="130" spans="2:3" ht="14.25" customHeight="1">
      <c r="B130" s="1"/>
      <c r="C130" s="118"/>
    </row>
    <row r="131" spans="2:3" ht="14.25" customHeight="1">
      <c r="B131" s="1"/>
      <c r="C131" s="118"/>
    </row>
    <row r="132" spans="2:3" ht="14.25" customHeight="1">
      <c r="B132" s="1"/>
      <c r="C132" s="118"/>
    </row>
    <row r="133" spans="2:3" ht="14.25" customHeight="1">
      <c r="B133" s="1"/>
      <c r="C133" s="118"/>
    </row>
    <row r="134" spans="2:3" ht="14.25" customHeight="1">
      <c r="B134" s="1"/>
      <c r="C134" s="118"/>
    </row>
    <row r="135" spans="2:3" ht="14.25" customHeight="1">
      <c r="B135" s="1"/>
      <c r="C135" s="118"/>
    </row>
    <row r="136" spans="2:3" ht="14.25" customHeight="1">
      <c r="B136" s="1"/>
      <c r="C136" s="118"/>
    </row>
    <row r="137" spans="2:3" ht="14.25" customHeight="1">
      <c r="B137" s="1"/>
      <c r="C137" s="118"/>
    </row>
    <row r="138" spans="2:3" ht="14.25" customHeight="1">
      <c r="B138" s="1"/>
      <c r="C138" s="118"/>
    </row>
    <row r="139" spans="2:3" ht="14.25" customHeight="1">
      <c r="B139" s="1"/>
      <c r="C139" s="118"/>
    </row>
    <row r="140" spans="2:3" ht="14.25" customHeight="1">
      <c r="B140" s="1"/>
      <c r="C140" s="118"/>
    </row>
    <row r="141" spans="2:3" ht="14.25" customHeight="1">
      <c r="B141" s="1"/>
      <c r="C141" s="118"/>
    </row>
    <row r="142" spans="2:3" ht="14.25" customHeight="1">
      <c r="B142" s="1"/>
      <c r="C142" s="118"/>
    </row>
    <row r="143" spans="2:3" ht="14.25" customHeight="1">
      <c r="B143" s="1"/>
      <c r="C143" s="118"/>
    </row>
    <row r="144" spans="2:3" ht="14.25" customHeight="1">
      <c r="B144" s="1"/>
      <c r="C144" s="118"/>
    </row>
    <row r="145" spans="2:3" ht="14.25" customHeight="1">
      <c r="B145" s="1"/>
      <c r="C145" s="118"/>
    </row>
    <row r="146" spans="2:3" ht="14.25" customHeight="1">
      <c r="B146" s="1"/>
      <c r="C146" s="118"/>
    </row>
    <row r="147" spans="2:3" ht="14.25" customHeight="1">
      <c r="B147" s="1"/>
      <c r="C147" s="118"/>
    </row>
    <row r="148" spans="2:3" ht="14.25" customHeight="1">
      <c r="B148" s="1"/>
      <c r="C148" s="118"/>
    </row>
    <row r="149" spans="2:3" ht="14.25" customHeight="1">
      <c r="B149" s="1"/>
      <c r="C149" s="118"/>
    </row>
    <row r="150" spans="2:3" ht="14.25" customHeight="1">
      <c r="B150" s="1"/>
      <c r="C150" s="118"/>
    </row>
    <row r="151" spans="2:3" ht="14.25" customHeight="1">
      <c r="B151" s="1"/>
      <c r="C151" s="118"/>
    </row>
    <row r="152" spans="2:3" ht="14.25" customHeight="1">
      <c r="B152" s="1"/>
      <c r="C152" s="118"/>
    </row>
    <row r="153" spans="2:3" ht="14.25" customHeight="1">
      <c r="B153" s="1"/>
      <c r="C153" s="118"/>
    </row>
    <row r="154" spans="2:3" ht="14.25" customHeight="1">
      <c r="B154" s="1"/>
      <c r="C154" s="118"/>
    </row>
    <row r="155" spans="2:3" ht="14.25" customHeight="1">
      <c r="B155" s="1"/>
      <c r="C155" s="118"/>
    </row>
    <row r="156" spans="2:3" ht="14.25" customHeight="1">
      <c r="B156" s="1"/>
      <c r="C156" s="118"/>
    </row>
    <row r="157" spans="2:3" ht="14.25" customHeight="1">
      <c r="B157" s="1"/>
      <c r="C157" s="118"/>
    </row>
    <row r="158" spans="2:3" ht="14.25" customHeight="1">
      <c r="B158" s="1"/>
      <c r="C158" s="118"/>
    </row>
    <row r="159" spans="2:3" ht="14.25" customHeight="1">
      <c r="B159" s="1"/>
      <c r="C159" s="118"/>
    </row>
    <row r="160" spans="2:3" ht="14.25" customHeight="1">
      <c r="B160" s="1"/>
      <c r="C160" s="118"/>
    </row>
    <row r="161" spans="2:3" ht="14.25" customHeight="1">
      <c r="B161" s="1"/>
      <c r="C161" s="118"/>
    </row>
    <row r="162" spans="2:3" ht="14.25" customHeight="1">
      <c r="B162" s="1"/>
      <c r="C162" s="118"/>
    </row>
    <row r="163" spans="2:3" ht="14.25" customHeight="1">
      <c r="B163" s="1"/>
      <c r="C163" s="118"/>
    </row>
    <row r="164" spans="2:3" ht="14.25" customHeight="1">
      <c r="B164" s="1"/>
      <c r="C164" s="118"/>
    </row>
    <row r="165" spans="2:3" ht="14.25" customHeight="1">
      <c r="B165" s="1"/>
      <c r="C165" s="118"/>
    </row>
    <row r="166" spans="2:3" ht="14.25" customHeight="1">
      <c r="B166" s="1"/>
      <c r="C166" s="118"/>
    </row>
    <row r="167" spans="2:3" ht="14.25" customHeight="1">
      <c r="B167" s="1"/>
      <c r="C167" s="118"/>
    </row>
    <row r="168" spans="2:3" ht="14.25" customHeight="1">
      <c r="B168" s="1"/>
      <c r="C168" s="118"/>
    </row>
    <row r="169" spans="2:3" ht="14.25" customHeight="1">
      <c r="B169" s="1"/>
      <c r="C169" s="118"/>
    </row>
    <row r="170" spans="2:3" ht="14.25" customHeight="1">
      <c r="B170" s="1"/>
      <c r="C170" s="118"/>
    </row>
    <row r="171" spans="2:3" ht="14.25" customHeight="1">
      <c r="B171" s="1"/>
      <c r="C171" s="118"/>
    </row>
    <row r="172" spans="2:3" ht="14.25" customHeight="1">
      <c r="B172" s="1"/>
      <c r="C172" s="118"/>
    </row>
    <row r="173" spans="2:3" ht="14.25" customHeight="1">
      <c r="B173" s="1"/>
      <c r="C173" s="118"/>
    </row>
    <row r="174" spans="2:3" ht="14.25" customHeight="1">
      <c r="B174" s="1"/>
      <c r="C174" s="118"/>
    </row>
    <row r="175" spans="2:3" ht="14.25" customHeight="1">
      <c r="B175" s="1"/>
      <c r="C175" s="118"/>
    </row>
    <row r="176" spans="2:3" ht="14.25" customHeight="1">
      <c r="B176" s="1"/>
      <c r="C176" s="118"/>
    </row>
    <row r="177" spans="2:3" ht="14.25" customHeight="1">
      <c r="B177" s="1"/>
      <c r="C177" s="118"/>
    </row>
    <row r="178" spans="2:3" ht="14.25" customHeight="1">
      <c r="B178" s="1"/>
      <c r="C178" s="118"/>
    </row>
    <row r="179" spans="2:3" ht="14.25" customHeight="1">
      <c r="B179" s="1"/>
      <c r="C179" s="118"/>
    </row>
    <row r="180" spans="2:3" ht="14.25" customHeight="1">
      <c r="B180" s="1"/>
      <c r="C180" s="118"/>
    </row>
    <row r="181" spans="2:3" ht="14.25" customHeight="1">
      <c r="B181" s="1"/>
      <c r="C181" s="118"/>
    </row>
    <row r="182" spans="2:3" ht="14.25" customHeight="1">
      <c r="B182" s="1"/>
      <c r="C182" s="118"/>
    </row>
    <row r="183" spans="2:3" ht="14.25" customHeight="1">
      <c r="B183" s="1"/>
      <c r="C183" s="118"/>
    </row>
    <row r="184" spans="2:3" ht="14.25" customHeight="1">
      <c r="B184" s="1"/>
      <c r="C184" s="118"/>
    </row>
    <row r="185" spans="2:3" ht="14.25" customHeight="1">
      <c r="B185" s="1"/>
      <c r="C185" s="118"/>
    </row>
    <row r="186" spans="2:3" ht="14.25" customHeight="1">
      <c r="B186" s="1"/>
      <c r="C186" s="118"/>
    </row>
    <row r="187" spans="2:3" ht="14.25" customHeight="1">
      <c r="B187" s="1"/>
      <c r="C187" s="118"/>
    </row>
    <row r="188" spans="2:3" ht="14.25" customHeight="1">
      <c r="B188" s="1"/>
      <c r="C188" s="118"/>
    </row>
    <row r="189" spans="2:3" ht="14.25" customHeight="1">
      <c r="B189" s="1"/>
      <c r="C189" s="118"/>
    </row>
    <row r="190" spans="2:3" ht="14.25" customHeight="1">
      <c r="B190" s="1"/>
      <c r="C190" s="118"/>
    </row>
    <row r="191" spans="2:3" ht="14.25" customHeight="1">
      <c r="B191" s="1"/>
      <c r="C191" s="118"/>
    </row>
    <row r="192" spans="2:3" ht="14.25" customHeight="1">
      <c r="B192" s="1"/>
      <c r="C192" s="118"/>
    </row>
    <row r="193" spans="2:3" ht="14.25" customHeight="1">
      <c r="B193" s="1"/>
      <c r="C193" s="118"/>
    </row>
    <row r="194" spans="2:3" ht="14.25" customHeight="1">
      <c r="B194" s="1"/>
      <c r="C194" s="118"/>
    </row>
    <row r="195" spans="2:3" ht="14.25" customHeight="1">
      <c r="B195" s="1"/>
      <c r="C195" s="118"/>
    </row>
    <row r="196" spans="2:3" ht="14.25" customHeight="1">
      <c r="B196" s="1"/>
      <c r="C196" s="118"/>
    </row>
    <row r="197" spans="2:3" ht="14.25" customHeight="1">
      <c r="B197" s="1"/>
      <c r="C197" s="118"/>
    </row>
    <row r="198" spans="2:3" ht="14.25" customHeight="1">
      <c r="B198" s="1"/>
      <c r="C198" s="118"/>
    </row>
    <row r="199" spans="2:3" ht="14.25" customHeight="1">
      <c r="B199" s="1"/>
      <c r="C199" s="118"/>
    </row>
    <row r="200" spans="2:3" ht="14.25" customHeight="1">
      <c r="B200" s="1"/>
      <c r="C200" s="118"/>
    </row>
    <row r="201" spans="2:3" ht="14.25" customHeight="1">
      <c r="B201" s="1"/>
      <c r="C201" s="118"/>
    </row>
    <row r="202" spans="2:3" ht="14.25" customHeight="1">
      <c r="B202" s="1"/>
      <c r="C202" s="118"/>
    </row>
    <row r="203" spans="2:3" ht="14.25" customHeight="1">
      <c r="B203" s="1"/>
      <c r="C203" s="118"/>
    </row>
    <row r="204" spans="2:3" ht="14.25" customHeight="1">
      <c r="B204" s="1"/>
      <c r="C204" s="118"/>
    </row>
    <row r="205" spans="2:3" ht="14.25" customHeight="1">
      <c r="B205" s="1"/>
      <c r="C205" s="118"/>
    </row>
    <row r="206" spans="2:3" ht="14.25" customHeight="1">
      <c r="B206" s="1"/>
      <c r="C206" s="118"/>
    </row>
    <row r="207" spans="2:3" ht="14.25" customHeight="1">
      <c r="B207" s="1"/>
      <c r="C207" s="118"/>
    </row>
    <row r="208" spans="2:3" ht="14.25" customHeight="1">
      <c r="B208" s="1"/>
      <c r="C208" s="118"/>
    </row>
    <row r="209" spans="2:3" ht="14.25" customHeight="1">
      <c r="B209" s="1"/>
      <c r="C209" s="118"/>
    </row>
    <row r="210" spans="2:3" ht="14.25" customHeight="1">
      <c r="B210" s="1"/>
      <c r="C210" s="118"/>
    </row>
    <row r="211" spans="2:3" ht="14.25" customHeight="1">
      <c r="B211" s="1"/>
      <c r="C211" s="118"/>
    </row>
    <row r="212" spans="2:3" ht="14.25" customHeight="1">
      <c r="B212" s="1"/>
      <c r="C212" s="118"/>
    </row>
    <row r="213" spans="2:3" ht="14.25" customHeight="1">
      <c r="B213" s="1"/>
      <c r="C213" s="118"/>
    </row>
    <row r="214" spans="2:3" ht="14.25" customHeight="1">
      <c r="B214" s="1"/>
      <c r="C214" s="118"/>
    </row>
    <row r="215" spans="2:3" ht="14.25" customHeight="1">
      <c r="B215" s="1"/>
      <c r="C215" s="118"/>
    </row>
    <row r="216" spans="2:3" ht="14.25" customHeight="1">
      <c r="B216" s="1"/>
      <c r="C216" s="118"/>
    </row>
    <row r="217" spans="2:3" ht="14.25" customHeight="1">
      <c r="B217" s="1"/>
      <c r="C217" s="118"/>
    </row>
    <row r="218" spans="2:3" ht="14.25" customHeight="1">
      <c r="B218" s="1"/>
      <c r="C218" s="118"/>
    </row>
    <row r="219" spans="2:3" ht="14.25" customHeight="1">
      <c r="B219" s="1"/>
      <c r="C219" s="118"/>
    </row>
    <row r="220" spans="2:3" ht="14.25" customHeight="1">
      <c r="B220" s="1"/>
      <c r="C220" s="118"/>
    </row>
    <row r="221" spans="2:3" ht="14.25" customHeight="1">
      <c r="B221" s="1"/>
      <c r="C221" s="118"/>
    </row>
    <row r="222" spans="2:3" ht="14.25" customHeight="1">
      <c r="B222" s="1"/>
      <c r="C222" s="118"/>
    </row>
    <row r="223" spans="2:3" ht="14.25" customHeight="1">
      <c r="B223" s="1"/>
      <c r="C223" s="118"/>
    </row>
    <row r="224" spans="2:3" ht="14.25" customHeight="1">
      <c r="B224" s="1"/>
      <c r="C224" s="118"/>
    </row>
    <row r="225" spans="2:3" ht="14.25" customHeight="1">
      <c r="B225" s="1"/>
      <c r="C225" s="118"/>
    </row>
    <row r="226" spans="2:3" ht="14.25" customHeight="1">
      <c r="B226" s="1"/>
      <c r="C226" s="118"/>
    </row>
    <row r="227" spans="2:3" ht="14.25" customHeight="1">
      <c r="B227" s="1"/>
      <c r="C227" s="118"/>
    </row>
    <row r="228" spans="2:3" ht="14.25" customHeight="1">
      <c r="B228" s="1"/>
      <c r="C228" s="118"/>
    </row>
    <row r="229" spans="2:3" ht="14.25" customHeight="1">
      <c r="B229" s="1"/>
      <c r="C229" s="118"/>
    </row>
    <row r="230" spans="2:3" ht="14.25" customHeight="1">
      <c r="B230" s="1"/>
      <c r="C230" s="118"/>
    </row>
    <row r="231" spans="2:3" ht="14.25" customHeight="1">
      <c r="B231" s="1"/>
      <c r="C231" s="118"/>
    </row>
    <row r="232" spans="2:3" ht="14.25" customHeight="1">
      <c r="B232" s="1"/>
      <c r="C232" s="118"/>
    </row>
    <row r="233" spans="2:3" ht="14.25" customHeight="1">
      <c r="B233" s="1"/>
      <c r="C233" s="118"/>
    </row>
    <row r="234" spans="2:3" ht="14.25" customHeight="1">
      <c r="B234" s="1"/>
      <c r="C234" s="118"/>
    </row>
    <row r="235" spans="2:3" ht="14.25" customHeight="1">
      <c r="B235" s="1"/>
      <c r="C235" s="118"/>
    </row>
    <row r="236" spans="2:3" ht="14.25" customHeight="1">
      <c r="B236" s="1"/>
      <c r="C236" s="118"/>
    </row>
    <row r="237" spans="2:3" ht="14.25" customHeight="1">
      <c r="B237" s="1"/>
      <c r="C237" s="118"/>
    </row>
    <row r="238" spans="2:3" ht="14.25" customHeight="1">
      <c r="B238" s="1"/>
      <c r="C238" s="118"/>
    </row>
    <row r="239" spans="2:3" ht="14.25" customHeight="1">
      <c r="B239" s="1"/>
      <c r="C239" s="118"/>
    </row>
    <row r="240" spans="2:3" ht="14.25" customHeight="1">
      <c r="B240" s="1"/>
      <c r="C240" s="118"/>
    </row>
    <row r="241" spans="2:3" ht="14.25" customHeight="1">
      <c r="B241" s="1"/>
      <c r="C241" s="118"/>
    </row>
    <row r="242" spans="2:3" ht="14.25" customHeight="1">
      <c r="B242" s="1"/>
      <c r="C242" s="118"/>
    </row>
    <row r="243" spans="2:3" ht="14.25" customHeight="1">
      <c r="B243" s="1"/>
      <c r="C243" s="118"/>
    </row>
    <row r="244" spans="2:3" ht="14.25" customHeight="1">
      <c r="B244" s="1"/>
      <c r="C244" s="118"/>
    </row>
    <row r="245" spans="2:3" ht="14.25" customHeight="1">
      <c r="B245" s="1"/>
      <c r="C245" s="118"/>
    </row>
    <row r="246" spans="2:3" ht="14.25" customHeight="1">
      <c r="B246" s="1"/>
      <c r="C246" s="118"/>
    </row>
    <row r="247" spans="2:3" ht="14.25" customHeight="1">
      <c r="B247" s="1"/>
      <c r="C247" s="118"/>
    </row>
    <row r="248" spans="2:3" ht="14.25" customHeight="1">
      <c r="B248" s="1"/>
      <c r="C248" s="118"/>
    </row>
    <row r="249" spans="2:3" ht="14.25" customHeight="1">
      <c r="B249" s="1"/>
      <c r="C249" s="118"/>
    </row>
    <row r="250" spans="2:3" ht="14.25" customHeight="1">
      <c r="B250" s="1"/>
      <c r="C250" s="118"/>
    </row>
    <row r="251" spans="2:3" ht="14.25" customHeight="1">
      <c r="B251" s="1"/>
      <c r="C251" s="118"/>
    </row>
    <row r="252" spans="2:3" ht="14.25" customHeight="1">
      <c r="B252" s="1"/>
      <c r="C252" s="118"/>
    </row>
    <row r="253" spans="2:3" ht="14.25" customHeight="1">
      <c r="B253" s="1"/>
      <c r="C253" s="118"/>
    </row>
    <row r="254" spans="2:3" ht="14.25" customHeight="1">
      <c r="B254" s="1"/>
      <c r="C254" s="118"/>
    </row>
    <row r="255" spans="2:3" ht="14.25" customHeight="1">
      <c r="B255" s="1"/>
      <c r="C255" s="118"/>
    </row>
    <row r="256" spans="2:3" ht="14.25" customHeight="1">
      <c r="B256" s="1"/>
      <c r="C256" s="118"/>
    </row>
    <row r="257" spans="2:3" ht="14.25" customHeight="1">
      <c r="B257" s="1"/>
      <c r="C257" s="118"/>
    </row>
    <row r="258" spans="2:3" ht="14.25" customHeight="1">
      <c r="B258" s="1"/>
      <c r="C258" s="118"/>
    </row>
    <row r="259" spans="2:3" ht="14.25" customHeight="1">
      <c r="B259" s="1"/>
      <c r="C259" s="118"/>
    </row>
    <row r="260" spans="2:3" ht="14.25" customHeight="1">
      <c r="B260" s="1"/>
      <c r="C260" s="118"/>
    </row>
    <row r="261" spans="2:3" ht="14.25" customHeight="1">
      <c r="B261" s="1"/>
      <c r="C261" s="118"/>
    </row>
    <row r="262" spans="2:3" ht="14.25" customHeight="1">
      <c r="B262" s="1"/>
      <c r="C262" s="118"/>
    </row>
    <row r="263" spans="2:3" ht="14.25" customHeight="1">
      <c r="B263" s="1"/>
      <c r="C263" s="118"/>
    </row>
    <row r="264" spans="2:3" ht="14.25" customHeight="1">
      <c r="B264" s="1"/>
      <c r="C264" s="118"/>
    </row>
    <row r="265" spans="2:3" ht="14.25" customHeight="1">
      <c r="B265" s="1"/>
      <c r="C265" s="118"/>
    </row>
    <row r="266" spans="2:3" ht="14.25" customHeight="1">
      <c r="B266" s="1"/>
      <c r="C266" s="118"/>
    </row>
    <row r="267" spans="2:3" ht="14.25" customHeight="1">
      <c r="B267" s="1"/>
      <c r="C267" s="118"/>
    </row>
    <row r="268" spans="2:3" ht="14.25" customHeight="1">
      <c r="B268" s="1"/>
      <c r="C268" s="118"/>
    </row>
    <row r="269" spans="2:3" ht="14.25" customHeight="1">
      <c r="B269" s="1"/>
      <c r="C269" s="118"/>
    </row>
    <row r="270" spans="2:3" ht="14.25" customHeight="1">
      <c r="B270" s="1"/>
      <c r="C270" s="118"/>
    </row>
    <row r="271" spans="2:3" ht="14.25" customHeight="1">
      <c r="B271" s="1"/>
      <c r="C271" s="118"/>
    </row>
    <row r="272" spans="2:3" ht="14.25" customHeight="1">
      <c r="B272" s="1"/>
      <c r="C272" s="118"/>
    </row>
    <row r="273" spans="2:3" ht="14.25" customHeight="1">
      <c r="B273" s="1"/>
      <c r="C273" s="118"/>
    </row>
    <row r="274" spans="2:3" ht="14.25" customHeight="1">
      <c r="B274" s="1"/>
      <c r="C274" s="118"/>
    </row>
    <row r="275" spans="2:3" ht="14.25" customHeight="1">
      <c r="B275" s="1"/>
      <c r="C275" s="118"/>
    </row>
    <row r="276" spans="2:3" ht="14.25" customHeight="1">
      <c r="B276" s="1"/>
      <c r="C276" s="118"/>
    </row>
    <row r="277" spans="2:3" ht="14.25" customHeight="1">
      <c r="B277" s="1"/>
      <c r="C277" s="118"/>
    </row>
    <row r="278" spans="2:3" ht="14.25" customHeight="1">
      <c r="B278" s="1"/>
      <c r="C278" s="118"/>
    </row>
    <row r="279" spans="2:3" ht="14.25" customHeight="1">
      <c r="B279" s="1"/>
      <c r="C279" s="118"/>
    </row>
    <row r="280" spans="2:3" ht="14.25" customHeight="1">
      <c r="B280" s="1"/>
      <c r="C280" s="118"/>
    </row>
    <row r="281" spans="2:3" ht="14.25" customHeight="1">
      <c r="B281" s="1"/>
      <c r="C281" s="118"/>
    </row>
    <row r="282" spans="2:3" ht="14.25" customHeight="1">
      <c r="B282" s="1"/>
      <c r="C282" s="118"/>
    </row>
    <row r="283" spans="2:3" ht="14.25" customHeight="1">
      <c r="B283" s="1"/>
      <c r="C283" s="118"/>
    </row>
    <row r="284" spans="2:3" ht="14.25" customHeight="1">
      <c r="B284" s="1"/>
      <c r="C284" s="118"/>
    </row>
    <row r="285" spans="2:3" ht="14.25" customHeight="1">
      <c r="B285" s="1"/>
      <c r="C285" s="118"/>
    </row>
    <row r="286" spans="2:3" ht="14.25" customHeight="1">
      <c r="B286" s="1"/>
      <c r="C286" s="118"/>
    </row>
    <row r="287" spans="2:3" ht="14.25" customHeight="1">
      <c r="B287" s="1"/>
      <c r="C287" s="118"/>
    </row>
    <row r="288" spans="2:3" ht="14.25" customHeight="1">
      <c r="B288" s="1"/>
      <c r="C288" s="118"/>
    </row>
    <row r="289" spans="2:3" ht="14.25" customHeight="1">
      <c r="B289" s="1"/>
      <c r="C289" s="118"/>
    </row>
    <row r="290" spans="2:3" ht="14.25" customHeight="1">
      <c r="B290" s="1"/>
      <c r="C290" s="118"/>
    </row>
    <row r="291" spans="2:3" ht="14.25" customHeight="1">
      <c r="B291" s="1"/>
      <c r="C291" s="118"/>
    </row>
    <row r="292" spans="2:3" ht="14.25" customHeight="1">
      <c r="B292" s="1"/>
      <c r="C292" s="118"/>
    </row>
    <row r="293" spans="2:3" ht="14.25" customHeight="1">
      <c r="B293" s="1"/>
      <c r="C293" s="118"/>
    </row>
    <row r="294" spans="2:3" ht="14.25" customHeight="1">
      <c r="B294" s="1"/>
      <c r="C294" s="118"/>
    </row>
    <row r="295" spans="2:3" ht="14.25" customHeight="1">
      <c r="B295" s="1"/>
      <c r="C295" s="118"/>
    </row>
    <row r="296" spans="2:3" ht="14.25" customHeight="1">
      <c r="B296" s="1"/>
      <c r="C296" s="118"/>
    </row>
    <row r="297" spans="2:3" ht="14.25" customHeight="1">
      <c r="B297" s="1"/>
      <c r="C297" s="118"/>
    </row>
    <row r="298" spans="2:3" ht="14.25" customHeight="1">
      <c r="B298" s="1"/>
      <c r="C298" s="118"/>
    </row>
    <row r="299" spans="2:3" ht="14.25" customHeight="1">
      <c r="B299" s="1"/>
      <c r="C299" s="118"/>
    </row>
    <row r="300" spans="2:3" ht="14.25" customHeight="1">
      <c r="B300" s="1"/>
      <c r="C300" s="118"/>
    </row>
    <row r="301" spans="2:3" ht="14.25" customHeight="1">
      <c r="B301" s="1"/>
      <c r="C301" s="118"/>
    </row>
    <row r="302" spans="2:3" ht="14.25" customHeight="1">
      <c r="B302" s="1"/>
      <c r="C302" s="118"/>
    </row>
    <row r="303" spans="2:3" ht="14.25" customHeight="1">
      <c r="B303" s="1"/>
      <c r="C303" s="118"/>
    </row>
    <row r="304" spans="2:3" ht="14.25" customHeight="1">
      <c r="B304" s="1"/>
      <c r="C304" s="118"/>
    </row>
    <row r="305" spans="2:3" ht="14.25" customHeight="1">
      <c r="B305" s="1"/>
      <c r="C305" s="118"/>
    </row>
    <row r="306" spans="2:3" ht="14.25" customHeight="1">
      <c r="B306" s="1"/>
      <c r="C306" s="118"/>
    </row>
    <row r="307" spans="2:3" ht="14.25" customHeight="1">
      <c r="B307" s="1"/>
      <c r="C307" s="118"/>
    </row>
    <row r="308" spans="2:3" ht="14.25" customHeight="1">
      <c r="B308" s="1"/>
      <c r="C308" s="118"/>
    </row>
    <row r="309" spans="2:3" ht="14.25" customHeight="1">
      <c r="B309" s="1"/>
      <c r="C309" s="118"/>
    </row>
    <row r="310" spans="2:3" ht="14.25" customHeight="1">
      <c r="B310" s="1"/>
      <c r="C310" s="118"/>
    </row>
    <row r="311" spans="2:3" ht="14.25" customHeight="1">
      <c r="B311" s="1"/>
      <c r="C311" s="118"/>
    </row>
    <row r="312" spans="2:3" ht="14.25" customHeight="1">
      <c r="B312" s="1"/>
      <c r="C312" s="118"/>
    </row>
    <row r="313" spans="2:3" ht="14.25" customHeight="1">
      <c r="B313" s="1"/>
      <c r="C313" s="118"/>
    </row>
    <row r="314" spans="2:3" ht="14.25" customHeight="1">
      <c r="B314" s="1"/>
      <c r="C314" s="118"/>
    </row>
    <row r="315" spans="2:3" ht="14.25" customHeight="1">
      <c r="B315" s="1"/>
      <c r="C315" s="118"/>
    </row>
    <row r="316" spans="2:3" ht="14.25" customHeight="1">
      <c r="B316" s="1"/>
      <c r="C316" s="118"/>
    </row>
    <row r="317" spans="2:3" ht="14.25" customHeight="1">
      <c r="B317" s="1"/>
      <c r="C317" s="118"/>
    </row>
    <row r="318" spans="2:3" ht="14.25" customHeight="1">
      <c r="B318" s="1"/>
      <c r="C318" s="118"/>
    </row>
    <row r="319" spans="2:3" ht="14.25" customHeight="1">
      <c r="B319" s="1"/>
      <c r="C319" s="118"/>
    </row>
    <row r="320" spans="2:3" ht="14.25" customHeight="1">
      <c r="B320" s="1"/>
      <c r="C320" s="118"/>
    </row>
    <row r="321" spans="2:3" ht="14.25" customHeight="1">
      <c r="B321" s="1"/>
      <c r="C321" s="118"/>
    </row>
    <row r="322" spans="2:3" ht="14.25" customHeight="1">
      <c r="B322" s="1"/>
      <c r="C322" s="118"/>
    </row>
    <row r="323" spans="2:3" ht="14.25" customHeight="1">
      <c r="B323" s="1"/>
      <c r="C323" s="118"/>
    </row>
    <row r="324" spans="2:3" ht="14.25" customHeight="1">
      <c r="B324" s="1"/>
      <c r="C324" s="118"/>
    </row>
    <row r="325" spans="2:3" ht="14.25" customHeight="1">
      <c r="B325" s="1"/>
      <c r="C325" s="118"/>
    </row>
    <row r="326" spans="2:3" ht="14.25" customHeight="1">
      <c r="B326" s="1"/>
      <c r="C326" s="118"/>
    </row>
    <row r="327" spans="2:3" ht="14.25" customHeight="1">
      <c r="B327" s="1"/>
      <c r="C327" s="118"/>
    </row>
    <row r="328" spans="2:3" ht="14.25" customHeight="1">
      <c r="B328" s="1"/>
      <c r="C328" s="118"/>
    </row>
    <row r="329" spans="2:3" ht="14.25" customHeight="1">
      <c r="B329" s="1"/>
      <c r="C329" s="118"/>
    </row>
    <row r="330" spans="2:3" ht="14.25" customHeight="1">
      <c r="B330" s="1"/>
      <c r="C330" s="118"/>
    </row>
    <row r="331" spans="2:3" ht="14.25" customHeight="1">
      <c r="B331" s="1"/>
      <c r="C331" s="118"/>
    </row>
    <row r="332" spans="2:3" ht="14.25" customHeight="1">
      <c r="B332" s="1"/>
      <c r="C332" s="118"/>
    </row>
    <row r="333" spans="2:3" ht="14.25" customHeight="1">
      <c r="B333" s="1"/>
      <c r="C333" s="118"/>
    </row>
    <row r="334" spans="2:3" ht="14.25" customHeight="1">
      <c r="B334" s="1"/>
      <c r="C334" s="118"/>
    </row>
    <row r="335" spans="2:3" ht="14.25" customHeight="1">
      <c r="B335" s="1"/>
      <c r="C335" s="118"/>
    </row>
    <row r="336" spans="2:3" ht="14.25" customHeight="1">
      <c r="B336" s="1"/>
      <c r="C336" s="118"/>
    </row>
    <row r="337" spans="2:3" ht="14.25" customHeight="1">
      <c r="B337" s="1"/>
      <c r="C337" s="118"/>
    </row>
    <row r="338" spans="2:3" ht="14.25" customHeight="1">
      <c r="B338" s="1"/>
      <c r="C338" s="118"/>
    </row>
    <row r="339" spans="2:3" ht="14.25" customHeight="1">
      <c r="B339" s="1"/>
      <c r="C339" s="118"/>
    </row>
    <row r="340" spans="2:3" ht="14.25" customHeight="1">
      <c r="B340" s="1"/>
      <c r="C340" s="118"/>
    </row>
    <row r="341" spans="2:3" ht="14.25" customHeight="1">
      <c r="B341" s="1"/>
      <c r="C341" s="118"/>
    </row>
    <row r="342" spans="2:3" ht="14.25" customHeight="1">
      <c r="B342" s="1"/>
      <c r="C342" s="118"/>
    </row>
    <row r="343" spans="2:3" ht="14.25" customHeight="1">
      <c r="B343" s="1"/>
      <c r="C343" s="118"/>
    </row>
    <row r="344" spans="2:3" ht="14.25" customHeight="1">
      <c r="B344" s="1"/>
      <c r="C344" s="118"/>
    </row>
    <row r="345" spans="2:3" ht="14.25" customHeight="1">
      <c r="B345" s="1"/>
      <c r="C345" s="118"/>
    </row>
    <row r="346" spans="2:3" ht="14.25" customHeight="1">
      <c r="B346" s="1"/>
      <c r="C346" s="118"/>
    </row>
    <row r="347" spans="2:3" ht="14.25" customHeight="1">
      <c r="B347" s="1"/>
      <c r="C347" s="118"/>
    </row>
    <row r="348" spans="2:3" ht="14.25" customHeight="1">
      <c r="B348" s="1"/>
      <c r="C348" s="118"/>
    </row>
    <row r="349" spans="2:3" ht="14.25" customHeight="1">
      <c r="B349" s="1"/>
      <c r="C349" s="118"/>
    </row>
    <row r="350" spans="2:3" ht="14.25" customHeight="1">
      <c r="B350" s="1"/>
      <c r="C350" s="118"/>
    </row>
    <row r="351" spans="2:3" ht="14.25" customHeight="1">
      <c r="B351" s="1"/>
      <c r="C351" s="118"/>
    </row>
    <row r="352" spans="2:3" ht="14.25" customHeight="1">
      <c r="B352" s="1"/>
      <c r="C352" s="118"/>
    </row>
    <row r="353" spans="2:3" ht="14.25" customHeight="1">
      <c r="B353" s="1"/>
      <c r="C353" s="118"/>
    </row>
    <row r="354" spans="2:3" ht="14.25" customHeight="1">
      <c r="B354" s="1"/>
      <c r="C354" s="118"/>
    </row>
    <row r="355" spans="2:3" ht="14.25" customHeight="1">
      <c r="B355" s="1"/>
      <c r="C355" s="118"/>
    </row>
    <row r="356" spans="2:3" ht="14.25" customHeight="1">
      <c r="B356" s="1"/>
      <c r="C356" s="118"/>
    </row>
    <row r="357" spans="2:3" ht="14.25" customHeight="1">
      <c r="B357" s="1"/>
      <c r="C357" s="118"/>
    </row>
    <row r="358" spans="2:3" ht="14.25" customHeight="1">
      <c r="B358" s="1"/>
      <c r="C358" s="118"/>
    </row>
    <row r="359" spans="2:3" ht="14.25" customHeight="1">
      <c r="B359" s="1"/>
      <c r="C359" s="118"/>
    </row>
    <row r="360" spans="2:3" ht="14.25" customHeight="1">
      <c r="B360" s="1"/>
      <c r="C360" s="118"/>
    </row>
    <row r="361" spans="2:3" ht="14.25" customHeight="1">
      <c r="B361" s="1"/>
      <c r="C361" s="118"/>
    </row>
    <row r="362" spans="2:3" ht="14.25" customHeight="1">
      <c r="B362" s="1"/>
      <c r="C362" s="118"/>
    </row>
    <row r="363" spans="2:3" ht="14.25" customHeight="1">
      <c r="B363" s="1"/>
      <c r="C363" s="118"/>
    </row>
    <row r="364" spans="2:3" ht="14.25" customHeight="1">
      <c r="B364" s="1"/>
      <c r="C364" s="118"/>
    </row>
    <row r="365" spans="2:3" ht="14.25" customHeight="1">
      <c r="B365" s="1"/>
      <c r="C365" s="118"/>
    </row>
    <row r="366" spans="2:3" ht="14.25" customHeight="1">
      <c r="B366" s="1"/>
      <c r="C366" s="118"/>
    </row>
    <row r="367" spans="2:3" ht="14.25" customHeight="1">
      <c r="B367" s="1"/>
      <c r="C367" s="118"/>
    </row>
    <row r="368" spans="2:3" ht="14.25" customHeight="1">
      <c r="B368" s="1"/>
      <c r="C368" s="118"/>
    </row>
    <row r="369" spans="2:3" ht="14.25" customHeight="1">
      <c r="B369" s="1"/>
      <c r="C369" s="118"/>
    </row>
    <row r="370" spans="2:3" ht="14.25" customHeight="1">
      <c r="B370" s="1"/>
      <c r="C370" s="118"/>
    </row>
    <row r="371" spans="2:3" ht="14.25" customHeight="1">
      <c r="B371" s="1"/>
      <c r="C371" s="118"/>
    </row>
    <row r="372" spans="2:3" ht="14.25" customHeight="1">
      <c r="B372" s="1"/>
      <c r="C372" s="118"/>
    </row>
    <row r="373" spans="2:3" ht="14.25" customHeight="1">
      <c r="B373" s="1"/>
      <c r="C373" s="118"/>
    </row>
    <row r="374" spans="2:3" ht="14.25" customHeight="1">
      <c r="B374" s="1"/>
      <c r="C374" s="118"/>
    </row>
    <row r="375" spans="2:3" ht="14.25" customHeight="1">
      <c r="B375" s="1"/>
      <c r="C375" s="118"/>
    </row>
    <row r="376" spans="2:3" ht="14.25" customHeight="1">
      <c r="B376" s="1"/>
      <c r="C376" s="118"/>
    </row>
    <row r="377" spans="2:3" ht="14.25" customHeight="1">
      <c r="B377" s="1"/>
      <c r="C377" s="118"/>
    </row>
    <row r="378" spans="2:3" ht="14.25" customHeight="1">
      <c r="B378" s="1"/>
      <c r="C378" s="118"/>
    </row>
    <row r="379" spans="2:3" ht="14.25" customHeight="1">
      <c r="B379" s="1"/>
      <c r="C379" s="118"/>
    </row>
    <row r="380" spans="2:3" ht="14.25" customHeight="1">
      <c r="B380" s="1"/>
      <c r="C380" s="118"/>
    </row>
    <row r="381" spans="2:3" ht="14.25" customHeight="1">
      <c r="B381" s="1"/>
      <c r="C381" s="118"/>
    </row>
    <row r="382" spans="2:3" ht="14.25" customHeight="1">
      <c r="B382" s="1"/>
      <c r="C382" s="118"/>
    </row>
    <row r="383" spans="2:3" ht="14.25" customHeight="1">
      <c r="B383" s="1"/>
      <c r="C383" s="118"/>
    </row>
    <row r="384" spans="2:3" ht="14.25" customHeight="1">
      <c r="B384" s="1"/>
      <c r="C384" s="118"/>
    </row>
    <row r="385" spans="2:3" ht="14.25" customHeight="1">
      <c r="B385" s="1"/>
      <c r="C385" s="118"/>
    </row>
    <row r="386" spans="2:3" ht="14.25" customHeight="1">
      <c r="B386" s="1"/>
      <c r="C386" s="118"/>
    </row>
    <row r="387" spans="2:3" ht="14.25" customHeight="1">
      <c r="B387" s="1"/>
      <c r="C387" s="118"/>
    </row>
    <row r="388" spans="2:3" ht="14.25" customHeight="1">
      <c r="B388" s="1"/>
      <c r="C388" s="118"/>
    </row>
    <row r="389" spans="2:3" ht="14.25" customHeight="1">
      <c r="B389" s="1"/>
      <c r="C389" s="118"/>
    </row>
    <row r="390" spans="2:3" ht="14.25" customHeight="1">
      <c r="B390" s="1"/>
      <c r="C390" s="118"/>
    </row>
    <row r="391" spans="2:3" ht="14.25" customHeight="1">
      <c r="B391" s="1"/>
      <c r="C391" s="118"/>
    </row>
    <row r="392" spans="2:3" ht="14.25" customHeight="1">
      <c r="B392" s="1"/>
      <c r="C392" s="118"/>
    </row>
    <row r="393" spans="2:3" ht="14.25" customHeight="1">
      <c r="B393" s="1"/>
      <c r="C393" s="118"/>
    </row>
    <row r="394" spans="2:3" ht="14.25" customHeight="1">
      <c r="B394" s="1"/>
      <c r="C394" s="118"/>
    </row>
    <row r="395" spans="2:3" ht="14.25" customHeight="1">
      <c r="B395" s="1"/>
      <c r="C395" s="118"/>
    </row>
    <row r="396" spans="2:3" ht="14.25" customHeight="1">
      <c r="B396" s="1"/>
      <c r="C396" s="118"/>
    </row>
    <row r="397" spans="2:3" ht="14.25" customHeight="1">
      <c r="B397" s="1"/>
      <c r="C397" s="118"/>
    </row>
    <row r="398" spans="2:3" ht="14.25" customHeight="1">
      <c r="B398" s="1"/>
      <c r="C398" s="118"/>
    </row>
    <row r="399" spans="2:3" ht="14.25" customHeight="1">
      <c r="B399" s="1"/>
      <c r="C399" s="118"/>
    </row>
    <row r="400" spans="2:3" ht="14.25" customHeight="1">
      <c r="B400" s="1"/>
      <c r="C400" s="118"/>
    </row>
    <row r="401" spans="2:3" ht="14.25" customHeight="1">
      <c r="B401" s="1"/>
      <c r="C401" s="118"/>
    </row>
    <row r="402" spans="2:3" ht="14.25" customHeight="1">
      <c r="B402" s="1"/>
      <c r="C402" s="118"/>
    </row>
    <row r="403" spans="2:3" ht="14.25" customHeight="1">
      <c r="B403" s="1"/>
      <c r="C403" s="118"/>
    </row>
    <row r="404" spans="2:3" ht="14.25" customHeight="1">
      <c r="B404" s="1"/>
      <c r="C404" s="118"/>
    </row>
    <row r="405" spans="2:3" ht="14.25" customHeight="1">
      <c r="B405" s="1"/>
      <c r="C405" s="118"/>
    </row>
    <row r="406" spans="2:3" ht="14.25" customHeight="1">
      <c r="B406" s="1"/>
      <c r="C406" s="118"/>
    </row>
    <row r="407" spans="2:3" ht="14.25" customHeight="1">
      <c r="B407" s="1"/>
      <c r="C407" s="118"/>
    </row>
    <row r="408" spans="2:3" ht="14.25" customHeight="1">
      <c r="B408" s="1"/>
      <c r="C408" s="118"/>
    </row>
    <row r="409" spans="2:3" ht="14.25" customHeight="1">
      <c r="B409" s="1"/>
      <c r="C409" s="118"/>
    </row>
    <row r="410" spans="2:3" ht="14.25" customHeight="1">
      <c r="B410" s="1"/>
      <c r="C410" s="118"/>
    </row>
    <row r="411" spans="2:3" ht="14.25" customHeight="1">
      <c r="B411" s="1"/>
      <c r="C411" s="118"/>
    </row>
    <row r="412" spans="2:3" ht="14.25" customHeight="1">
      <c r="B412" s="1"/>
      <c r="C412" s="118"/>
    </row>
    <row r="413" spans="2:3" ht="14.25" customHeight="1">
      <c r="B413" s="1"/>
      <c r="C413" s="118"/>
    </row>
    <row r="414" spans="2:3" ht="14.25" customHeight="1">
      <c r="B414" s="1"/>
      <c r="C414" s="118"/>
    </row>
    <row r="415" spans="2:3" ht="14.25" customHeight="1">
      <c r="B415" s="1"/>
      <c r="C415" s="118"/>
    </row>
    <row r="416" spans="2:3" ht="14.25" customHeight="1">
      <c r="B416" s="1"/>
      <c r="C416" s="118"/>
    </row>
    <row r="417" spans="2:3" ht="14.25" customHeight="1">
      <c r="B417" s="1"/>
      <c r="C417" s="118"/>
    </row>
    <row r="418" spans="2:3" ht="14.25" customHeight="1">
      <c r="B418" s="1"/>
      <c r="C418" s="118"/>
    </row>
    <row r="419" spans="2:3" ht="14.25" customHeight="1">
      <c r="B419" s="1"/>
      <c r="C419" s="118"/>
    </row>
    <row r="420" spans="2:3" ht="14.25" customHeight="1">
      <c r="B420" s="1"/>
      <c r="C420" s="118"/>
    </row>
    <row r="421" spans="2:3" ht="14.25" customHeight="1">
      <c r="B421" s="1"/>
      <c r="C421" s="118"/>
    </row>
    <row r="422" spans="2:3" ht="14.25" customHeight="1">
      <c r="B422" s="1"/>
      <c r="C422" s="118"/>
    </row>
    <row r="423" spans="2:3" ht="14.25" customHeight="1">
      <c r="B423" s="1"/>
      <c r="C423" s="118"/>
    </row>
    <row r="424" spans="2:3" ht="14.25" customHeight="1">
      <c r="B424" s="1"/>
      <c r="C424" s="118"/>
    </row>
    <row r="425" spans="2:3" ht="14.25" customHeight="1">
      <c r="B425" s="1"/>
      <c r="C425" s="118"/>
    </row>
    <row r="426" spans="2:3" ht="14.25" customHeight="1">
      <c r="B426" s="1"/>
      <c r="C426" s="118"/>
    </row>
    <row r="427" spans="2:3" ht="14.25" customHeight="1">
      <c r="B427" s="1"/>
      <c r="C427" s="118"/>
    </row>
    <row r="428" spans="2:3" ht="14.25" customHeight="1">
      <c r="B428" s="1"/>
      <c r="C428" s="118"/>
    </row>
    <row r="429" spans="2:3" ht="14.25" customHeight="1">
      <c r="B429" s="1"/>
      <c r="C429" s="118"/>
    </row>
    <row r="430" spans="2:3" ht="14.25" customHeight="1">
      <c r="B430" s="1"/>
      <c r="C430" s="118"/>
    </row>
    <row r="431" spans="2:3" ht="14.25" customHeight="1">
      <c r="B431" s="1"/>
      <c r="C431" s="118"/>
    </row>
    <row r="432" spans="2:3" ht="14.25" customHeight="1">
      <c r="B432" s="1"/>
      <c r="C432" s="118"/>
    </row>
    <row r="433" spans="2:3" ht="14.25" customHeight="1">
      <c r="B433" s="1"/>
      <c r="C433" s="118"/>
    </row>
    <row r="434" spans="2:3" ht="14.25" customHeight="1">
      <c r="B434" s="1"/>
      <c r="C434" s="118"/>
    </row>
    <row r="435" spans="2:3" ht="14.25" customHeight="1">
      <c r="B435" s="1"/>
      <c r="C435" s="118"/>
    </row>
    <row r="436" spans="2:3" ht="14.25" customHeight="1">
      <c r="B436" s="1"/>
      <c r="C436" s="118"/>
    </row>
    <row r="437" spans="2:3" ht="14.25" customHeight="1">
      <c r="B437" s="1"/>
      <c r="C437" s="118"/>
    </row>
    <row r="438" spans="2:3" ht="14.25" customHeight="1">
      <c r="B438" s="1"/>
      <c r="C438" s="118"/>
    </row>
    <row r="439" spans="2:3" ht="14.25" customHeight="1">
      <c r="B439" s="1"/>
      <c r="C439" s="118"/>
    </row>
    <row r="440" spans="2:3" ht="14.25" customHeight="1">
      <c r="B440" s="1"/>
      <c r="C440" s="118"/>
    </row>
    <row r="441" spans="2:3" ht="14.25" customHeight="1">
      <c r="B441" s="1"/>
      <c r="C441" s="118"/>
    </row>
    <row r="442" spans="2:3" ht="14.25" customHeight="1">
      <c r="B442" s="1"/>
      <c r="C442" s="118"/>
    </row>
    <row r="443" spans="2:3" ht="14.25" customHeight="1">
      <c r="B443" s="1"/>
      <c r="C443" s="118"/>
    </row>
    <row r="444" spans="2:3" ht="14.25" customHeight="1">
      <c r="B444" s="1"/>
      <c r="C444" s="118"/>
    </row>
    <row r="445" spans="2:3" ht="14.25" customHeight="1">
      <c r="B445" s="1"/>
      <c r="C445" s="118"/>
    </row>
    <row r="446" spans="2:3" ht="14.25" customHeight="1">
      <c r="B446" s="1"/>
      <c r="C446" s="118"/>
    </row>
    <row r="447" spans="2:3" ht="14.25" customHeight="1">
      <c r="B447" s="1"/>
      <c r="C447" s="118"/>
    </row>
    <row r="448" spans="2:3" ht="14.25" customHeight="1">
      <c r="B448" s="1"/>
      <c r="C448" s="118"/>
    </row>
    <row r="449" spans="2:3" ht="14.25" customHeight="1">
      <c r="B449" s="1"/>
      <c r="C449" s="118"/>
    </row>
    <row r="450" spans="2:3" ht="14.25" customHeight="1">
      <c r="B450" s="1"/>
      <c r="C450" s="118"/>
    </row>
    <row r="451" spans="2:3" ht="14.25" customHeight="1">
      <c r="B451" s="1"/>
      <c r="C451" s="118"/>
    </row>
    <row r="452" spans="2:3" ht="14.25" customHeight="1">
      <c r="B452" s="1"/>
      <c r="C452" s="118"/>
    </row>
    <row r="453" spans="2:3" ht="14.25" customHeight="1">
      <c r="B453" s="1"/>
      <c r="C453" s="118"/>
    </row>
    <row r="454" spans="2:3" ht="14.25" customHeight="1">
      <c r="B454" s="1"/>
      <c r="C454" s="118"/>
    </row>
    <row r="455" spans="2:3" ht="14.25" customHeight="1">
      <c r="B455" s="1"/>
      <c r="C455" s="118"/>
    </row>
    <row r="456" spans="2:3" ht="14.25" customHeight="1">
      <c r="B456" s="1"/>
      <c r="C456" s="118"/>
    </row>
    <row r="457" spans="2:3" ht="14.25" customHeight="1">
      <c r="B457" s="1"/>
      <c r="C457" s="118"/>
    </row>
    <row r="458" spans="2:3" ht="14.25" customHeight="1">
      <c r="B458" s="1"/>
      <c r="C458" s="118"/>
    </row>
    <row r="459" spans="2:3" ht="14.25" customHeight="1">
      <c r="B459" s="1"/>
      <c r="C459" s="118"/>
    </row>
    <row r="460" spans="2:3" ht="14.25" customHeight="1">
      <c r="B460" s="1"/>
      <c r="C460" s="118"/>
    </row>
    <row r="461" spans="2:3" ht="14.25" customHeight="1">
      <c r="B461" s="1"/>
      <c r="C461" s="118"/>
    </row>
    <row r="462" spans="2:3" ht="14.25" customHeight="1">
      <c r="B462" s="1"/>
      <c r="C462" s="118"/>
    </row>
    <row r="463" spans="2:3" ht="14.25" customHeight="1">
      <c r="B463" s="1"/>
      <c r="C463" s="118"/>
    </row>
    <row r="464" spans="2:3" ht="14.25" customHeight="1">
      <c r="B464" s="1"/>
      <c r="C464" s="118"/>
    </row>
    <row r="465" spans="2:3" ht="14.25" customHeight="1">
      <c r="B465" s="1"/>
      <c r="C465" s="118"/>
    </row>
    <row r="466" spans="2:3" ht="14.25" customHeight="1">
      <c r="B466" s="1"/>
      <c r="C466" s="118"/>
    </row>
    <row r="467" spans="2:3" ht="14.25" customHeight="1">
      <c r="B467" s="1"/>
      <c r="C467" s="118"/>
    </row>
    <row r="468" spans="2:3" ht="14.25" customHeight="1">
      <c r="B468" s="1"/>
      <c r="C468" s="118"/>
    </row>
    <row r="469" spans="2:3" ht="14.25" customHeight="1">
      <c r="B469" s="1"/>
      <c r="C469" s="118"/>
    </row>
    <row r="470" spans="2:3" ht="14.25" customHeight="1">
      <c r="B470" s="1"/>
      <c r="C470" s="118"/>
    </row>
    <row r="471" spans="2:3" ht="14.25" customHeight="1">
      <c r="B471" s="1"/>
      <c r="C471" s="118"/>
    </row>
    <row r="472" spans="2:3" ht="14.25" customHeight="1">
      <c r="B472" s="1"/>
      <c r="C472" s="118"/>
    </row>
    <row r="473" spans="2:3" ht="14.25" customHeight="1">
      <c r="B473" s="1"/>
      <c r="C473" s="118"/>
    </row>
    <row r="474" spans="2:3" ht="14.25" customHeight="1">
      <c r="B474" s="1"/>
      <c r="C474" s="118"/>
    </row>
    <row r="475" spans="2:3" ht="14.25" customHeight="1">
      <c r="B475" s="1"/>
      <c r="C475" s="118"/>
    </row>
    <row r="476" spans="2:3" ht="14.25" customHeight="1">
      <c r="B476" s="1"/>
      <c r="C476" s="118"/>
    </row>
    <row r="477" spans="2:3" ht="14.25" customHeight="1">
      <c r="B477" s="1"/>
      <c r="C477" s="118"/>
    </row>
    <row r="478" spans="2:3" ht="14.25" customHeight="1">
      <c r="B478" s="1"/>
      <c r="C478" s="118"/>
    </row>
    <row r="479" spans="2:3" ht="14.25" customHeight="1">
      <c r="B479" s="1"/>
      <c r="C479" s="118"/>
    </row>
    <row r="480" spans="2:3" ht="14.25" customHeight="1">
      <c r="B480" s="1"/>
      <c r="C480" s="118"/>
    </row>
    <row r="481" spans="2:3" ht="14.25" customHeight="1">
      <c r="B481" s="1"/>
      <c r="C481" s="118"/>
    </row>
    <row r="482" spans="2:3" ht="14.25" customHeight="1">
      <c r="B482" s="1"/>
      <c r="C482" s="118"/>
    </row>
    <row r="483" spans="2:3" ht="14.25" customHeight="1">
      <c r="B483" s="1"/>
      <c r="C483" s="118"/>
    </row>
    <row r="484" spans="2:3" ht="14.25" customHeight="1">
      <c r="B484" s="1"/>
      <c r="C484" s="118"/>
    </row>
    <row r="485" spans="2:3" ht="14.25" customHeight="1">
      <c r="B485" s="1"/>
      <c r="C485" s="118"/>
    </row>
    <row r="486" spans="2:3" ht="14.25" customHeight="1">
      <c r="B486" s="1"/>
      <c r="C486" s="118"/>
    </row>
    <row r="487" spans="2:3" ht="14.25" customHeight="1">
      <c r="B487" s="1"/>
      <c r="C487" s="118"/>
    </row>
    <row r="488" spans="2:3" ht="14.25" customHeight="1">
      <c r="B488" s="1"/>
      <c r="C488" s="118"/>
    </row>
    <row r="489" spans="2:3" ht="14.25" customHeight="1">
      <c r="B489" s="1"/>
      <c r="C489" s="118"/>
    </row>
    <row r="490" spans="2:3" ht="14.25" customHeight="1">
      <c r="B490" s="1"/>
      <c r="C490" s="118"/>
    </row>
    <row r="491" spans="2:3" ht="14.25" customHeight="1">
      <c r="B491" s="1"/>
      <c r="C491" s="118"/>
    </row>
    <row r="492" spans="2:3" ht="14.25" customHeight="1">
      <c r="B492" s="1"/>
      <c r="C492" s="118"/>
    </row>
    <row r="493" spans="2:3" ht="14.25" customHeight="1">
      <c r="B493" s="1"/>
      <c r="C493" s="118"/>
    </row>
    <row r="494" spans="2:3" ht="14.25" customHeight="1">
      <c r="B494" s="1"/>
      <c r="C494" s="118"/>
    </row>
    <row r="495" spans="2:3" ht="14.25" customHeight="1">
      <c r="B495" s="1"/>
      <c r="C495" s="118"/>
    </row>
    <row r="496" spans="2:3" ht="14.25" customHeight="1">
      <c r="B496" s="1"/>
      <c r="C496" s="118"/>
    </row>
    <row r="497" spans="2:3" ht="14.25" customHeight="1">
      <c r="B497" s="1"/>
      <c r="C497" s="118"/>
    </row>
    <row r="498" spans="2:3" ht="14.25" customHeight="1">
      <c r="B498" s="1"/>
      <c r="C498" s="118"/>
    </row>
    <row r="499" spans="2:3" ht="14.25" customHeight="1">
      <c r="B499" s="1"/>
      <c r="C499" s="118"/>
    </row>
    <row r="500" spans="2:3" ht="14.25" customHeight="1">
      <c r="B500" s="1"/>
      <c r="C500" s="118"/>
    </row>
    <row r="501" spans="2:3" ht="14.25" customHeight="1">
      <c r="B501" s="1"/>
      <c r="C501" s="118"/>
    </row>
    <row r="502" spans="2:3" ht="14.25" customHeight="1">
      <c r="B502" s="1"/>
      <c r="C502" s="118"/>
    </row>
    <row r="503" spans="2:3" ht="14.25" customHeight="1">
      <c r="B503" s="1"/>
      <c r="C503" s="118"/>
    </row>
    <row r="504" spans="2:3" ht="14.25" customHeight="1">
      <c r="B504" s="1"/>
      <c r="C504" s="118"/>
    </row>
    <row r="505" spans="2:3" ht="14.25" customHeight="1">
      <c r="B505" s="1"/>
      <c r="C505" s="118"/>
    </row>
    <row r="506" spans="2:3" ht="14.25" customHeight="1">
      <c r="B506" s="1"/>
      <c r="C506" s="118"/>
    </row>
    <row r="507" spans="2:3" ht="14.25" customHeight="1">
      <c r="B507" s="1"/>
      <c r="C507" s="118"/>
    </row>
    <row r="508" spans="2:3" ht="14.25" customHeight="1">
      <c r="B508" s="1"/>
      <c r="C508" s="118"/>
    </row>
    <row r="509" spans="2:3" ht="14.25" customHeight="1">
      <c r="B509" s="1"/>
      <c r="C509" s="118"/>
    </row>
    <row r="510" spans="2:3" ht="14.25" customHeight="1">
      <c r="B510" s="1"/>
      <c r="C510" s="118"/>
    </row>
    <row r="511" spans="2:3" ht="14.25" customHeight="1">
      <c r="B511" s="1"/>
      <c r="C511" s="118"/>
    </row>
    <row r="512" spans="2:3" ht="14.25" customHeight="1">
      <c r="B512" s="1"/>
      <c r="C512" s="118"/>
    </row>
    <row r="513" spans="2:3" ht="14.25" customHeight="1">
      <c r="B513" s="1"/>
      <c r="C513" s="118"/>
    </row>
    <row r="514" spans="2:3" ht="14.25" customHeight="1">
      <c r="B514" s="1"/>
      <c r="C514" s="118"/>
    </row>
    <row r="515" spans="2:3" ht="14.25" customHeight="1">
      <c r="B515" s="1"/>
      <c r="C515" s="118"/>
    </row>
    <row r="516" spans="2:3" ht="14.25" customHeight="1">
      <c r="B516" s="1"/>
      <c r="C516" s="118"/>
    </row>
    <row r="517" spans="2:3" ht="14.25" customHeight="1">
      <c r="B517" s="1"/>
      <c r="C517" s="118"/>
    </row>
    <row r="518" spans="2:3" ht="14.25" customHeight="1">
      <c r="B518" s="1"/>
      <c r="C518" s="118"/>
    </row>
    <row r="519" spans="2:3" ht="14.25" customHeight="1">
      <c r="B519" s="1"/>
      <c r="C519" s="118"/>
    </row>
    <row r="520" spans="2:3" ht="14.25" customHeight="1">
      <c r="B520" s="1"/>
      <c r="C520" s="118"/>
    </row>
    <row r="521" spans="2:3" ht="14.25" customHeight="1">
      <c r="B521" s="1"/>
      <c r="C521" s="118"/>
    </row>
    <row r="522" spans="2:3" ht="14.25" customHeight="1">
      <c r="B522" s="1"/>
      <c r="C522" s="118"/>
    </row>
    <row r="523" spans="2:3" ht="14.25" customHeight="1">
      <c r="B523" s="1"/>
      <c r="C523" s="118"/>
    </row>
    <row r="524" spans="2:3" ht="14.25" customHeight="1">
      <c r="B524" s="1"/>
      <c r="C524" s="118"/>
    </row>
    <row r="525" spans="2:3" ht="14.25" customHeight="1">
      <c r="B525" s="1"/>
      <c r="C525" s="118"/>
    </row>
    <row r="526" spans="2:3" ht="14.25" customHeight="1">
      <c r="B526" s="1"/>
      <c r="C526" s="118"/>
    </row>
    <row r="527" spans="2:3" ht="14.25" customHeight="1">
      <c r="B527" s="1"/>
      <c r="C527" s="118"/>
    </row>
    <row r="528" spans="2:3" ht="14.25" customHeight="1">
      <c r="B528" s="1"/>
      <c r="C528" s="118"/>
    </row>
    <row r="529" spans="2:3" ht="14.25" customHeight="1">
      <c r="B529" s="1"/>
      <c r="C529" s="118"/>
    </row>
    <row r="530" spans="2:3" ht="14.25" customHeight="1">
      <c r="B530" s="1"/>
      <c r="C530" s="118"/>
    </row>
    <row r="531" spans="2:3" ht="14.25" customHeight="1">
      <c r="B531" s="1"/>
      <c r="C531" s="118"/>
    </row>
    <row r="532" spans="2:3" ht="14.25" customHeight="1">
      <c r="B532" s="1"/>
      <c r="C532" s="118"/>
    </row>
    <row r="533" spans="2:3" ht="14.25" customHeight="1">
      <c r="B533" s="1"/>
      <c r="C533" s="118"/>
    </row>
    <row r="534" spans="2:3" ht="14.25" customHeight="1">
      <c r="B534" s="1"/>
      <c r="C534" s="118"/>
    </row>
    <row r="535" spans="2:3" ht="14.25" customHeight="1">
      <c r="B535" s="1"/>
      <c r="C535" s="118"/>
    </row>
    <row r="536" spans="2:3" ht="14.25" customHeight="1">
      <c r="B536" s="1"/>
      <c r="C536" s="118"/>
    </row>
    <row r="537" spans="2:3" ht="14.25" customHeight="1">
      <c r="B537" s="1"/>
      <c r="C537" s="118"/>
    </row>
    <row r="538" spans="2:3" ht="14.25" customHeight="1">
      <c r="B538" s="1"/>
      <c r="C538" s="118"/>
    </row>
    <row r="539" spans="2:3" ht="14.25" customHeight="1">
      <c r="B539" s="1"/>
      <c r="C539" s="118"/>
    </row>
    <row r="540" spans="2:3" ht="14.25" customHeight="1">
      <c r="B540" s="1"/>
      <c r="C540" s="118"/>
    </row>
    <row r="541" spans="2:3" ht="14.25" customHeight="1">
      <c r="B541" s="1"/>
      <c r="C541" s="118"/>
    </row>
    <row r="542" spans="2:3" ht="14.25" customHeight="1">
      <c r="B542" s="1"/>
      <c r="C542" s="118"/>
    </row>
    <row r="543" spans="2:3" ht="14.25" customHeight="1">
      <c r="B543" s="1"/>
      <c r="C543" s="118"/>
    </row>
    <row r="544" spans="2:3" ht="14.25" customHeight="1">
      <c r="B544" s="1"/>
      <c r="C544" s="118"/>
    </row>
    <row r="545" spans="2:3" ht="14.25" customHeight="1">
      <c r="B545" s="1"/>
      <c r="C545" s="118"/>
    </row>
    <row r="546" spans="2:3" ht="14.25" customHeight="1">
      <c r="B546" s="1"/>
      <c r="C546" s="118"/>
    </row>
    <row r="547" spans="2:3" ht="14.25" customHeight="1">
      <c r="B547" s="1"/>
      <c r="C547" s="118"/>
    </row>
    <row r="548" spans="2:3" ht="14.25" customHeight="1">
      <c r="B548" s="1"/>
      <c r="C548" s="118"/>
    </row>
    <row r="549" spans="2:3" ht="14.25" customHeight="1">
      <c r="B549" s="1"/>
      <c r="C549" s="118"/>
    </row>
    <row r="550" spans="2:3" ht="14.25" customHeight="1">
      <c r="B550" s="1"/>
      <c r="C550" s="118"/>
    </row>
    <row r="551" spans="2:3" ht="14.25" customHeight="1">
      <c r="B551" s="1"/>
      <c r="C551" s="118"/>
    </row>
    <row r="552" spans="2:3" ht="14.25" customHeight="1">
      <c r="B552" s="1"/>
      <c r="C552" s="118"/>
    </row>
    <row r="553" spans="2:3" ht="14.25" customHeight="1">
      <c r="B553" s="1"/>
      <c r="C553" s="118"/>
    </row>
    <row r="554" spans="2:3" ht="14.25" customHeight="1">
      <c r="B554" s="1"/>
      <c r="C554" s="118"/>
    </row>
    <row r="555" spans="2:3" ht="14.25" customHeight="1">
      <c r="B555" s="1"/>
      <c r="C555" s="118"/>
    </row>
    <row r="556" spans="2:3" ht="14.25" customHeight="1">
      <c r="B556" s="1"/>
      <c r="C556" s="118"/>
    </row>
    <row r="557" spans="2:3" ht="14.25" customHeight="1">
      <c r="B557" s="1"/>
      <c r="C557" s="118"/>
    </row>
    <row r="558" spans="2:3" ht="14.25" customHeight="1">
      <c r="B558" s="1"/>
      <c r="C558" s="118"/>
    </row>
    <row r="559" spans="2:3" ht="14.25" customHeight="1">
      <c r="B559" s="1"/>
      <c r="C559" s="118"/>
    </row>
    <row r="560" spans="2:3" ht="14.25" customHeight="1">
      <c r="B560" s="1"/>
      <c r="C560" s="118"/>
    </row>
    <row r="561" spans="2:3" ht="14.25" customHeight="1">
      <c r="B561" s="1"/>
      <c r="C561" s="118"/>
    </row>
    <row r="562" spans="2:3" ht="14.25" customHeight="1">
      <c r="B562" s="1"/>
      <c r="C562" s="118"/>
    </row>
    <row r="563" spans="2:3" ht="14.25" customHeight="1">
      <c r="B563" s="1"/>
      <c r="C563" s="118"/>
    </row>
    <row r="564" spans="2:3" ht="14.25" customHeight="1">
      <c r="B564" s="1"/>
      <c r="C564" s="118"/>
    </row>
    <row r="565" spans="2:3" ht="14.25" customHeight="1">
      <c r="B565" s="1"/>
      <c r="C565" s="118"/>
    </row>
    <row r="566" spans="2:3" ht="14.25" customHeight="1">
      <c r="B566" s="1"/>
      <c r="C566" s="118"/>
    </row>
    <row r="567" spans="2:3" ht="14.25" customHeight="1">
      <c r="B567" s="1"/>
      <c r="C567" s="118"/>
    </row>
    <row r="568" spans="2:3" ht="14.25" customHeight="1">
      <c r="B568" s="1"/>
      <c r="C568" s="118"/>
    </row>
    <row r="569" spans="2:3" ht="14.25" customHeight="1">
      <c r="B569" s="1"/>
      <c r="C569" s="118"/>
    </row>
    <row r="570" spans="2:3" ht="14.25" customHeight="1">
      <c r="B570" s="1"/>
      <c r="C570" s="118"/>
    </row>
    <row r="571" spans="2:3" ht="14.25" customHeight="1">
      <c r="B571" s="1"/>
      <c r="C571" s="118"/>
    </row>
    <row r="572" spans="2:3" ht="14.25" customHeight="1">
      <c r="B572" s="1"/>
      <c r="C572" s="118"/>
    </row>
    <row r="573" spans="2:3" ht="14.25" customHeight="1">
      <c r="B573" s="1"/>
      <c r="C573" s="118"/>
    </row>
    <row r="574" spans="2:3" ht="14.25" customHeight="1">
      <c r="B574" s="1"/>
      <c r="C574" s="118"/>
    </row>
    <row r="575" spans="2:3" ht="14.25" customHeight="1">
      <c r="B575" s="1"/>
      <c r="C575" s="118"/>
    </row>
    <row r="576" spans="2:3" ht="14.25" customHeight="1">
      <c r="B576" s="1"/>
      <c r="C576" s="118"/>
    </row>
    <row r="577" spans="2:3" ht="14.25" customHeight="1">
      <c r="B577" s="1"/>
      <c r="C577" s="118"/>
    </row>
    <row r="578" spans="2:3" ht="14.25" customHeight="1">
      <c r="B578" s="1"/>
      <c r="C578" s="118"/>
    </row>
    <row r="579" spans="2:3" ht="14.25" customHeight="1">
      <c r="B579" s="1"/>
      <c r="C579" s="118"/>
    </row>
    <row r="580" spans="2:3" ht="14.25" customHeight="1">
      <c r="B580" s="1"/>
      <c r="C580" s="118"/>
    </row>
    <row r="581" spans="2:3" ht="14.25" customHeight="1">
      <c r="B581" s="1"/>
      <c r="C581" s="118"/>
    </row>
    <row r="582" spans="2:3" ht="14.25" customHeight="1">
      <c r="B582" s="1"/>
      <c r="C582" s="118"/>
    </row>
    <row r="583" spans="2:3" ht="14.25" customHeight="1">
      <c r="B583" s="1"/>
      <c r="C583" s="118"/>
    </row>
    <row r="584" spans="2:3" ht="14.25" customHeight="1">
      <c r="B584" s="1"/>
      <c r="C584" s="118"/>
    </row>
    <row r="585" spans="2:3" ht="14.25" customHeight="1">
      <c r="B585" s="1"/>
      <c r="C585" s="118"/>
    </row>
    <row r="586" spans="2:3" ht="14.25" customHeight="1">
      <c r="B586" s="1"/>
      <c r="C586" s="118"/>
    </row>
    <row r="587" spans="2:3" ht="14.25" customHeight="1">
      <c r="B587" s="1"/>
      <c r="C587" s="118"/>
    </row>
    <row r="588" spans="2:3" ht="14.25" customHeight="1">
      <c r="B588" s="1"/>
      <c r="C588" s="118"/>
    </row>
    <row r="589" spans="2:3" ht="14.25" customHeight="1">
      <c r="B589" s="1"/>
      <c r="C589" s="118"/>
    </row>
    <row r="590" spans="2:3" ht="14.25" customHeight="1">
      <c r="B590" s="1"/>
      <c r="C590" s="118"/>
    </row>
    <row r="591" spans="2:3" ht="14.25" customHeight="1">
      <c r="B591" s="1"/>
      <c r="C591" s="118"/>
    </row>
    <row r="592" spans="2:3" ht="14.25" customHeight="1">
      <c r="B592" s="1"/>
      <c r="C592" s="118"/>
    </row>
    <row r="593" spans="2:3" ht="14.25" customHeight="1">
      <c r="B593" s="1"/>
      <c r="C593" s="118"/>
    </row>
    <row r="594" spans="2:3" ht="14.25" customHeight="1">
      <c r="B594" s="1"/>
      <c r="C594" s="118"/>
    </row>
    <row r="595" spans="2:3" ht="14.25" customHeight="1">
      <c r="B595" s="1"/>
      <c r="C595" s="118"/>
    </row>
    <row r="596" spans="2:3" ht="14.25" customHeight="1">
      <c r="B596" s="1"/>
      <c r="C596" s="118"/>
    </row>
    <row r="597" spans="2:3" ht="14.25" customHeight="1">
      <c r="B597" s="1"/>
      <c r="C597" s="118"/>
    </row>
    <row r="598" spans="2:3" ht="14.25" customHeight="1">
      <c r="B598" s="1"/>
      <c r="C598" s="118"/>
    </row>
    <row r="599" spans="2:3" ht="14.25" customHeight="1">
      <c r="B599" s="1"/>
      <c r="C599" s="118"/>
    </row>
    <row r="600" spans="2:3" ht="14.25" customHeight="1">
      <c r="B600" s="1"/>
      <c r="C600" s="118"/>
    </row>
    <row r="601" spans="2:3" ht="14.25" customHeight="1">
      <c r="B601" s="1"/>
      <c r="C601" s="118"/>
    </row>
    <row r="602" spans="2:3" ht="14.25" customHeight="1">
      <c r="B602" s="1"/>
      <c r="C602" s="118"/>
    </row>
    <row r="603" spans="2:3" ht="14.25" customHeight="1">
      <c r="B603" s="1"/>
      <c r="C603" s="118"/>
    </row>
    <row r="604" spans="2:3" ht="14.25" customHeight="1">
      <c r="B604" s="1"/>
      <c r="C604" s="118"/>
    </row>
    <row r="605" spans="2:3" ht="14.25" customHeight="1">
      <c r="B605" s="1"/>
      <c r="C605" s="118"/>
    </row>
    <row r="606" spans="2:3" ht="14.25" customHeight="1">
      <c r="B606" s="1"/>
      <c r="C606" s="118"/>
    </row>
    <row r="607" spans="2:3" ht="14.25" customHeight="1">
      <c r="B607" s="1"/>
      <c r="C607" s="118"/>
    </row>
    <row r="608" spans="2:3" ht="14.25" customHeight="1">
      <c r="B608" s="1"/>
      <c r="C608" s="118"/>
    </row>
    <row r="609" spans="2:3" ht="14.25" customHeight="1">
      <c r="B609" s="1"/>
      <c r="C609" s="118"/>
    </row>
    <row r="610" spans="2:3" ht="14.25" customHeight="1">
      <c r="B610" s="1"/>
      <c r="C610" s="118"/>
    </row>
    <row r="611" spans="2:3" ht="14.25" customHeight="1">
      <c r="B611" s="1"/>
      <c r="C611" s="118"/>
    </row>
    <row r="612" spans="2:3" ht="14.25" customHeight="1">
      <c r="B612" s="1"/>
      <c r="C612" s="118"/>
    </row>
    <row r="613" spans="2:3" ht="14.25" customHeight="1">
      <c r="B613" s="1"/>
      <c r="C613" s="118"/>
    </row>
    <row r="614" spans="2:3" ht="14.25" customHeight="1">
      <c r="B614" s="1"/>
      <c r="C614" s="118"/>
    </row>
    <row r="615" spans="2:3" ht="14.25" customHeight="1">
      <c r="B615" s="1"/>
      <c r="C615" s="118"/>
    </row>
    <row r="616" spans="2:3" ht="14.25" customHeight="1">
      <c r="B616" s="1"/>
      <c r="C616" s="118"/>
    </row>
    <row r="617" spans="2:3" ht="14.25" customHeight="1">
      <c r="B617" s="1"/>
      <c r="C617" s="118"/>
    </row>
    <row r="618" spans="2:3" ht="14.25" customHeight="1">
      <c r="B618" s="1"/>
      <c r="C618" s="118"/>
    </row>
    <row r="619" spans="2:3" ht="14.25" customHeight="1">
      <c r="B619" s="1"/>
      <c r="C619" s="118"/>
    </row>
    <row r="620" spans="2:3" ht="14.25" customHeight="1">
      <c r="B620" s="1"/>
      <c r="C620" s="118"/>
    </row>
    <row r="621" spans="2:3" ht="14.25" customHeight="1">
      <c r="B621" s="1"/>
      <c r="C621" s="118"/>
    </row>
    <row r="622" spans="2:3" ht="14.25" customHeight="1">
      <c r="B622" s="1"/>
      <c r="C622" s="118"/>
    </row>
    <row r="623" spans="2:3" ht="14.25" customHeight="1">
      <c r="B623" s="1"/>
      <c r="C623" s="118"/>
    </row>
    <row r="624" spans="2:3" ht="14.25" customHeight="1">
      <c r="B624" s="1"/>
      <c r="C624" s="118"/>
    </row>
    <row r="625" spans="2:3" ht="14.25" customHeight="1">
      <c r="B625" s="1"/>
      <c r="C625" s="118"/>
    </row>
    <row r="626" spans="2:3" ht="14.25" customHeight="1">
      <c r="B626" s="1"/>
      <c r="C626" s="118"/>
    </row>
    <row r="627" spans="2:3" ht="14.25" customHeight="1">
      <c r="B627" s="1"/>
      <c r="C627" s="118"/>
    </row>
    <row r="628" spans="2:3" ht="14.25" customHeight="1">
      <c r="B628" s="1"/>
      <c r="C628" s="118"/>
    </row>
    <row r="629" spans="2:3" ht="14.25" customHeight="1">
      <c r="B629" s="1"/>
      <c r="C629" s="118"/>
    </row>
    <row r="630" spans="2:3" ht="14.25" customHeight="1">
      <c r="B630" s="1"/>
      <c r="C630" s="118"/>
    </row>
    <row r="631" spans="2:3" ht="14.25" customHeight="1">
      <c r="B631" s="1"/>
      <c r="C631" s="118"/>
    </row>
    <row r="632" spans="2:3" ht="14.25" customHeight="1">
      <c r="B632" s="1"/>
      <c r="C632" s="118"/>
    </row>
    <row r="633" spans="2:3" ht="14.25" customHeight="1">
      <c r="B633" s="1"/>
      <c r="C633" s="118"/>
    </row>
    <row r="634" spans="2:3" ht="14.25" customHeight="1">
      <c r="B634" s="1"/>
      <c r="C634" s="118"/>
    </row>
    <row r="635" spans="2:3" ht="14.25" customHeight="1">
      <c r="B635" s="1"/>
      <c r="C635" s="118"/>
    </row>
    <row r="636" spans="2:3" ht="14.25" customHeight="1">
      <c r="B636" s="1"/>
      <c r="C636" s="118"/>
    </row>
    <row r="637" spans="2:3" ht="14.25" customHeight="1">
      <c r="B637" s="1"/>
      <c r="C637" s="118"/>
    </row>
    <row r="638" spans="2:3" ht="14.25" customHeight="1">
      <c r="B638" s="1"/>
      <c r="C638" s="118"/>
    </row>
    <row r="639" spans="2:3" ht="14.25" customHeight="1">
      <c r="B639" s="1"/>
      <c r="C639" s="118"/>
    </row>
    <row r="640" spans="2:3" ht="14.25" customHeight="1">
      <c r="B640" s="1"/>
      <c r="C640" s="118"/>
    </row>
    <row r="641" spans="2:3" ht="14.25" customHeight="1">
      <c r="B641" s="1"/>
      <c r="C641" s="118"/>
    </row>
    <row r="642" spans="2:3" ht="14.25" customHeight="1">
      <c r="B642" s="1"/>
      <c r="C642" s="118"/>
    </row>
    <row r="643" spans="2:3" ht="14.25" customHeight="1">
      <c r="B643" s="1"/>
      <c r="C643" s="118"/>
    </row>
    <row r="644" spans="2:3" ht="14.25" customHeight="1">
      <c r="B644" s="1"/>
      <c r="C644" s="118"/>
    </row>
    <row r="645" spans="2:3" ht="14.25" customHeight="1">
      <c r="B645" s="1"/>
      <c r="C645" s="118"/>
    </row>
    <row r="646" spans="2:3" ht="14.25" customHeight="1">
      <c r="B646" s="1"/>
      <c r="C646" s="118"/>
    </row>
    <row r="647" spans="2:3" ht="14.25" customHeight="1">
      <c r="B647" s="1"/>
      <c r="C647" s="118"/>
    </row>
    <row r="648" spans="2:3" ht="14.25" customHeight="1">
      <c r="B648" s="1"/>
      <c r="C648" s="118"/>
    </row>
    <row r="649" spans="2:3" ht="14.25" customHeight="1">
      <c r="B649" s="1"/>
      <c r="C649" s="118"/>
    </row>
    <row r="650" spans="2:3" ht="14.25" customHeight="1">
      <c r="B650" s="1"/>
      <c r="C650" s="118"/>
    </row>
    <row r="651" spans="2:3" ht="14.25" customHeight="1">
      <c r="B651" s="1"/>
      <c r="C651" s="118"/>
    </row>
    <row r="652" spans="2:3" ht="14.25" customHeight="1">
      <c r="B652" s="1"/>
      <c r="C652" s="118"/>
    </row>
    <row r="653" spans="2:3" ht="14.25" customHeight="1">
      <c r="B653" s="1"/>
      <c r="C653" s="118"/>
    </row>
    <row r="654" spans="2:3" ht="14.25" customHeight="1">
      <c r="B654" s="1"/>
      <c r="C654" s="118"/>
    </row>
    <row r="655" spans="2:3" ht="14.25" customHeight="1">
      <c r="B655" s="1"/>
      <c r="C655" s="118"/>
    </row>
    <row r="656" spans="2:3" ht="14.25" customHeight="1">
      <c r="B656" s="1"/>
      <c r="C656" s="118"/>
    </row>
    <row r="657" spans="2:3" ht="14.25" customHeight="1">
      <c r="B657" s="1"/>
      <c r="C657" s="118"/>
    </row>
    <row r="658" spans="2:3" ht="14.25" customHeight="1">
      <c r="B658" s="1"/>
      <c r="C658" s="118"/>
    </row>
    <row r="659" spans="2:3" ht="14.25" customHeight="1">
      <c r="B659" s="1"/>
      <c r="C659" s="118"/>
    </row>
    <row r="660" spans="2:3" ht="14.25" customHeight="1">
      <c r="B660" s="1"/>
      <c r="C660" s="118"/>
    </row>
    <row r="661" spans="2:3" ht="14.25" customHeight="1">
      <c r="B661" s="1"/>
      <c r="C661" s="118"/>
    </row>
    <row r="662" spans="2:3" ht="14.25" customHeight="1">
      <c r="B662" s="1"/>
      <c r="C662" s="118"/>
    </row>
    <row r="663" spans="2:3" ht="14.25" customHeight="1">
      <c r="B663" s="1"/>
      <c r="C663" s="118"/>
    </row>
    <row r="664" spans="2:3" ht="14.25" customHeight="1">
      <c r="B664" s="1"/>
      <c r="C664" s="118"/>
    </row>
    <row r="665" spans="2:3" ht="14.25" customHeight="1">
      <c r="B665" s="1"/>
      <c r="C665" s="118"/>
    </row>
    <row r="666" spans="2:3" ht="14.25" customHeight="1">
      <c r="B666" s="1"/>
      <c r="C666" s="118"/>
    </row>
    <row r="667" spans="2:3" ht="14.25" customHeight="1">
      <c r="B667" s="1"/>
      <c r="C667" s="118"/>
    </row>
    <row r="668" spans="2:3" ht="14.25" customHeight="1">
      <c r="B668" s="1"/>
      <c r="C668" s="118"/>
    </row>
    <row r="669" spans="2:3" ht="14.25" customHeight="1">
      <c r="B669" s="1"/>
      <c r="C669" s="118"/>
    </row>
    <row r="670" spans="2:3" ht="14.25" customHeight="1">
      <c r="B670" s="1"/>
      <c r="C670" s="118"/>
    </row>
    <row r="671" spans="2:3" ht="14.25" customHeight="1">
      <c r="B671" s="1"/>
      <c r="C671" s="118"/>
    </row>
    <row r="672" spans="2:3" ht="14.25" customHeight="1">
      <c r="B672" s="1"/>
      <c r="C672" s="118"/>
    </row>
    <row r="673" spans="2:3" ht="14.25" customHeight="1">
      <c r="B673" s="1"/>
      <c r="C673" s="118"/>
    </row>
    <row r="674" spans="2:3" ht="14.25" customHeight="1">
      <c r="B674" s="1"/>
      <c r="C674" s="118"/>
    </row>
    <row r="675" spans="2:3" ht="14.25" customHeight="1">
      <c r="B675" s="1"/>
      <c r="C675" s="118"/>
    </row>
    <row r="676" spans="2:3" ht="14.25" customHeight="1">
      <c r="B676" s="1"/>
      <c r="C676" s="118"/>
    </row>
    <row r="677" spans="2:3" ht="14.25" customHeight="1">
      <c r="B677" s="1"/>
      <c r="C677" s="118"/>
    </row>
    <row r="678" spans="2:3" ht="14.25" customHeight="1">
      <c r="B678" s="1"/>
      <c r="C678" s="118"/>
    </row>
    <row r="679" spans="2:3" ht="14.25" customHeight="1">
      <c r="B679" s="1"/>
      <c r="C679" s="118"/>
    </row>
    <row r="680" spans="2:3" ht="14.25" customHeight="1">
      <c r="B680" s="1"/>
      <c r="C680" s="118"/>
    </row>
    <row r="681" spans="2:3" ht="14.25" customHeight="1">
      <c r="B681" s="1"/>
      <c r="C681" s="118"/>
    </row>
    <row r="682" spans="2:3" ht="14.25" customHeight="1">
      <c r="B682" s="1"/>
      <c r="C682" s="118"/>
    </row>
    <row r="683" spans="2:3" ht="14.25" customHeight="1">
      <c r="B683" s="1"/>
      <c r="C683" s="118"/>
    </row>
    <row r="684" spans="2:3" ht="14.25" customHeight="1">
      <c r="B684" s="1"/>
      <c r="C684" s="118"/>
    </row>
    <row r="685" spans="2:3" ht="14.25" customHeight="1">
      <c r="B685" s="1"/>
      <c r="C685" s="118"/>
    </row>
    <row r="686" spans="2:3" ht="14.25" customHeight="1">
      <c r="B686" s="1"/>
      <c r="C686" s="118"/>
    </row>
    <row r="687" spans="2:3" ht="14.25" customHeight="1">
      <c r="B687" s="1"/>
      <c r="C687" s="118"/>
    </row>
    <row r="688" spans="2:3" ht="14.25" customHeight="1">
      <c r="B688" s="1"/>
      <c r="C688" s="118"/>
    </row>
    <row r="689" spans="2:3" ht="14.25" customHeight="1">
      <c r="B689" s="1"/>
      <c r="C689" s="118"/>
    </row>
    <row r="690" spans="2:3" ht="14.25" customHeight="1">
      <c r="B690" s="1"/>
      <c r="C690" s="118"/>
    </row>
    <row r="691" spans="2:3" ht="14.25" customHeight="1">
      <c r="B691" s="1"/>
      <c r="C691" s="118"/>
    </row>
    <row r="692" spans="2:3" ht="14.25" customHeight="1">
      <c r="B692" s="1"/>
      <c r="C692" s="118"/>
    </row>
    <row r="693" spans="2:3" ht="14.25" customHeight="1">
      <c r="B693" s="1"/>
      <c r="C693" s="118"/>
    </row>
    <row r="694" spans="2:3" ht="14.25" customHeight="1">
      <c r="B694" s="1"/>
      <c r="C694" s="118"/>
    </row>
    <row r="695" spans="2:3" ht="14.25" customHeight="1">
      <c r="B695" s="1"/>
      <c r="C695" s="118"/>
    </row>
    <row r="696" spans="2:3" ht="14.25" customHeight="1">
      <c r="B696" s="1"/>
      <c r="C696" s="118"/>
    </row>
    <row r="697" spans="2:3" ht="14.25" customHeight="1">
      <c r="B697" s="1"/>
      <c r="C697" s="118"/>
    </row>
    <row r="698" spans="2:3" ht="14.25" customHeight="1">
      <c r="B698" s="1"/>
      <c r="C698" s="118"/>
    </row>
    <row r="699" spans="2:3" ht="14.25" customHeight="1">
      <c r="B699" s="1"/>
      <c r="C699" s="118"/>
    </row>
    <row r="700" spans="2:3" ht="14.25" customHeight="1">
      <c r="B700" s="1"/>
      <c r="C700" s="118"/>
    </row>
    <row r="701" spans="2:3" ht="14.25" customHeight="1">
      <c r="B701" s="1"/>
      <c r="C701" s="118"/>
    </row>
    <row r="702" spans="2:3" ht="14.25" customHeight="1">
      <c r="B702" s="1"/>
      <c r="C702" s="118"/>
    </row>
    <row r="703" spans="2:3" ht="14.25" customHeight="1">
      <c r="B703" s="1"/>
      <c r="C703" s="118"/>
    </row>
    <row r="704" spans="2:3" ht="14.25" customHeight="1">
      <c r="B704" s="1"/>
      <c r="C704" s="118"/>
    </row>
    <row r="705" spans="2:3" ht="14.25" customHeight="1">
      <c r="B705" s="1"/>
      <c r="C705" s="118"/>
    </row>
    <row r="706" spans="2:3" ht="14.25" customHeight="1">
      <c r="B706" s="1"/>
      <c r="C706" s="118"/>
    </row>
    <row r="707" spans="2:3" ht="14.25" customHeight="1">
      <c r="B707" s="1"/>
      <c r="C707" s="118"/>
    </row>
    <row r="708" spans="2:3" ht="14.25" customHeight="1">
      <c r="B708" s="1"/>
      <c r="C708" s="118"/>
    </row>
    <row r="709" spans="2:3" ht="14.25" customHeight="1">
      <c r="B709" s="1"/>
      <c r="C709" s="118"/>
    </row>
    <row r="710" spans="2:3" ht="14.25" customHeight="1">
      <c r="B710" s="1"/>
      <c r="C710" s="118"/>
    </row>
    <row r="711" spans="2:3" ht="14.25" customHeight="1">
      <c r="B711" s="1"/>
      <c r="C711" s="118"/>
    </row>
    <row r="712" spans="2:3" ht="14.25" customHeight="1">
      <c r="B712" s="1"/>
      <c r="C712" s="118"/>
    </row>
    <row r="713" spans="2:3" ht="14.25" customHeight="1">
      <c r="B713" s="1"/>
      <c r="C713" s="118"/>
    </row>
    <row r="714" spans="2:3" ht="14.25" customHeight="1">
      <c r="B714" s="1"/>
      <c r="C714" s="118"/>
    </row>
    <row r="715" spans="2:3" ht="14.25" customHeight="1">
      <c r="B715" s="1"/>
      <c r="C715" s="118"/>
    </row>
    <row r="716" spans="2:3" ht="14.25" customHeight="1">
      <c r="B716" s="1"/>
      <c r="C716" s="118"/>
    </row>
    <row r="717" spans="2:3" ht="14.25" customHeight="1">
      <c r="B717" s="1"/>
      <c r="C717" s="118"/>
    </row>
    <row r="718" spans="2:3" ht="14.25" customHeight="1">
      <c r="B718" s="1"/>
      <c r="C718" s="118"/>
    </row>
    <row r="719" spans="2:3" ht="14.25" customHeight="1">
      <c r="B719" s="1"/>
      <c r="C719" s="118"/>
    </row>
    <row r="720" spans="2:3" ht="14.25" customHeight="1">
      <c r="B720" s="1"/>
      <c r="C720" s="118"/>
    </row>
    <row r="721" spans="2:3" ht="14.25" customHeight="1">
      <c r="B721" s="1"/>
      <c r="C721" s="118"/>
    </row>
    <row r="722" spans="2:3" ht="14.25" customHeight="1">
      <c r="B722" s="1"/>
      <c r="C722" s="118"/>
    </row>
    <row r="723" spans="2:3" ht="14.25" customHeight="1">
      <c r="B723" s="1"/>
      <c r="C723" s="118"/>
    </row>
    <row r="724" spans="2:3" ht="14.25" customHeight="1">
      <c r="B724" s="1"/>
      <c r="C724" s="118"/>
    </row>
    <row r="725" spans="2:3" ht="14.25" customHeight="1">
      <c r="B725" s="1"/>
      <c r="C725" s="118"/>
    </row>
    <row r="726" spans="2:3" ht="14.25" customHeight="1">
      <c r="B726" s="1"/>
      <c r="C726" s="118"/>
    </row>
    <row r="727" spans="2:3" ht="14.25" customHeight="1">
      <c r="B727" s="1"/>
      <c r="C727" s="118"/>
    </row>
    <row r="728" spans="2:3" ht="14.25" customHeight="1">
      <c r="B728" s="1"/>
      <c r="C728" s="118"/>
    </row>
    <row r="729" spans="2:3" ht="14.25" customHeight="1">
      <c r="B729" s="1"/>
      <c r="C729" s="118"/>
    </row>
    <row r="730" spans="2:3" ht="14.25" customHeight="1">
      <c r="B730" s="1"/>
      <c r="C730" s="118"/>
    </row>
    <row r="731" spans="2:3" ht="14.25" customHeight="1">
      <c r="B731" s="1"/>
      <c r="C731" s="118"/>
    </row>
    <row r="732" spans="2:3" ht="14.25" customHeight="1">
      <c r="B732" s="1"/>
      <c r="C732" s="118"/>
    </row>
    <row r="733" spans="2:3" ht="14.25" customHeight="1">
      <c r="B733" s="1"/>
      <c r="C733" s="118"/>
    </row>
    <row r="734" spans="2:3" ht="14.25" customHeight="1">
      <c r="B734" s="1"/>
      <c r="C734" s="118"/>
    </row>
    <row r="735" spans="2:3" ht="14.25" customHeight="1">
      <c r="B735" s="1"/>
      <c r="C735" s="118"/>
    </row>
    <row r="736" spans="2:3" ht="14.25" customHeight="1">
      <c r="B736" s="1"/>
      <c r="C736" s="118"/>
    </row>
    <row r="737" spans="2:3" ht="14.25" customHeight="1">
      <c r="B737" s="1"/>
      <c r="C737" s="118"/>
    </row>
    <row r="738" spans="2:3" ht="14.25" customHeight="1">
      <c r="B738" s="1"/>
      <c r="C738" s="118"/>
    </row>
    <row r="739" spans="2:3" ht="14.25" customHeight="1">
      <c r="B739" s="1"/>
      <c r="C739" s="118"/>
    </row>
    <row r="740" spans="2:3" ht="14.25" customHeight="1">
      <c r="B740" s="1"/>
      <c r="C740" s="118"/>
    </row>
    <row r="741" spans="2:3" ht="14.25" customHeight="1">
      <c r="B741" s="1"/>
      <c r="C741" s="118"/>
    </row>
    <row r="742" spans="2:3" ht="14.25" customHeight="1">
      <c r="B742" s="1"/>
      <c r="C742" s="118"/>
    </row>
    <row r="743" spans="2:3" ht="14.25" customHeight="1">
      <c r="B743" s="1"/>
      <c r="C743" s="118"/>
    </row>
    <row r="744" spans="2:3" ht="14.25" customHeight="1">
      <c r="B744" s="1"/>
      <c r="C744" s="118"/>
    </row>
    <row r="745" spans="2:3" ht="14.25" customHeight="1">
      <c r="B745" s="1"/>
      <c r="C745" s="118"/>
    </row>
    <row r="746" spans="2:3" ht="14.25" customHeight="1">
      <c r="B746" s="1"/>
      <c r="C746" s="118"/>
    </row>
    <row r="747" spans="2:3" ht="14.25" customHeight="1">
      <c r="B747" s="1"/>
      <c r="C747" s="118"/>
    </row>
    <row r="748" spans="2:3" ht="14.25" customHeight="1">
      <c r="B748" s="1"/>
      <c r="C748" s="118"/>
    </row>
    <row r="749" spans="2:3" ht="14.25" customHeight="1">
      <c r="B749" s="1"/>
      <c r="C749" s="118"/>
    </row>
    <row r="750" spans="2:3" ht="14.25" customHeight="1">
      <c r="B750" s="1"/>
      <c r="C750" s="118"/>
    </row>
    <row r="751" spans="2:3" ht="14.25" customHeight="1">
      <c r="B751" s="1"/>
      <c r="C751" s="118"/>
    </row>
    <row r="752" spans="2:3" ht="14.25" customHeight="1">
      <c r="B752" s="1"/>
      <c r="C752" s="118"/>
    </row>
    <row r="753" spans="2:3" ht="14.25" customHeight="1">
      <c r="B753" s="1"/>
      <c r="C753" s="118"/>
    </row>
    <row r="754" spans="2:3" ht="14.25" customHeight="1">
      <c r="B754" s="1"/>
      <c r="C754" s="118"/>
    </row>
    <row r="755" spans="2:3" ht="14.25" customHeight="1">
      <c r="B755" s="1"/>
      <c r="C755" s="118"/>
    </row>
    <row r="756" spans="2:3" ht="14.25" customHeight="1">
      <c r="B756" s="1"/>
      <c r="C756" s="118"/>
    </row>
    <row r="757" spans="2:3" ht="14.25" customHeight="1">
      <c r="B757" s="1"/>
      <c r="C757" s="118"/>
    </row>
    <row r="758" spans="2:3" ht="14.25" customHeight="1">
      <c r="B758" s="1"/>
      <c r="C758" s="118"/>
    </row>
    <row r="759" spans="2:3" ht="14.25" customHeight="1">
      <c r="B759" s="1"/>
      <c r="C759" s="118"/>
    </row>
    <row r="760" spans="2:3" ht="14.25" customHeight="1">
      <c r="B760" s="1"/>
      <c r="C760" s="118"/>
    </row>
    <row r="761" spans="2:3" ht="14.25" customHeight="1">
      <c r="B761" s="1"/>
      <c r="C761" s="118"/>
    </row>
    <row r="762" spans="2:3" ht="14.25" customHeight="1">
      <c r="B762" s="1"/>
      <c r="C762" s="118"/>
    </row>
    <row r="763" spans="2:3" ht="14.25" customHeight="1">
      <c r="B763" s="1"/>
      <c r="C763" s="118"/>
    </row>
    <row r="764" spans="2:3" ht="14.25" customHeight="1">
      <c r="B764" s="1"/>
      <c r="C764" s="118"/>
    </row>
    <row r="765" spans="2:3" ht="14.25" customHeight="1">
      <c r="B765" s="1"/>
      <c r="C765" s="118"/>
    </row>
    <row r="766" spans="2:3" ht="14.25" customHeight="1">
      <c r="B766" s="1"/>
      <c r="C766" s="118"/>
    </row>
    <row r="767" spans="2:3" ht="14.25" customHeight="1">
      <c r="B767" s="1"/>
      <c r="C767" s="118"/>
    </row>
    <row r="768" spans="2:3" ht="14.25" customHeight="1">
      <c r="B768" s="1"/>
      <c r="C768" s="118"/>
    </row>
    <row r="769" spans="2:3" ht="14.25" customHeight="1">
      <c r="B769" s="1"/>
      <c r="C769" s="118"/>
    </row>
    <row r="770" spans="2:3" ht="14.25" customHeight="1">
      <c r="B770" s="1"/>
      <c r="C770" s="118"/>
    </row>
    <row r="771" spans="2:3" ht="14.25" customHeight="1">
      <c r="B771" s="1"/>
      <c r="C771" s="118"/>
    </row>
    <row r="772" spans="2:3" ht="14.25" customHeight="1">
      <c r="B772" s="1"/>
      <c r="C772" s="118"/>
    </row>
    <row r="773" spans="2:3" ht="14.25" customHeight="1">
      <c r="B773" s="1"/>
      <c r="C773" s="118"/>
    </row>
    <row r="774" spans="2:3" ht="14.25" customHeight="1">
      <c r="B774" s="1"/>
      <c r="C774" s="118"/>
    </row>
    <row r="775" spans="2:3" ht="14.25" customHeight="1">
      <c r="B775" s="1"/>
      <c r="C775" s="118"/>
    </row>
    <row r="776" spans="2:3" ht="14.25" customHeight="1">
      <c r="B776" s="1"/>
      <c r="C776" s="118"/>
    </row>
    <row r="777" spans="2:3" ht="14.25" customHeight="1">
      <c r="B777" s="1"/>
      <c r="C777" s="118"/>
    </row>
    <row r="778" spans="2:3" ht="14.25" customHeight="1">
      <c r="B778" s="1"/>
      <c r="C778" s="118"/>
    </row>
    <row r="779" spans="2:3" ht="14.25" customHeight="1">
      <c r="B779" s="1"/>
      <c r="C779" s="118"/>
    </row>
    <row r="780" spans="2:3" ht="14.25" customHeight="1">
      <c r="B780" s="1"/>
      <c r="C780" s="118"/>
    </row>
    <row r="781" spans="2:3" ht="14.25" customHeight="1">
      <c r="B781" s="1"/>
      <c r="C781" s="118"/>
    </row>
    <row r="782" spans="2:3" ht="14.25" customHeight="1">
      <c r="B782" s="1"/>
      <c r="C782" s="118"/>
    </row>
    <row r="783" spans="2:3" ht="14.25" customHeight="1">
      <c r="B783" s="1"/>
      <c r="C783" s="118"/>
    </row>
    <row r="784" spans="2:3" ht="14.25" customHeight="1">
      <c r="B784" s="1"/>
      <c r="C784" s="118"/>
    </row>
    <row r="785" spans="2:3" ht="14.25" customHeight="1">
      <c r="B785" s="1"/>
      <c r="C785" s="118"/>
    </row>
    <row r="786" spans="2:3" ht="14.25" customHeight="1">
      <c r="B786" s="1"/>
      <c r="C786" s="118"/>
    </row>
    <row r="787" spans="2:3" ht="14.25" customHeight="1">
      <c r="B787" s="1"/>
      <c r="C787" s="118"/>
    </row>
    <row r="788" spans="2:3" ht="14.25" customHeight="1">
      <c r="B788" s="1"/>
      <c r="C788" s="118"/>
    </row>
    <row r="789" spans="2:3" ht="14.25" customHeight="1">
      <c r="B789" s="1"/>
      <c r="C789" s="118"/>
    </row>
    <row r="790" spans="2:3" ht="14.25" customHeight="1">
      <c r="B790" s="1"/>
      <c r="C790" s="118"/>
    </row>
    <row r="791" spans="2:3" ht="14.25" customHeight="1">
      <c r="B791" s="1"/>
      <c r="C791" s="118"/>
    </row>
    <row r="792" spans="2:3" ht="14.25" customHeight="1">
      <c r="B792" s="1"/>
      <c r="C792" s="118"/>
    </row>
    <row r="793" spans="2:3" ht="14.25" customHeight="1">
      <c r="B793" s="1"/>
      <c r="C793" s="118"/>
    </row>
    <row r="794" spans="2:3" ht="14.25" customHeight="1">
      <c r="B794" s="1"/>
      <c r="C794" s="118"/>
    </row>
    <row r="795" spans="2:3" ht="14.25" customHeight="1">
      <c r="B795" s="1"/>
      <c r="C795" s="118"/>
    </row>
    <row r="796" spans="2:3" ht="14.25" customHeight="1">
      <c r="B796" s="1"/>
      <c r="C796" s="118"/>
    </row>
    <row r="797" spans="2:3" ht="14.25" customHeight="1">
      <c r="B797" s="1"/>
      <c r="C797" s="118"/>
    </row>
    <row r="798" spans="2:3" ht="14.25" customHeight="1">
      <c r="B798" s="1"/>
      <c r="C798" s="118"/>
    </row>
    <row r="799" spans="2:3" ht="14.25" customHeight="1">
      <c r="B799" s="1"/>
      <c r="C799" s="118"/>
    </row>
    <row r="800" spans="2:3" ht="14.25" customHeight="1">
      <c r="B800" s="1"/>
      <c r="C800" s="118"/>
    </row>
    <row r="801" spans="2:3" ht="14.25" customHeight="1">
      <c r="B801" s="1"/>
      <c r="C801" s="118"/>
    </row>
    <row r="802" spans="2:3" ht="14.25" customHeight="1">
      <c r="B802" s="1"/>
      <c r="C802" s="118"/>
    </row>
    <row r="803" spans="2:3" ht="14.25" customHeight="1">
      <c r="B803" s="1"/>
      <c r="C803" s="118"/>
    </row>
    <row r="804" spans="2:3" ht="14.25" customHeight="1">
      <c r="B804" s="1"/>
      <c r="C804" s="118"/>
    </row>
    <row r="805" spans="2:3" ht="14.25" customHeight="1">
      <c r="B805" s="1"/>
      <c r="C805" s="118"/>
    </row>
    <row r="806" spans="2:3" ht="14.25" customHeight="1">
      <c r="B806" s="1"/>
      <c r="C806" s="118"/>
    </row>
    <row r="807" spans="2:3" ht="14.25" customHeight="1">
      <c r="B807" s="1"/>
      <c r="C807" s="118"/>
    </row>
    <row r="808" spans="2:3" ht="14.25" customHeight="1">
      <c r="B808" s="1"/>
      <c r="C808" s="118"/>
    </row>
    <row r="809" spans="2:3" ht="14.25" customHeight="1">
      <c r="B809" s="1"/>
      <c r="C809" s="118"/>
    </row>
    <row r="810" spans="2:3" ht="14.25" customHeight="1">
      <c r="B810" s="1"/>
      <c r="C810" s="118"/>
    </row>
    <row r="811" spans="2:3" ht="14.25" customHeight="1">
      <c r="B811" s="1"/>
      <c r="C811" s="118"/>
    </row>
    <row r="812" spans="2:3" ht="14.25" customHeight="1">
      <c r="B812" s="1"/>
      <c r="C812" s="118"/>
    </row>
    <row r="813" spans="2:3" ht="14.25" customHeight="1">
      <c r="B813" s="1"/>
      <c r="C813" s="118"/>
    </row>
    <row r="814" spans="2:3" ht="14.25" customHeight="1">
      <c r="B814" s="1"/>
      <c r="C814" s="118"/>
    </row>
    <row r="815" spans="2:3" ht="14.25" customHeight="1">
      <c r="B815" s="1"/>
      <c r="C815" s="118"/>
    </row>
    <row r="816" spans="2:3" ht="14.25" customHeight="1">
      <c r="B816" s="1"/>
      <c r="C816" s="118"/>
    </row>
    <row r="817" spans="2:3" ht="14.25" customHeight="1">
      <c r="B817" s="1"/>
      <c r="C817" s="118"/>
    </row>
    <row r="818" spans="2:3" ht="14.25" customHeight="1">
      <c r="B818" s="1"/>
      <c r="C818" s="118"/>
    </row>
    <row r="819" spans="2:3" ht="14.25" customHeight="1">
      <c r="B819" s="1"/>
      <c r="C819" s="118"/>
    </row>
    <row r="820" spans="2:3" ht="14.25" customHeight="1">
      <c r="B820" s="1"/>
      <c r="C820" s="118"/>
    </row>
    <row r="821" spans="2:3" ht="14.25" customHeight="1">
      <c r="B821" s="1"/>
      <c r="C821" s="118"/>
    </row>
    <row r="822" spans="2:3" ht="14.25" customHeight="1">
      <c r="B822" s="1"/>
      <c r="C822" s="118"/>
    </row>
    <row r="823" spans="2:3" ht="14.25" customHeight="1">
      <c r="B823" s="1"/>
      <c r="C823" s="118"/>
    </row>
    <row r="824" spans="2:3" ht="14.25" customHeight="1">
      <c r="B824" s="1"/>
      <c r="C824" s="118"/>
    </row>
    <row r="825" spans="2:3" ht="14.25" customHeight="1">
      <c r="B825" s="1"/>
      <c r="C825" s="118"/>
    </row>
    <row r="826" spans="2:3" ht="14.25" customHeight="1">
      <c r="B826" s="1"/>
      <c r="C826" s="118"/>
    </row>
    <row r="827" spans="2:3" ht="14.25" customHeight="1">
      <c r="B827" s="1"/>
      <c r="C827" s="118"/>
    </row>
    <row r="828" spans="2:3" ht="14.25" customHeight="1">
      <c r="B828" s="1"/>
      <c r="C828" s="118"/>
    </row>
    <row r="829" spans="2:3" ht="14.25" customHeight="1">
      <c r="B829" s="1"/>
      <c r="C829" s="118"/>
    </row>
    <row r="830" spans="2:3" ht="14.25" customHeight="1">
      <c r="B830" s="1"/>
      <c r="C830" s="118"/>
    </row>
    <row r="831" spans="2:3" ht="14.25" customHeight="1">
      <c r="B831" s="1"/>
      <c r="C831" s="118"/>
    </row>
    <row r="832" spans="2:3" ht="14.25" customHeight="1">
      <c r="B832" s="1"/>
      <c r="C832" s="118"/>
    </row>
    <row r="833" spans="2:3" ht="14.25" customHeight="1">
      <c r="B833" s="1"/>
      <c r="C833" s="118"/>
    </row>
    <row r="834" spans="2:3" ht="14.25" customHeight="1">
      <c r="B834" s="1"/>
      <c r="C834" s="118"/>
    </row>
    <row r="835" spans="2:3" ht="14.25" customHeight="1">
      <c r="B835" s="1"/>
      <c r="C835" s="118"/>
    </row>
  </sheetData>
  <autoFilter ref="A1:H12" xr:uid="{00000000-0009-0000-0000-000003000000}"/>
  <mergeCells count="5">
    <mergeCell ref="A2:A7"/>
    <mergeCell ref="A8:A11"/>
    <mergeCell ref="A12:C12"/>
    <mergeCell ref="B2:B7"/>
    <mergeCell ref="B8:B11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Master!$B$2:$B$25</xm:f>
          </x14:formula1>
          <xm:sqref>C2:C11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59BA-9756-46CE-B4F9-0A033D87D2D9}">
  <dimension ref="A1:D7"/>
  <sheetViews>
    <sheetView workbookViewId="0">
      <selection activeCell="B2" sqref="B2:B6"/>
    </sheetView>
  </sheetViews>
  <sheetFormatPr defaultRowHeight="14.5"/>
  <cols>
    <col min="1" max="1" width="21.453125" bestFit="1" customWidth="1"/>
  </cols>
  <sheetData>
    <row r="1" spans="1:4">
      <c r="A1" s="128" t="s">
        <v>88</v>
      </c>
      <c r="B1" s="128" t="s">
        <v>134</v>
      </c>
      <c r="C1" s="128" t="s">
        <v>89</v>
      </c>
      <c r="D1" s="128" t="s">
        <v>49</v>
      </c>
    </row>
    <row r="2" spans="1:4">
      <c r="A2" t="s">
        <v>101</v>
      </c>
      <c r="B2">
        <v>2</v>
      </c>
      <c r="C2">
        <f>VLOOKUP(A2,Master!$B$2:$C$25,2,0)</f>
        <v>27000</v>
      </c>
      <c r="D2">
        <f>B2*C2</f>
        <v>54000</v>
      </c>
    </row>
    <row r="3" spans="1:4">
      <c r="A3" t="s">
        <v>109</v>
      </c>
      <c r="B3">
        <v>2</v>
      </c>
      <c r="C3">
        <f>VLOOKUP(A3,Master!$B$2:$C$25,2,0)</f>
        <v>105200</v>
      </c>
      <c r="D3">
        <f>B3*C3</f>
        <v>210400</v>
      </c>
    </row>
    <row r="4" spans="1:4" ht="13" customHeight="1">
      <c r="A4" t="s">
        <v>105</v>
      </c>
      <c r="B4">
        <v>2</v>
      </c>
      <c r="C4">
        <f>VLOOKUP(A4,Master!$B$1:$C$25,2,0)</f>
        <v>9200</v>
      </c>
      <c r="D4">
        <f t="shared" ref="D4:D6" si="0">B4*C4</f>
        <v>18400</v>
      </c>
    </row>
    <row r="5" spans="1:4">
      <c r="A5" t="s">
        <v>107</v>
      </c>
      <c r="B5">
        <v>1</v>
      </c>
      <c r="C5">
        <f>VLOOKUP(A5,Master!$B$1:$C$25,2,0)</f>
        <v>65000</v>
      </c>
      <c r="D5">
        <f t="shared" si="0"/>
        <v>65000</v>
      </c>
    </row>
    <row r="6" spans="1:4">
      <c r="A6" t="s">
        <v>112</v>
      </c>
      <c r="B6">
        <v>2</v>
      </c>
      <c r="C6">
        <f>VLOOKUP(A6,Master!$B$2:$C$25,2,0)</f>
        <v>47000</v>
      </c>
      <c r="D6">
        <f t="shared" si="0"/>
        <v>94000</v>
      </c>
    </row>
    <row r="7" spans="1:4">
      <c r="D7">
        <f>SUM(D2:D6)</f>
        <v>441800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ECD1D7-E97A-42E5-93DE-9056148CC8B3}">
          <x14:formula1>
            <xm:f>Master!$B$2:$B$25</xm:f>
          </x14:formula1>
          <xm:sqref>A2:A8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2"/>
  <sheetViews>
    <sheetView tabSelected="1" topLeftCell="A10" zoomScale="90" zoomScaleNormal="90" workbookViewId="0">
      <selection activeCell="R21" sqref="R21"/>
    </sheetView>
  </sheetViews>
  <sheetFormatPr defaultColWidth="14.453125" defaultRowHeight="15" customHeight="1"/>
  <cols>
    <col min="2" max="2" width="56" customWidth="1"/>
    <col min="3" max="3" width="12.7265625" customWidth="1"/>
    <col min="4" max="4" width="23" customWidth="1"/>
    <col min="5" max="5" width="18.26953125" customWidth="1"/>
    <col min="6" max="6" width="13.81640625" customWidth="1"/>
    <col min="7" max="7" width="13.7265625" customWidth="1"/>
    <col min="8" max="8" width="11.26953125" customWidth="1"/>
    <col min="9" max="9" width="19" customWidth="1"/>
    <col min="10" max="10" width="8.7265625" customWidth="1"/>
    <col min="12" max="12" width="34.54296875" hidden="1" customWidth="1"/>
    <col min="14" max="14" width="51.26953125" customWidth="1"/>
    <col min="15" max="15" width="12.81640625" customWidth="1"/>
    <col min="16" max="16" width="13.54296875" customWidth="1"/>
    <col min="17" max="18" width="13.81640625" customWidth="1"/>
    <col min="19" max="19" width="13.7265625" customWidth="1"/>
    <col min="20" max="20" width="11.26953125" customWidth="1"/>
    <col min="21" max="21" width="10" customWidth="1"/>
    <col min="22" max="22" width="6.08984375" customWidth="1"/>
  </cols>
  <sheetData>
    <row r="1" spans="1:22" ht="14.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2" ht="21">
      <c r="A2" s="64"/>
      <c r="B2" s="161" t="s">
        <v>35</v>
      </c>
      <c r="C2" s="160"/>
      <c r="D2" s="160"/>
      <c r="E2" s="160"/>
      <c r="F2" s="160"/>
      <c r="G2" s="139"/>
      <c r="H2" s="64"/>
      <c r="I2" s="64"/>
      <c r="J2" s="64"/>
      <c r="K2" s="64"/>
      <c r="L2" s="122" t="s">
        <v>36</v>
      </c>
      <c r="M2" s="64"/>
      <c r="N2" s="161" t="s">
        <v>37</v>
      </c>
      <c r="O2" s="160"/>
      <c r="P2" s="160"/>
      <c r="Q2" s="160"/>
      <c r="R2" s="160"/>
      <c r="S2" s="139"/>
      <c r="T2" s="64"/>
      <c r="U2" s="64"/>
      <c r="V2" s="64"/>
    </row>
    <row r="3" spans="1:22" ht="21">
      <c r="A3" s="64"/>
      <c r="B3" s="161" t="s">
        <v>38</v>
      </c>
      <c r="C3" s="160"/>
      <c r="D3" s="160"/>
      <c r="E3" s="160"/>
      <c r="F3" s="160"/>
      <c r="G3" s="139"/>
      <c r="H3" s="64"/>
      <c r="I3" s="64"/>
      <c r="J3" s="64"/>
      <c r="K3" s="64"/>
      <c r="L3" s="120" t="s">
        <v>39</v>
      </c>
      <c r="M3" s="64"/>
      <c r="N3" s="161" t="s">
        <v>40</v>
      </c>
      <c r="O3" s="160"/>
      <c r="P3" s="160"/>
      <c r="Q3" s="160"/>
      <c r="R3" s="160"/>
      <c r="S3" s="160"/>
      <c r="T3" s="64"/>
      <c r="U3" s="64"/>
      <c r="V3" s="64"/>
    </row>
    <row r="4" spans="1:22" ht="15.5">
      <c r="A4" s="64"/>
      <c r="B4" s="159" t="s">
        <v>41</v>
      </c>
      <c r="C4" s="160"/>
      <c r="D4" s="160"/>
      <c r="E4" s="160"/>
      <c r="F4" s="160"/>
      <c r="G4" s="139"/>
      <c r="H4" s="64"/>
      <c r="I4" s="64"/>
      <c r="J4" s="64"/>
      <c r="K4" s="64"/>
      <c r="L4" s="121" t="s">
        <v>42</v>
      </c>
      <c r="M4" s="64"/>
      <c r="N4" s="159" t="s">
        <v>43</v>
      </c>
      <c r="O4" s="160"/>
      <c r="P4" s="160"/>
      <c r="Q4" s="160"/>
      <c r="R4" s="160"/>
      <c r="S4" s="139"/>
      <c r="T4" s="64"/>
      <c r="U4" s="64"/>
      <c r="V4" s="64"/>
    </row>
    <row r="5" spans="1:22" ht="46.5">
      <c r="A5" s="64"/>
      <c r="B5" s="65" t="s">
        <v>44</v>
      </c>
      <c r="C5" s="66" t="s">
        <v>45</v>
      </c>
      <c r="D5" s="66" t="s">
        <v>46</v>
      </c>
      <c r="E5" s="66" t="s">
        <v>47</v>
      </c>
      <c r="F5" s="66" t="s">
        <v>48</v>
      </c>
      <c r="G5" s="66" t="s">
        <v>49</v>
      </c>
      <c r="H5" s="64"/>
      <c r="I5" s="64"/>
      <c r="J5" s="64"/>
      <c r="K5" s="64"/>
      <c r="L5" s="67" t="s">
        <v>44</v>
      </c>
      <c r="M5" s="64"/>
      <c r="N5" s="68" t="s">
        <v>44</v>
      </c>
      <c r="O5" s="68" t="s">
        <v>45</v>
      </c>
      <c r="P5" s="68" t="s">
        <v>46</v>
      </c>
      <c r="Q5" s="68" t="s">
        <v>47</v>
      </c>
      <c r="R5" s="68" t="s">
        <v>48</v>
      </c>
      <c r="S5" s="68" t="s">
        <v>49</v>
      </c>
      <c r="T5" s="64"/>
      <c r="U5" s="64"/>
      <c r="V5" s="64"/>
    </row>
    <row r="6" spans="1:22" ht="15.5">
      <c r="A6" s="64"/>
      <c r="B6" s="69" t="s">
        <v>51</v>
      </c>
      <c r="C6" s="70">
        <v>0</v>
      </c>
      <c r="D6" s="70">
        <v>1</v>
      </c>
      <c r="E6" s="71">
        <f>70000+20000</f>
        <v>90000</v>
      </c>
      <c r="F6" s="70">
        <v>0.8</v>
      </c>
      <c r="G6" s="71">
        <f t="shared" ref="G6:G7" si="0">C6*D6*E6*F6</f>
        <v>0</v>
      </c>
      <c r="H6" s="64"/>
      <c r="I6" s="64"/>
      <c r="J6" s="64"/>
      <c r="K6" s="64"/>
      <c r="L6" s="69"/>
      <c r="M6" s="64"/>
      <c r="N6" s="69" t="s">
        <v>50</v>
      </c>
      <c r="O6" s="70">
        <v>0.15</v>
      </c>
      <c r="P6" s="70">
        <v>1</v>
      </c>
      <c r="Q6" s="71">
        <v>70000</v>
      </c>
      <c r="R6" s="70">
        <v>12</v>
      </c>
      <c r="S6" s="71">
        <f t="shared" ref="S6:S7" si="1">O6*P6*Q6*R6</f>
        <v>126000</v>
      </c>
      <c r="T6" s="64"/>
      <c r="U6" s="64"/>
      <c r="V6" s="64"/>
    </row>
    <row r="7" spans="1:22" ht="15.5">
      <c r="A7" s="64"/>
      <c r="B7" s="69" t="s">
        <v>52</v>
      </c>
      <c r="C7" s="70">
        <v>2</v>
      </c>
      <c r="D7" s="70">
        <v>1</v>
      </c>
      <c r="E7" s="71">
        <f>40000+20000</f>
        <v>60000</v>
      </c>
      <c r="F7" s="70">
        <v>0.5</v>
      </c>
      <c r="G7" s="71">
        <f t="shared" si="0"/>
        <v>60000</v>
      </c>
      <c r="H7" s="64"/>
      <c r="I7" s="64"/>
      <c r="J7" s="64"/>
      <c r="K7" s="64"/>
      <c r="L7" s="69" t="s">
        <v>51</v>
      </c>
      <c r="M7" s="64"/>
      <c r="N7" s="69" t="s">
        <v>53</v>
      </c>
      <c r="O7" s="70">
        <v>0</v>
      </c>
      <c r="P7" s="70">
        <v>1</v>
      </c>
      <c r="Q7" s="71">
        <v>40000</v>
      </c>
      <c r="R7" s="70">
        <v>36</v>
      </c>
      <c r="S7" s="71">
        <f t="shared" si="1"/>
        <v>0</v>
      </c>
      <c r="T7" s="64"/>
      <c r="U7" s="64"/>
      <c r="V7" s="64"/>
    </row>
    <row r="8" spans="1:22" ht="15.5">
      <c r="A8" s="64"/>
      <c r="B8" s="69" t="s">
        <v>54</v>
      </c>
      <c r="C8" s="70">
        <v>1</v>
      </c>
      <c r="D8" s="70">
        <v>1</v>
      </c>
      <c r="E8" s="71">
        <f>65000+20000</f>
        <v>85000</v>
      </c>
      <c r="F8" s="70">
        <v>0.5</v>
      </c>
      <c r="G8" s="71">
        <f>C8*D8*E8*F8</f>
        <v>42500</v>
      </c>
      <c r="H8" s="64"/>
      <c r="I8" s="64"/>
      <c r="J8" s="64"/>
      <c r="K8" s="64"/>
      <c r="L8" s="69" t="s">
        <v>52</v>
      </c>
      <c r="M8" s="64"/>
      <c r="N8" s="72"/>
      <c r="O8" s="77">
        <f>SUM(O6:O7)</f>
        <v>0.15</v>
      </c>
      <c r="P8" s="72"/>
      <c r="Q8" s="72"/>
      <c r="R8" s="75" t="s">
        <v>49</v>
      </c>
      <c r="S8" s="76">
        <f>SUM(S6:S7)</f>
        <v>126000</v>
      </c>
      <c r="T8" s="64"/>
      <c r="U8" s="64"/>
      <c r="V8" s="64"/>
    </row>
    <row r="9" spans="1:22" ht="15.5">
      <c r="A9" s="64"/>
      <c r="B9" s="72"/>
      <c r="C9" s="74">
        <f>C6*D6+C7*D7+C8*D8</f>
        <v>3</v>
      </c>
      <c r="D9" s="72"/>
      <c r="E9" s="72"/>
      <c r="F9" s="75" t="s">
        <v>56</v>
      </c>
      <c r="G9" s="76">
        <f>SUM(G6:G8)</f>
        <v>102500</v>
      </c>
      <c r="H9" s="64"/>
      <c r="I9" s="64"/>
      <c r="J9" s="64"/>
      <c r="K9" s="64"/>
      <c r="L9" s="69"/>
      <c r="M9" s="64"/>
      <c r="T9" s="64"/>
      <c r="U9" s="64"/>
      <c r="V9" s="64"/>
    </row>
    <row r="10" spans="1:22" ht="15.5">
      <c r="A10" s="64"/>
      <c r="H10" s="64"/>
      <c r="I10" s="64"/>
      <c r="J10" s="64"/>
      <c r="K10" s="64"/>
      <c r="L10" s="69" t="s">
        <v>55</v>
      </c>
      <c r="M10" s="64"/>
      <c r="Q10" s="129"/>
      <c r="T10" s="64"/>
      <c r="U10" s="64"/>
      <c r="V10" s="64"/>
    </row>
    <row r="11" spans="1:22" ht="14.5">
      <c r="A11" s="64"/>
      <c r="H11" s="64"/>
      <c r="I11" s="64"/>
      <c r="J11" s="64"/>
      <c r="K11" s="64"/>
      <c r="L11" s="72"/>
      <c r="M11" s="64"/>
      <c r="T11" s="64"/>
      <c r="U11" s="64"/>
      <c r="V11" s="64"/>
    </row>
    <row r="12" spans="1:22" ht="14.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</row>
    <row r="13" spans="1:22" ht="14.5" hidden="1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</row>
    <row r="14" spans="1:22" ht="14.5" hidden="1">
      <c r="A14" s="64"/>
      <c r="B14" s="78" t="s">
        <v>57</v>
      </c>
      <c r="C14" s="78" t="s">
        <v>58</v>
      </c>
      <c r="D14" s="78" t="s">
        <v>59</v>
      </c>
      <c r="E14" s="78" t="s">
        <v>60</v>
      </c>
      <c r="F14" s="64"/>
      <c r="G14" s="64"/>
      <c r="H14" s="64"/>
      <c r="I14" s="78" t="s">
        <v>61</v>
      </c>
      <c r="J14" s="78" t="s">
        <v>58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 spans="1:22" ht="14.5" hidden="1">
      <c r="A15" s="64"/>
      <c r="B15" s="72" t="s">
        <v>62</v>
      </c>
      <c r="C15" s="79">
        <f>SUM(Master!B41)</f>
        <v>0</v>
      </c>
      <c r="D15" s="79">
        <v>6</v>
      </c>
      <c r="E15" s="79">
        <f t="shared" ref="E15:E17" si="2">ROUND(C15/D15,0)</f>
        <v>0</v>
      </c>
      <c r="F15" s="64"/>
      <c r="G15" s="64"/>
      <c r="H15" s="64"/>
      <c r="I15" s="72" t="s">
        <v>62</v>
      </c>
      <c r="J15" s="79">
        <f>SUM(Master!C41)</f>
        <v>0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</row>
    <row r="16" spans="1:22" ht="14.5" hidden="1">
      <c r="A16" s="64"/>
      <c r="B16" s="72" t="s">
        <v>63</v>
      </c>
      <c r="C16" s="79">
        <f>SUM(Master!B44:B55)</f>
        <v>0</v>
      </c>
      <c r="D16" s="79">
        <v>7</v>
      </c>
      <c r="E16" s="79">
        <f t="shared" si="2"/>
        <v>0</v>
      </c>
      <c r="F16" s="64"/>
      <c r="G16" s="64"/>
      <c r="H16" s="64"/>
      <c r="I16" s="72" t="s">
        <v>63</v>
      </c>
      <c r="J16" s="79">
        <f>SUM(Master!C44:C55)</f>
        <v>0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 spans="1:22" ht="14.5" hidden="1">
      <c r="A17" s="64"/>
      <c r="B17" s="72" t="s">
        <v>64</v>
      </c>
      <c r="C17" s="73" t="e">
        <f>SUM(Master!#REF!)</f>
        <v>#REF!</v>
      </c>
      <c r="D17" s="80">
        <v>120</v>
      </c>
      <c r="E17" s="81" t="e">
        <f t="shared" si="2"/>
        <v>#REF!</v>
      </c>
      <c r="F17" s="64"/>
      <c r="G17" s="64"/>
      <c r="H17" s="64"/>
      <c r="I17" s="72" t="s">
        <v>64</v>
      </c>
      <c r="J17" s="73" t="e">
        <f>SUM(Master!#REF!)</f>
        <v>#REF!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</row>
    <row r="18" spans="1:22" ht="14.5" hidden="1">
      <c r="A18" s="64"/>
      <c r="B18" s="64"/>
      <c r="C18" s="64"/>
      <c r="D18" s="79" t="s">
        <v>65</v>
      </c>
      <c r="E18" s="82" t="e">
        <f>SUM(E15:E17)</f>
        <v>#REF!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</row>
    <row r="19" spans="1:22" ht="14.5" hidden="1">
      <c r="A19" s="64"/>
      <c r="B19" s="64"/>
      <c r="C19" s="64"/>
      <c r="D19" s="79" t="s">
        <v>66</v>
      </c>
      <c r="E19" s="77" t="e">
        <f>ROUND(E18/8,0)</f>
        <v>#REF!</v>
      </c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</row>
    <row r="20" spans="1:22" ht="14.5" hidden="1">
      <c r="A20" s="64"/>
      <c r="B20" s="64"/>
      <c r="C20" s="64"/>
      <c r="D20" s="83" t="s">
        <v>49</v>
      </c>
      <c r="E20" s="84" t="e">
        <f>E18+E19</f>
        <v>#REF!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 spans="1:22" ht="14.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52"/>
      <c r="T21" s="64"/>
      <c r="U21" s="64"/>
      <c r="V21" s="64"/>
    </row>
    <row r="22" spans="1:22" ht="15.5">
      <c r="A22" s="64"/>
      <c r="B22" s="159" t="s">
        <v>67</v>
      </c>
      <c r="C22" s="160"/>
      <c r="D22" s="160"/>
      <c r="E22" s="160"/>
      <c r="F22" s="160"/>
      <c r="G22" s="160"/>
      <c r="H22" s="160"/>
      <c r="I22" s="139"/>
      <c r="J22" s="64"/>
      <c r="K22" s="64"/>
      <c r="L22" s="121" t="s">
        <v>68</v>
      </c>
      <c r="M22" s="64"/>
      <c r="N22" s="159"/>
      <c r="O22" s="160"/>
      <c r="P22" s="160"/>
      <c r="Q22" s="160"/>
      <c r="R22" s="160"/>
      <c r="S22" s="160"/>
      <c r="T22" s="160"/>
      <c r="U22" s="139"/>
      <c r="V22" s="85"/>
    </row>
    <row r="23" spans="1:22" ht="31">
      <c r="A23" s="64"/>
      <c r="B23" s="86" t="s">
        <v>44</v>
      </c>
      <c r="C23" s="68" t="s">
        <v>58</v>
      </c>
      <c r="D23" s="68" t="s">
        <v>69</v>
      </c>
      <c r="E23" s="68" t="s">
        <v>70</v>
      </c>
      <c r="F23" s="68" t="s">
        <v>71</v>
      </c>
      <c r="G23" s="68" t="s">
        <v>72</v>
      </c>
      <c r="H23" s="68" t="s">
        <v>73</v>
      </c>
      <c r="I23" s="68" t="s">
        <v>49</v>
      </c>
      <c r="J23" s="64"/>
      <c r="K23" s="64"/>
      <c r="L23" s="67" t="s">
        <v>44</v>
      </c>
      <c r="M23" s="64"/>
      <c r="N23" s="86"/>
      <c r="O23" s="68"/>
      <c r="P23" s="68"/>
      <c r="Q23" s="68"/>
      <c r="R23" s="68"/>
      <c r="S23" s="68"/>
      <c r="T23" s="68"/>
      <c r="U23" s="68"/>
      <c r="V23" s="87"/>
    </row>
    <row r="24" spans="1:22" ht="15.5">
      <c r="A24" s="64"/>
      <c r="B24" s="69" t="s">
        <v>74</v>
      </c>
      <c r="C24" s="70">
        <v>0</v>
      </c>
      <c r="D24" s="88">
        <v>1000</v>
      </c>
      <c r="E24" s="88">
        <v>20000</v>
      </c>
      <c r="F24" s="88">
        <v>2500</v>
      </c>
      <c r="G24" s="70">
        <v>5</v>
      </c>
      <c r="H24" s="70">
        <v>2</v>
      </c>
      <c r="I24" s="71">
        <f t="shared" ref="I24:I26" si="3">((H24*G24*D24)+(E24*H24)+(F24*G24*H24))*C24</f>
        <v>0</v>
      </c>
      <c r="J24" s="64"/>
      <c r="K24" s="64"/>
      <c r="L24" s="69" t="s">
        <v>75</v>
      </c>
      <c r="M24" s="64"/>
      <c r="N24" s="69"/>
      <c r="O24" s="69"/>
      <c r="P24" s="88"/>
      <c r="Q24" s="88"/>
      <c r="R24" s="88"/>
      <c r="S24" s="70"/>
      <c r="T24" s="70"/>
      <c r="U24" s="71"/>
      <c r="V24" s="89"/>
    </row>
    <row r="25" spans="1:22" ht="15.5">
      <c r="A25" s="64"/>
      <c r="B25" s="69" t="s">
        <v>52</v>
      </c>
      <c r="C25" s="70">
        <v>2</v>
      </c>
      <c r="D25" s="88">
        <v>1000</v>
      </c>
      <c r="E25" s="88">
        <v>20000</v>
      </c>
      <c r="F25" s="90">
        <v>0</v>
      </c>
      <c r="G25" s="73">
        <v>1</v>
      </c>
      <c r="H25" s="70">
        <v>1</v>
      </c>
      <c r="I25" s="71">
        <f t="shared" si="3"/>
        <v>42000</v>
      </c>
      <c r="J25" s="64"/>
      <c r="K25" s="64"/>
      <c r="L25" s="69" t="s">
        <v>76</v>
      </c>
      <c r="M25" s="64"/>
      <c r="N25" s="69"/>
      <c r="O25" s="69"/>
      <c r="P25" s="88"/>
      <c r="Q25" s="88"/>
      <c r="R25" s="88"/>
      <c r="S25" s="70"/>
      <c r="T25" s="70"/>
      <c r="U25" s="71"/>
      <c r="V25" s="89"/>
    </row>
    <row r="26" spans="1:22" ht="15.5">
      <c r="A26" s="64"/>
      <c r="B26" s="69" t="s">
        <v>54</v>
      </c>
      <c r="C26" s="70">
        <v>1</v>
      </c>
      <c r="D26" s="88">
        <v>1000</v>
      </c>
      <c r="E26" s="88">
        <v>20000</v>
      </c>
      <c r="F26" s="90">
        <v>0</v>
      </c>
      <c r="G26" s="73">
        <v>1</v>
      </c>
      <c r="H26" s="70">
        <v>1</v>
      </c>
      <c r="I26" s="71">
        <f t="shared" si="3"/>
        <v>21000</v>
      </c>
      <c r="J26" s="64"/>
      <c r="K26" s="64"/>
      <c r="L26" s="69" t="s">
        <v>77</v>
      </c>
      <c r="M26" s="64"/>
      <c r="N26" s="72"/>
      <c r="O26" s="72"/>
      <c r="P26" s="72"/>
      <c r="Q26" s="72"/>
      <c r="R26" s="91"/>
      <c r="S26" s="72"/>
      <c r="T26" s="75"/>
      <c r="U26" s="76"/>
      <c r="V26" s="89"/>
    </row>
    <row r="27" spans="1:22" ht="15.5">
      <c r="A27" s="64"/>
      <c r="B27" s="72"/>
      <c r="C27" s="72"/>
      <c r="D27" s="72"/>
      <c r="E27" s="72"/>
      <c r="F27" s="91"/>
      <c r="G27" s="72"/>
      <c r="H27" s="75" t="s">
        <v>78</v>
      </c>
      <c r="I27" s="76">
        <f>SUM(I24:I26)</f>
        <v>63000</v>
      </c>
      <c r="J27" s="64"/>
      <c r="K27" s="64"/>
      <c r="L27" s="72"/>
      <c r="M27" s="64"/>
      <c r="V27" s="89"/>
    </row>
    <row r="28" spans="1:22" ht="15.5">
      <c r="A28" s="64"/>
      <c r="B28" s="64"/>
      <c r="C28" s="64"/>
      <c r="D28" s="64"/>
      <c r="E28" s="64"/>
      <c r="F28" s="92"/>
      <c r="G28" s="64"/>
      <c r="H28" s="93"/>
      <c r="I28" s="94"/>
      <c r="J28" s="64"/>
      <c r="K28" s="64"/>
      <c r="L28" s="64"/>
      <c r="M28" s="64"/>
      <c r="V28" s="95"/>
    </row>
    <row r="29" spans="1:22" ht="15.5">
      <c r="A29" s="64"/>
      <c r="B29" s="64"/>
      <c r="C29" s="64"/>
      <c r="D29" s="64"/>
      <c r="E29" s="64"/>
      <c r="F29" s="64"/>
      <c r="G29" s="68" t="s">
        <v>79</v>
      </c>
      <c r="H29" s="68" t="s">
        <v>80</v>
      </c>
      <c r="I29" s="68" t="s">
        <v>49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</row>
    <row r="30" spans="1:22" ht="15.5">
      <c r="A30" s="64"/>
      <c r="B30" s="64"/>
      <c r="C30" s="64"/>
      <c r="D30" s="64"/>
      <c r="E30" s="64"/>
      <c r="F30" s="72" t="s">
        <v>81</v>
      </c>
      <c r="G30" s="88">
        <v>40000</v>
      </c>
      <c r="H30" s="88">
        <v>1</v>
      </c>
      <c r="I30" s="88">
        <f t="shared" ref="I30:I31" si="4">G30*H30</f>
        <v>40000</v>
      </c>
      <c r="J30" s="64"/>
      <c r="K30" s="64"/>
      <c r="L30" s="64"/>
      <c r="M30" s="64"/>
      <c r="N30" s="96"/>
      <c r="O30" s="64"/>
      <c r="P30" s="64"/>
      <c r="Q30" s="52"/>
      <c r="R30" s="64"/>
      <c r="S30" s="64"/>
      <c r="T30" s="64"/>
      <c r="U30" s="64"/>
      <c r="V30" s="64"/>
    </row>
    <row r="31" spans="1:22" ht="15.5">
      <c r="A31" s="64"/>
      <c r="B31" s="64"/>
      <c r="C31" s="64"/>
      <c r="D31" s="64"/>
      <c r="E31" s="64"/>
      <c r="F31" s="72" t="s">
        <v>82</v>
      </c>
      <c r="G31" s="88">
        <v>40000</v>
      </c>
      <c r="H31" s="88">
        <v>0</v>
      </c>
      <c r="I31" s="88">
        <f t="shared" si="4"/>
        <v>0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</row>
    <row r="32" spans="1:22" ht="15.5">
      <c r="A32" s="64"/>
      <c r="B32" s="64"/>
      <c r="C32" s="64"/>
      <c r="D32" s="64"/>
      <c r="E32" s="64"/>
      <c r="F32" s="64"/>
      <c r="G32" s="64"/>
      <c r="H32" s="75" t="s">
        <v>83</v>
      </c>
      <c r="I32" s="76">
        <f>SUM(I30:I31)</f>
        <v>40000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</row>
    <row r="33" spans="1:22" ht="14.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</row>
    <row r="34" spans="1:22" ht="21">
      <c r="A34" s="64"/>
      <c r="B34" s="64"/>
      <c r="C34" s="64"/>
      <c r="D34" s="64"/>
      <c r="E34" s="64"/>
      <c r="F34" s="64"/>
      <c r="G34" s="64"/>
      <c r="H34" s="97" t="s">
        <v>84</v>
      </c>
      <c r="I34" s="98">
        <f>I32+I27</f>
        <v>103000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</row>
    <row r="35" spans="1:22" ht="14.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</row>
    <row r="36" spans="1:22" ht="14.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2" ht="14.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</row>
    <row r="38" spans="1:22" ht="17">
      <c r="A38" s="64"/>
      <c r="B38" s="99" t="s">
        <v>85</v>
      </c>
      <c r="C38" s="100">
        <f>G9+I34</f>
        <v>205500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101" t="s">
        <v>86</v>
      </c>
      <c r="O38" s="102" t="e">
        <f>(#REF!+#REF!+#REF!)+S8+(U26*3.5)</f>
        <v>#REF!</v>
      </c>
      <c r="P38" s="64"/>
      <c r="Q38" s="64"/>
      <c r="R38" s="64"/>
      <c r="S38" s="64"/>
      <c r="T38" s="64"/>
      <c r="U38" s="64"/>
      <c r="V38" s="64"/>
    </row>
    <row r="39" spans="1:22" ht="14.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 t="s">
        <v>87</v>
      </c>
      <c r="O39" s="64"/>
      <c r="P39" s="64"/>
      <c r="Q39" s="64"/>
      <c r="R39" s="64"/>
      <c r="S39" s="64"/>
      <c r="T39" s="64"/>
      <c r="U39" s="64"/>
      <c r="V39" s="64"/>
    </row>
    <row r="40" spans="1:22" ht="14.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</row>
    <row r="41" spans="1:22" ht="14.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 t="e">
        <f>O38/2</f>
        <v>#REF!</v>
      </c>
      <c r="P41" s="64"/>
      <c r="Q41" s="64"/>
      <c r="R41" s="64"/>
      <c r="S41" s="64"/>
      <c r="T41" s="64"/>
      <c r="U41" s="64"/>
      <c r="V41" s="64"/>
    </row>
    <row r="42" spans="1:22" ht="14.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</row>
    <row r="43" spans="1:22" ht="14.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</row>
    <row r="44" spans="1:22" ht="14.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</row>
    <row r="45" spans="1:22" ht="14.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</row>
    <row r="46" spans="1:22" ht="14.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</row>
    <row r="47" spans="1:22" ht="14.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</row>
    <row r="48" spans="1:22" ht="14.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</row>
    <row r="49" spans="1:22" ht="14.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</row>
    <row r="50" spans="1:22" ht="14.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</row>
    <row r="51" spans="1:22" ht="14.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</row>
    <row r="52" spans="1:22" ht="14.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</row>
    <row r="53" spans="1:22" ht="14.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</row>
    <row r="54" spans="1:22" ht="14.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</row>
    <row r="55" spans="1:22" ht="14.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</row>
    <row r="56" spans="1:22" ht="14.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</row>
    <row r="57" spans="1:22" ht="14.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</row>
    <row r="58" spans="1:22" ht="14.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</row>
    <row r="59" spans="1:22" ht="14.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</row>
    <row r="60" spans="1:22" ht="14.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</row>
    <row r="61" spans="1:22" ht="14.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</row>
    <row r="62" spans="1:22" ht="14.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</row>
    <row r="63" spans="1:22" ht="14.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</row>
    <row r="64" spans="1:22" ht="14.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</row>
    <row r="65" spans="1:22" ht="14.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</row>
    <row r="66" spans="1:22" ht="14.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</row>
    <row r="67" spans="1:22" ht="14.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</row>
    <row r="68" spans="1:22" ht="14.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</row>
    <row r="69" spans="1:22" ht="14.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</row>
    <row r="70" spans="1:22" ht="14.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</row>
    <row r="71" spans="1:22" ht="14.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</row>
    <row r="72" spans="1:22" ht="14.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</row>
    <row r="73" spans="1:22" ht="14.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</row>
    <row r="74" spans="1:22" ht="14.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</row>
    <row r="75" spans="1:22" ht="14.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</row>
    <row r="76" spans="1:22" ht="14.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</row>
    <row r="77" spans="1:22" ht="14.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</row>
    <row r="78" spans="1:22" ht="14.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</row>
    <row r="79" spans="1:22" ht="14.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</row>
    <row r="80" spans="1:22" ht="14.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</row>
    <row r="81" spans="1:22" ht="14.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</row>
    <row r="82" spans="1:22" ht="14.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</row>
    <row r="83" spans="1:22" ht="14.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</row>
    <row r="84" spans="1:22" ht="14.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</row>
    <row r="85" spans="1:22" ht="14.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</row>
    <row r="86" spans="1:22" ht="14.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</row>
    <row r="87" spans="1:22" ht="14.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</row>
    <row r="88" spans="1:22" ht="14.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</row>
    <row r="89" spans="1:22" ht="14.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</row>
    <row r="90" spans="1:22" ht="14.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</row>
    <row r="91" spans="1:22" ht="14.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</row>
    <row r="92" spans="1:22" ht="14.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</row>
    <row r="93" spans="1:22" ht="14.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</row>
    <row r="94" spans="1:22" ht="14.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</row>
    <row r="95" spans="1:22" ht="14.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</row>
    <row r="96" spans="1:22" ht="14.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</row>
    <row r="97" spans="1:22" ht="14.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</row>
    <row r="98" spans="1:22" ht="14.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</row>
    <row r="99" spans="1:22" ht="14.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</row>
    <row r="100" spans="1:22" ht="14.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 spans="1:22" ht="14.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</row>
    <row r="102" spans="1:22" ht="14.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</row>
    <row r="103" spans="1:22" ht="14.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</row>
    <row r="104" spans="1:22" ht="14.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</row>
    <row r="105" spans="1:22" ht="14.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</row>
    <row r="106" spans="1:22" ht="14.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</row>
    <row r="107" spans="1:22" ht="14.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</row>
    <row r="108" spans="1:22" ht="14.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</row>
    <row r="109" spans="1:22" ht="14.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 spans="1:22" ht="14.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</row>
    <row r="111" spans="1:22" ht="14.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</row>
    <row r="112" spans="1:22" ht="14.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</row>
    <row r="113" spans="1:22" ht="14.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</row>
    <row r="114" spans="1:22" ht="14.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</row>
    <row r="115" spans="1:22" ht="14.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</row>
    <row r="116" spans="1:22" ht="14.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</row>
    <row r="117" spans="1:22" ht="14.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</row>
    <row r="118" spans="1:22" ht="14.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</row>
    <row r="119" spans="1:22" ht="14.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</row>
    <row r="120" spans="1:22" ht="14.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</row>
    <row r="121" spans="1:22" ht="14.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</row>
    <row r="122" spans="1:22" ht="14.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</row>
    <row r="123" spans="1:22" ht="14.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</row>
    <row r="124" spans="1:22" ht="14.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</row>
    <row r="125" spans="1:22" ht="14.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</row>
    <row r="126" spans="1:22" ht="14.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</row>
    <row r="127" spans="1:22" ht="14.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</row>
    <row r="128" spans="1:22" ht="14.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</row>
    <row r="129" spans="1:22" ht="14.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</row>
    <row r="130" spans="1:22" ht="14.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</row>
    <row r="131" spans="1:22" ht="14.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</row>
    <row r="132" spans="1:22" ht="14.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</row>
    <row r="133" spans="1:22" ht="14.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</row>
    <row r="134" spans="1:22" ht="14.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</row>
    <row r="135" spans="1:22" ht="14.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</row>
    <row r="136" spans="1:22" ht="14.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</row>
    <row r="137" spans="1:22" ht="14.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</row>
    <row r="138" spans="1:22" ht="14.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</row>
    <row r="139" spans="1:22" ht="14.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</row>
    <row r="140" spans="1:22" ht="14.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</row>
    <row r="141" spans="1:22" ht="14.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</row>
    <row r="142" spans="1:22" ht="14.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</row>
    <row r="143" spans="1:22" ht="14.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</row>
    <row r="144" spans="1:22" ht="14.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</row>
    <row r="145" spans="1:22" ht="14.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</row>
    <row r="146" spans="1:22" ht="14.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</row>
    <row r="147" spans="1:22" ht="14.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</row>
    <row r="148" spans="1:22" ht="14.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</row>
    <row r="149" spans="1:22" ht="14.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</row>
    <row r="150" spans="1:22" ht="14.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</row>
    <row r="151" spans="1:22" ht="14.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</row>
    <row r="152" spans="1:22" ht="14.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</row>
    <row r="153" spans="1:22" ht="14.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</row>
    <row r="154" spans="1:22" ht="14.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</row>
    <row r="155" spans="1:22" ht="14.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</row>
    <row r="156" spans="1:22" ht="14.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</row>
    <row r="157" spans="1:22" ht="14.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</row>
    <row r="158" spans="1:22" ht="14.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</row>
    <row r="159" spans="1:22" ht="14.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</row>
    <row r="160" spans="1:22" ht="14.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</row>
    <row r="161" spans="1:22" ht="14.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</row>
    <row r="162" spans="1:22" ht="14.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</row>
    <row r="163" spans="1:22" ht="14.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</row>
    <row r="164" spans="1:22" ht="14.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</row>
    <row r="165" spans="1:22" ht="14.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</row>
    <row r="166" spans="1:22" ht="14.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</row>
    <row r="167" spans="1:22" ht="14.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</row>
    <row r="168" spans="1:22" ht="14.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</row>
    <row r="169" spans="1:22" ht="14.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</row>
    <row r="170" spans="1:22" ht="14.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</row>
    <row r="171" spans="1:22" ht="14.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</row>
    <row r="172" spans="1:22" ht="14.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</row>
    <row r="173" spans="1:22" ht="14.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</row>
    <row r="174" spans="1:22" ht="14.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</row>
    <row r="175" spans="1:22" ht="14.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</row>
    <row r="176" spans="1:22" ht="14.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</row>
    <row r="177" spans="1:22" ht="14.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</row>
    <row r="178" spans="1:22" ht="14.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</row>
    <row r="179" spans="1:22" ht="14.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</row>
    <row r="180" spans="1:22" ht="14.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</row>
    <row r="181" spans="1:22" ht="14.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</row>
    <row r="182" spans="1:22" ht="14.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</row>
    <row r="183" spans="1:22" ht="14.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</row>
    <row r="184" spans="1:22" ht="14.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</row>
    <row r="185" spans="1:22" ht="14.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</row>
    <row r="186" spans="1:22" ht="14.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</row>
    <row r="187" spans="1:22" ht="14.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</row>
    <row r="188" spans="1:22" ht="14.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</row>
    <row r="189" spans="1:22" ht="14.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</row>
    <row r="190" spans="1:22" ht="14.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</row>
    <row r="191" spans="1:22" ht="14.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</row>
    <row r="192" spans="1:22" ht="14.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</row>
    <row r="193" spans="1:22" ht="14.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</row>
    <row r="194" spans="1:22" ht="14.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</row>
    <row r="195" spans="1:22" ht="14.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</row>
    <row r="196" spans="1:22" ht="14.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</row>
    <row r="197" spans="1:22" ht="14.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</row>
    <row r="198" spans="1:22" ht="14.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</row>
    <row r="199" spans="1:22" ht="14.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</row>
    <row r="200" spans="1:22" ht="14.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</row>
    <row r="201" spans="1:22" ht="14.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</row>
    <row r="202" spans="1:22" ht="14.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</row>
    <row r="203" spans="1:22" ht="14.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</row>
    <row r="204" spans="1:22" ht="14.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</row>
    <row r="205" spans="1:22" ht="14.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</row>
    <row r="206" spans="1:22" ht="14.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</row>
    <row r="207" spans="1:22" ht="14.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</row>
    <row r="208" spans="1:22" ht="14.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</row>
    <row r="209" spans="1:22" ht="14.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</row>
    <row r="210" spans="1:22" ht="14.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</row>
    <row r="211" spans="1:22" ht="14.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</row>
    <row r="212" spans="1:22" ht="14.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</row>
    <row r="213" spans="1:22" ht="14.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</row>
    <row r="214" spans="1:22" ht="14.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</row>
    <row r="215" spans="1:22" ht="14.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</row>
    <row r="216" spans="1:22" ht="14.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</row>
    <row r="217" spans="1:22" ht="14.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</row>
    <row r="218" spans="1:22" ht="14.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</row>
    <row r="219" spans="1:22" ht="14.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</row>
    <row r="220" spans="1:22" ht="14.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</row>
    <row r="221" spans="1:22" ht="14.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</row>
    <row r="222" spans="1:22" ht="14.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</row>
    <row r="223" spans="1:22" ht="14.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</row>
    <row r="224" spans="1:22" ht="14.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</row>
    <row r="225" spans="1:22" ht="14.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</row>
    <row r="226" spans="1:22" ht="14.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</row>
    <row r="227" spans="1:22" ht="14.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</row>
    <row r="228" spans="1:22" ht="14.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</row>
    <row r="229" spans="1:22" ht="14.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</row>
    <row r="230" spans="1:22" ht="14.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</row>
    <row r="231" spans="1:22" ht="14.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</row>
    <row r="232" spans="1:22" ht="14.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</row>
    <row r="233" spans="1:22" ht="14.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</row>
    <row r="234" spans="1:22" ht="14.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</row>
    <row r="235" spans="1:22" ht="14.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</row>
    <row r="236" spans="1:22" ht="14.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</row>
    <row r="237" spans="1:22" ht="14.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</row>
    <row r="238" spans="1:22" ht="14.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</row>
    <row r="239" spans="1:22" ht="14.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</row>
    <row r="240" spans="1:22" ht="14.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</row>
    <row r="241" spans="1:22" ht="14.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</row>
    <row r="242" spans="1:22" ht="14.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</row>
    <row r="243" spans="1:22" ht="14.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</row>
    <row r="244" spans="1:22" ht="14.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</row>
    <row r="245" spans="1:22" ht="14.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</row>
    <row r="246" spans="1:22" ht="14.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</row>
    <row r="247" spans="1:22" ht="14.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</row>
    <row r="248" spans="1:22" ht="14.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</row>
    <row r="249" spans="1:22" ht="14.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</row>
    <row r="250" spans="1:22" ht="14.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</row>
    <row r="251" spans="1:22" ht="14.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</row>
    <row r="252" spans="1:22" ht="14.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</row>
    <row r="253" spans="1:22" ht="14.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</row>
    <row r="254" spans="1:22" ht="14.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</row>
    <row r="255" spans="1:22" ht="14.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</row>
    <row r="256" spans="1:22" ht="14.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</row>
    <row r="257" spans="1:22" ht="14.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</row>
    <row r="258" spans="1:22" ht="14.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</row>
    <row r="259" spans="1:22" ht="14.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</row>
    <row r="260" spans="1:22" ht="14.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</row>
    <row r="261" spans="1:22" ht="14.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</row>
    <row r="262" spans="1:22" ht="14.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</row>
    <row r="263" spans="1:22" ht="14.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</row>
    <row r="264" spans="1:22" ht="14.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</row>
    <row r="265" spans="1:22" ht="14.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</row>
    <row r="266" spans="1:22" ht="14.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</row>
    <row r="267" spans="1:22" ht="14.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</row>
    <row r="268" spans="1:22" ht="14.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</row>
    <row r="269" spans="1:22" ht="14.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</row>
    <row r="270" spans="1:22" ht="14.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</row>
    <row r="271" spans="1:22" ht="14.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</row>
    <row r="272" spans="1:22" ht="14.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</row>
    <row r="273" spans="1:22" ht="14.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</row>
    <row r="274" spans="1:22" ht="14.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</row>
    <row r="275" spans="1:22" ht="14.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</row>
    <row r="276" spans="1:22" ht="14.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</row>
    <row r="277" spans="1:22" ht="14.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</row>
    <row r="278" spans="1:22" ht="14.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</row>
    <row r="279" spans="1:22" ht="14.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</row>
    <row r="280" spans="1:22" ht="14.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</row>
    <row r="281" spans="1:22" ht="14.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</row>
    <row r="282" spans="1:22" ht="14.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</row>
    <row r="283" spans="1:22" ht="14.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</row>
    <row r="284" spans="1:22" ht="14.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</row>
    <row r="285" spans="1:22" ht="14.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</row>
    <row r="286" spans="1:22" ht="14.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</row>
    <row r="287" spans="1:22" ht="14.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</row>
    <row r="288" spans="1:22" ht="14.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</row>
    <row r="289" spans="1:22" ht="14.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</row>
    <row r="290" spans="1:22" ht="14.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</row>
    <row r="291" spans="1:22" ht="14.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</row>
    <row r="292" spans="1:22" ht="14.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</row>
    <row r="293" spans="1:22" ht="14.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</row>
    <row r="294" spans="1:22" ht="14.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</row>
    <row r="295" spans="1:22" ht="14.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</row>
    <row r="296" spans="1:22" ht="14.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</row>
    <row r="297" spans="1:22" ht="14.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</row>
    <row r="298" spans="1:22" ht="14.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</row>
    <row r="299" spans="1:22" ht="14.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</row>
    <row r="300" spans="1:22" ht="14.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</row>
    <row r="301" spans="1:22" ht="14.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</row>
    <row r="302" spans="1:22" ht="14.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</row>
    <row r="303" spans="1:22" ht="14.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</row>
    <row r="304" spans="1:22" ht="14.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</row>
    <row r="305" spans="1:22" ht="14.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</row>
    <row r="306" spans="1:22" ht="14.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</row>
    <row r="307" spans="1:22" ht="14.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</row>
    <row r="308" spans="1:22" ht="14.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</row>
    <row r="309" spans="1:22" ht="14.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</row>
    <row r="310" spans="1:22" ht="14.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</row>
    <row r="311" spans="1:22" ht="14.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</row>
    <row r="312" spans="1:22" ht="14.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</row>
    <row r="313" spans="1:22" ht="14.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</row>
    <row r="314" spans="1:22" ht="14.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</row>
    <row r="315" spans="1:22" ht="14.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</row>
    <row r="316" spans="1:22" ht="14.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</row>
    <row r="317" spans="1:22" ht="14.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</row>
    <row r="318" spans="1:22" ht="14.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</row>
    <row r="319" spans="1:22" ht="14.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</row>
    <row r="320" spans="1:22" ht="14.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</row>
    <row r="321" spans="1:22" ht="14.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</row>
    <row r="322" spans="1:22" ht="14.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</row>
    <row r="323" spans="1:22" ht="14.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</row>
    <row r="324" spans="1:22" ht="14.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</row>
    <row r="325" spans="1:22" ht="14.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</row>
    <row r="326" spans="1:22" ht="14.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</row>
    <row r="327" spans="1:22" ht="14.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</row>
    <row r="328" spans="1:22" ht="14.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</row>
    <row r="329" spans="1:22" ht="14.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</row>
    <row r="330" spans="1:22" ht="14.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</row>
    <row r="331" spans="1:22" ht="14.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</row>
    <row r="332" spans="1:22" ht="14.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</row>
    <row r="333" spans="1:22" ht="14.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</row>
    <row r="334" spans="1:22" ht="14.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</row>
    <row r="335" spans="1:22" ht="14.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</row>
    <row r="336" spans="1:22" ht="14.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</row>
    <row r="337" spans="1:22" ht="14.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</row>
    <row r="338" spans="1:22" ht="14.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</row>
    <row r="339" spans="1:22" ht="14.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</row>
    <row r="340" spans="1:22" ht="14.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</row>
    <row r="341" spans="1:22" ht="14.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</row>
    <row r="342" spans="1:22" ht="14.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</row>
    <row r="343" spans="1:22" ht="14.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</row>
    <row r="344" spans="1:22" ht="14.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</row>
    <row r="345" spans="1:22" ht="14.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</row>
    <row r="346" spans="1:22" ht="14.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</row>
    <row r="347" spans="1:22" ht="14.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</row>
    <row r="348" spans="1:22" ht="14.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</row>
    <row r="349" spans="1:22" ht="14.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</row>
    <row r="350" spans="1:22" ht="14.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</row>
    <row r="351" spans="1:22" ht="14.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</row>
    <row r="352" spans="1:22" ht="14.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</row>
    <row r="353" spans="1:22" ht="14.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</row>
    <row r="354" spans="1:22" ht="14.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</row>
    <row r="355" spans="1:22" ht="14.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</row>
    <row r="356" spans="1:22" ht="14.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</row>
    <row r="357" spans="1:22" ht="14.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</row>
    <row r="358" spans="1:22" ht="14.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</row>
    <row r="359" spans="1:22" ht="14.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</row>
    <row r="360" spans="1:22" ht="14.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</row>
    <row r="361" spans="1:22" ht="14.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</row>
    <row r="362" spans="1:22" ht="14.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</row>
    <row r="363" spans="1:22" ht="14.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</row>
    <row r="364" spans="1:22" ht="14.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</row>
    <row r="365" spans="1:22" ht="14.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</row>
    <row r="366" spans="1:22" ht="14.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</row>
    <row r="367" spans="1:22" ht="14.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</row>
    <row r="368" spans="1:22" ht="14.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</row>
    <row r="369" spans="1:22" ht="14.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</row>
    <row r="370" spans="1:22" ht="14.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</row>
    <row r="371" spans="1:22" ht="14.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</row>
    <row r="372" spans="1:22" ht="14.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</row>
    <row r="373" spans="1:22" ht="14.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</row>
    <row r="374" spans="1:22" ht="14.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</row>
    <row r="375" spans="1:22" ht="14.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</row>
    <row r="376" spans="1:22" ht="14.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</row>
    <row r="377" spans="1:22" ht="14.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</row>
    <row r="378" spans="1:22" ht="14.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</row>
    <row r="379" spans="1:22" ht="14.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</row>
    <row r="380" spans="1:22" ht="14.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</row>
    <row r="381" spans="1:22" ht="14.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</row>
    <row r="382" spans="1:22" ht="14.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</row>
    <row r="383" spans="1:22" ht="14.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</row>
    <row r="384" spans="1:22" ht="14.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</row>
    <row r="385" spans="1:22" ht="14.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</row>
    <row r="386" spans="1:22" ht="14.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</row>
    <row r="387" spans="1:22" ht="14.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</row>
    <row r="388" spans="1:22" ht="14.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</row>
    <row r="389" spans="1:22" ht="14.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</row>
    <row r="390" spans="1:22" ht="14.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</row>
    <row r="391" spans="1:22" ht="14.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</row>
    <row r="392" spans="1:22" ht="14.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</row>
    <row r="393" spans="1:22" ht="14.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</row>
    <row r="394" spans="1:22" ht="14.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</row>
    <row r="395" spans="1:22" ht="14.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</row>
    <row r="396" spans="1:22" ht="14.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</row>
    <row r="397" spans="1:22" ht="14.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</row>
    <row r="398" spans="1:22" ht="14.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</row>
    <row r="399" spans="1:22" ht="14.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</row>
    <row r="400" spans="1:22" ht="14.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</row>
    <row r="401" spans="1:22" ht="14.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</row>
    <row r="402" spans="1:22" ht="14.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</row>
    <row r="403" spans="1:22" ht="14.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</row>
    <row r="404" spans="1:22" ht="14.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</row>
    <row r="405" spans="1:22" ht="14.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</row>
    <row r="406" spans="1:22" ht="14.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</row>
    <row r="407" spans="1:22" ht="14.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</row>
    <row r="408" spans="1:22" ht="14.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</row>
    <row r="409" spans="1:22" ht="14.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</row>
    <row r="410" spans="1:22" ht="14.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</row>
    <row r="411" spans="1:22" ht="14.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</row>
    <row r="412" spans="1:22" ht="14.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</row>
    <row r="413" spans="1:22" ht="14.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</row>
    <row r="414" spans="1:22" ht="14.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</row>
    <row r="415" spans="1:22" ht="14.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</row>
    <row r="416" spans="1:22" ht="14.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</row>
    <row r="417" spans="1:22" ht="14.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</row>
    <row r="418" spans="1:22" ht="14.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</row>
    <row r="419" spans="1:22" ht="14.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</row>
    <row r="420" spans="1:22" ht="14.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</row>
    <row r="421" spans="1:22" ht="14.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</row>
    <row r="422" spans="1:22" ht="14.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</row>
    <row r="423" spans="1:22" ht="14.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</row>
    <row r="424" spans="1:22" ht="14.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</row>
    <row r="425" spans="1:22" ht="14.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</row>
    <row r="426" spans="1:22" ht="14.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</row>
    <row r="427" spans="1:22" ht="14.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</row>
    <row r="428" spans="1:22" ht="14.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</row>
    <row r="429" spans="1:22" ht="14.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</row>
    <row r="430" spans="1:22" ht="14.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</row>
    <row r="431" spans="1:22" ht="14.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</row>
    <row r="432" spans="1:22" ht="14.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</row>
    <row r="433" spans="1:22" ht="14.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</row>
    <row r="434" spans="1:22" ht="14.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</row>
    <row r="435" spans="1:22" ht="14.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</row>
    <row r="436" spans="1:22" ht="14.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</row>
    <row r="437" spans="1:22" ht="14.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</row>
    <row r="438" spans="1:22" ht="14.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</row>
    <row r="439" spans="1:22" ht="14.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</row>
    <row r="440" spans="1:22" ht="14.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</row>
    <row r="441" spans="1:22" ht="14.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</row>
    <row r="442" spans="1:22" ht="14.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</row>
    <row r="443" spans="1:22" ht="14.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</row>
    <row r="444" spans="1:22" ht="14.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</row>
    <row r="445" spans="1:22" ht="14.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</row>
    <row r="446" spans="1:22" ht="14.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</row>
    <row r="447" spans="1:22" ht="14.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</row>
    <row r="448" spans="1:22" ht="14.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</row>
    <row r="449" spans="1:22" ht="14.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</row>
    <row r="450" spans="1:22" ht="14.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</row>
    <row r="451" spans="1:22" ht="14.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</row>
    <row r="452" spans="1:22" ht="14.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</row>
    <row r="453" spans="1:22" ht="14.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</row>
    <row r="454" spans="1:22" ht="14.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</row>
    <row r="455" spans="1:22" ht="14.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</row>
    <row r="456" spans="1:22" ht="14.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</row>
    <row r="457" spans="1:22" ht="14.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</row>
    <row r="458" spans="1:22" ht="14.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</row>
    <row r="459" spans="1:22" ht="14.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</row>
    <row r="460" spans="1:22" ht="14.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</row>
    <row r="461" spans="1:22" ht="14.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</row>
    <row r="462" spans="1:22" ht="14.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</row>
    <row r="463" spans="1:22" ht="14.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</row>
    <row r="464" spans="1:22" ht="14.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</row>
    <row r="465" spans="1:22" ht="14.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</row>
    <row r="466" spans="1:22" ht="14.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</row>
    <row r="467" spans="1:22" ht="14.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</row>
    <row r="468" spans="1:22" ht="14.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</row>
    <row r="469" spans="1:22" ht="14.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</row>
    <row r="470" spans="1:22" ht="14.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</row>
    <row r="471" spans="1:22" ht="14.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</row>
    <row r="472" spans="1:22" ht="14.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</row>
    <row r="473" spans="1:22" ht="14.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</row>
    <row r="474" spans="1:22" ht="14.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</row>
    <row r="475" spans="1:22" ht="14.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</row>
    <row r="476" spans="1:22" ht="14.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</row>
    <row r="477" spans="1:22" ht="14.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</row>
    <row r="478" spans="1:22" ht="14.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</row>
    <row r="479" spans="1:22" ht="14.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</row>
    <row r="480" spans="1:22" ht="14.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</row>
    <row r="481" spans="1:22" ht="14.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</row>
    <row r="482" spans="1:22" ht="14.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</row>
    <row r="483" spans="1:22" ht="14.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</row>
    <row r="484" spans="1:22" ht="14.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</row>
    <row r="485" spans="1:22" ht="14.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</row>
    <row r="486" spans="1:22" ht="14.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</row>
    <row r="487" spans="1:22" ht="14.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</row>
    <row r="488" spans="1:22" ht="14.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</row>
    <row r="489" spans="1:22" ht="14.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</row>
    <row r="490" spans="1:22" ht="14.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</row>
    <row r="491" spans="1:22" ht="14.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</row>
    <row r="492" spans="1:22" ht="14.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</row>
    <row r="493" spans="1:22" ht="14.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</row>
    <row r="494" spans="1:22" ht="14.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</row>
    <row r="495" spans="1:22" ht="14.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</row>
    <row r="496" spans="1:22" ht="14.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</row>
    <row r="497" spans="1:22" ht="14.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</row>
    <row r="498" spans="1:22" ht="14.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</row>
    <row r="499" spans="1:22" ht="14.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</row>
    <row r="500" spans="1:22" ht="14.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</row>
    <row r="501" spans="1:22" ht="14.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</row>
    <row r="502" spans="1:22" ht="14.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</row>
    <row r="503" spans="1:22" ht="14.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</row>
    <row r="504" spans="1:22" ht="14.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</row>
    <row r="505" spans="1:22" ht="14.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</row>
    <row r="506" spans="1:22" ht="14.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</row>
    <row r="507" spans="1:22" ht="14.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</row>
    <row r="508" spans="1:22" ht="14.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</row>
    <row r="509" spans="1:22" ht="14.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</row>
    <row r="510" spans="1:22" ht="14.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</row>
    <row r="511" spans="1:22" ht="14.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</row>
    <row r="512" spans="1:22" ht="14.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</row>
    <row r="513" spans="1:22" ht="14.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</row>
    <row r="514" spans="1:22" ht="14.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</row>
    <row r="515" spans="1:22" ht="14.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</row>
    <row r="516" spans="1:22" ht="14.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</row>
    <row r="517" spans="1:22" ht="14.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</row>
    <row r="518" spans="1:22" ht="14.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</row>
    <row r="519" spans="1:22" ht="14.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</row>
    <row r="520" spans="1:22" ht="14.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</row>
    <row r="521" spans="1:22" ht="14.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</row>
    <row r="522" spans="1:22" ht="14.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</row>
    <row r="523" spans="1:22" ht="14.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</row>
    <row r="524" spans="1:22" ht="14.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</row>
    <row r="525" spans="1:22" ht="14.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</row>
    <row r="526" spans="1:22" ht="14.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</row>
    <row r="527" spans="1:22" ht="14.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</row>
    <row r="528" spans="1:22" ht="14.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</row>
    <row r="529" spans="1:22" ht="14.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</row>
    <row r="530" spans="1:22" ht="14.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</row>
    <row r="531" spans="1:22" ht="14.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</row>
    <row r="532" spans="1:22" ht="14.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</row>
    <row r="533" spans="1:22" ht="14.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</row>
    <row r="534" spans="1:22" ht="14.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</row>
    <row r="535" spans="1:22" ht="14.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</row>
    <row r="536" spans="1:22" ht="14.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</row>
    <row r="537" spans="1:22" ht="14.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</row>
    <row r="538" spans="1:22" ht="14.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</row>
    <row r="539" spans="1:22" ht="14.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</row>
    <row r="540" spans="1:22" ht="14.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</row>
    <row r="541" spans="1:22" ht="14.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</row>
    <row r="542" spans="1:22" ht="14.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</row>
    <row r="543" spans="1:22" ht="14.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</row>
    <row r="544" spans="1:22" ht="14.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</row>
    <row r="545" spans="1:22" ht="14.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</row>
    <row r="546" spans="1:22" ht="14.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</row>
    <row r="547" spans="1:22" ht="14.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</row>
    <row r="548" spans="1:22" ht="14.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</row>
    <row r="549" spans="1:22" ht="14.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</row>
    <row r="550" spans="1:22" ht="14.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</row>
    <row r="551" spans="1:22" ht="14.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</row>
    <row r="552" spans="1:22" ht="14.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</row>
    <row r="553" spans="1:22" ht="14.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</row>
    <row r="554" spans="1:22" ht="14.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</row>
    <row r="555" spans="1:22" ht="14.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</row>
    <row r="556" spans="1:22" ht="14.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</row>
    <row r="557" spans="1:22" ht="14.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</row>
    <row r="558" spans="1:22" ht="14.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</row>
    <row r="559" spans="1:22" ht="14.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</row>
    <row r="560" spans="1:22" ht="14.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</row>
    <row r="561" spans="1:22" ht="14.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</row>
    <row r="562" spans="1:22" ht="14.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</row>
    <row r="563" spans="1:22" ht="14.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</row>
    <row r="564" spans="1:22" ht="14.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</row>
    <row r="565" spans="1:22" ht="14.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</row>
    <row r="566" spans="1:22" ht="14.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</row>
    <row r="567" spans="1:22" ht="14.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</row>
    <row r="568" spans="1:22" ht="14.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</row>
    <row r="569" spans="1:22" ht="14.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</row>
    <row r="570" spans="1:22" ht="14.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</row>
    <row r="571" spans="1:22" ht="14.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</row>
    <row r="572" spans="1:22" ht="14.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</row>
    <row r="573" spans="1:22" ht="14.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</row>
    <row r="574" spans="1:22" ht="14.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</row>
    <row r="575" spans="1:22" ht="14.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</row>
    <row r="576" spans="1:22" ht="14.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</row>
    <row r="577" spans="1:22" ht="14.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</row>
    <row r="578" spans="1:22" ht="14.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</row>
    <row r="579" spans="1:22" ht="14.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</row>
    <row r="580" spans="1:22" ht="14.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</row>
    <row r="581" spans="1:22" ht="14.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</row>
    <row r="582" spans="1:22" ht="14.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</row>
    <row r="583" spans="1:22" ht="14.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</row>
    <row r="584" spans="1:22" ht="14.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</row>
    <row r="585" spans="1:22" ht="14.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</row>
    <row r="586" spans="1:22" ht="14.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</row>
    <row r="587" spans="1:22" ht="14.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</row>
    <row r="588" spans="1:22" ht="14.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</row>
    <row r="589" spans="1:22" ht="14.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</row>
    <row r="590" spans="1:22" ht="14.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</row>
    <row r="591" spans="1:22" ht="14.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</row>
    <row r="592" spans="1:22" ht="14.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</row>
    <row r="593" spans="1:22" ht="14.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</row>
    <row r="594" spans="1:22" ht="14.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</row>
    <row r="595" spans="1:22" ht="14.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</row>
    <row r="596" spans="1:22" ht="14.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</row>
    <row r="597" spans="1:22" ht="14.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</row>
    <row r="598" spans="1:22" ht="14.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</row>
    <row r="599" spans="1:22" ht="14.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</row>
    <row r="600" spans="1:22" ht="14.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</row>
    <row r="601" spans="1:22" ht="14.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</row>
    <row r="602" spans="1:22" ht="14.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</row>
    <row r="603" spans="1:22" ht="14.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</row>
    <row r="604" spans="1:22" ht="14.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</row>
    <row r="605" spans="1:22" ht="14.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</row>
    <row r="606" spans="1:22" ht="14.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</row>
    <row r="607" spans="1:22" ht="14.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</row>
    <row r="608" spans="1:22" ht="14.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</row>
    <row r="609" spans="1:22" ht="14.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</row>
    <row r="610" spans="1:22" ht="14.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</row>
    <row r="611" spans="1:22" ht="14.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</row>
    <row r="612" spans="1:22" ht="14.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</row>
    <row r="613" spans="1:22" ht="14.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</row>
    <row r="614" spans="1:22" ht="14.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</row>
    <row r="615" spans="1:22" ht="14.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</row>
    <row r="616" spans="1:22" ht="14.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</row>
    <row r="617" spans="1:22" ht="14.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</row>
    <row r="618" spans="1:22" ht="14.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</row>
    <row r="619" spans="1:22" ht="14.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</row>
    <row r="620" spans="1:22" ht="14.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</row>
    <row r="621" spans="1:22" ht="14.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</row>
    <row r="622" spans="1:22" ht="14.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</row>
    <row r="623" spans="1:22" ht="14.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</row>
    <row r="624" spans="1:22" ht="14.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</row>
    <row r="625" spans="1:22" ht="14.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</row>
    <row r="626" spans="1:22" ht="14.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</row>
    <row r="627" spans="1:22" ht="14.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</row>
    <row r="628" spans="1:22" ht="14.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</row>
    <row r="629" spans="1:22" ht="14.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</row>
    <row r="630" spans="1:22" ht="14.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</row>
    <row r="631" spans="1:22" ht="14.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</row>
    <row r="632" spans="1:22" ht="14.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</row>
    <row r="633" spans="1:22" ht="14.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</row>
    <row r="634" spans="1:22" ht="14.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</row>
    <row r="635" spans="1:22" ht="14.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</row>
    <row r="636" spans="1:22" ht="14.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</row>
    <row r="637" spans="1:22" ht="14.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</row>
    <row r="638" spans="1:22" ht="14.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</row>
    <row r="639" spans="1:22" ht="14.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</row>
    <row r="640" spans="1:22" ht="14.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</row>
    <row r="641" spans="1:22" ht="14.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</row>
    <row r="642" spans="1:22" ht="14.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</row>
    <row r="643" spans="1:22" ht="14.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</row>
    <row r="644" spans="1:22" ht="14.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</row>
    <row r="645" spans="1:22" ht="14.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</row>
    <row r="646" spans="1:22" ht="14.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</row>
    <row r="647" spans="1:22" ht="14.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</row>
    <row r="648" spans="1:22" ht="14.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</row>
    <row r="649" spans="1:22" ht="14.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</row>
    <row r="650" spans="1:22" ht="14.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</row>
    <row r="651" spans="1:22" ht="14.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</row>
    <row r="652" spans="1:22" ht="14.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</row>
    <row r="653" spans="1:22" ht="14.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</row>
    <row r="654" spans="1:22" ht="14.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</row>
    <row r="655" spans="1:22" ht="14.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</row>
    <row r="656" spans="1:22" ht="14.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</row>
    <row r="657" spans="1:22" ht="14.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</row>
    <row r="658" spans="1:22" ht="14.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</row>
    <row r="659" spans="1:22" ht="14.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</row>
    <row r="660" spans="1:22" ht="14.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</row>
    <row r="661" spans="1:22" ht="14.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</row>
    <row r="662" spans="1:22" ht="14.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</row>
    <row r="663" spans="1:22" ht="14.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</row>
    <row r="664" spans="1:22" ht="14.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</row>
    <row r="665" spans="1:22" ht="14.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</row>
    <row r="666" spans="1:22" ht="14.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</row>
    <row r="667" spans="1:22" ht="14.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</row>
    <row r="668" spans="1:22" ht="14.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</row>
    <row r="669" spans="1:22" ht="14.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</row>
    <row r="670" spans="1:22" ht="14.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</row>
    <row r="671" spans="1:22" ht="14.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</row>
    <row r="672" spans="1:22" ht="14.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</row>
    <row r="673" spans="1:22" ht="14.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</row>
    <row r="674" spans="1:22" ht="14.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</row>
    <row r="675" spans="1:22" ht="14.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</row>
    <row r="676" spans="1:22" ht="14.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</row>
    <row r="677" spans="1:22" ht="14.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</row>
    <row r="678" spans="1:22" ht="14.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</row>
    <row r="679" spans="1:22" ht="14.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</row>
    <row r="680" spans="1:22" ht="14.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</row>
    <row r="681" spans="1:22" ht="14.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</row>
    <row r="682" spans="1:22" ht="14.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</row>
    <row r="683" spans="1:22" ht="14.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</row>
    <row r="684" spans="1:22" ht="14.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</row>
    <row r="685" spans="1:22" ht="14.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</row>
    <row r="686" spans="1:22" ht="14.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</row>
    <row r="687" spans="1:22" ht="14.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</row>
    <row r="688" spans="1:22" ht="14.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</row>
    <row r="689" spans="1:22" ht="14.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</row>
    <row r="690" spans="1:22" ht="14.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</row>
    <row r="691" spans="1:22" ht="14.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</row>
    <row r="692" spans="1:22" ht="14.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</row>
    <row r="693" spans="1:22" ht="14.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</row>
    <row r="694" spans="1:22" ht="14.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</row>
    <row r="695" spans="1:22" ht="14.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</row>
    <row r="696" spans="1:22" ht="14.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</row>
    <row r="697" spans="1:22" ht="14.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</row>
    <row r="698" spans="1:22" ht="14.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</row>
    <row r="699" spans="1:22" ht="14.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</row>
    <row r="700" spans="1:22" ht="14.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</row>
    <row r="701" spans="1:22" ht="14.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</row>
    <row r="702" spans="1:22" ht="14.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</row>
    <row r="703" spans="1:22" ht="14.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</row>
    <row r="704" spans="1:22" ht="14.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</row>
    <row r="705" spans="1:22" ht="14.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</row>
    <row r="706" spans="1:22" ht="14.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</row>
    <row r="707" spans="1:22" ht="14.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</row>
    <row r="708" spans="1:22" ht="14.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</row>
    <row r="709" spans="1:22" ht="14.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</row>
    <row r="710" spans="1:22" ht="14.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</row>
    <row r="711" spans="1:22" ht="14.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</row>
    <row r="712" spans="1:22" ht="14.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</row>
    <row r="713" spans="1:22" ht="14.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</row>
    <row r="714" spans="1:22" ht="14.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</row>
    <row r="715" spans="1:22" ht="14.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</row>
    <row r="716" spans="1:22" ht="14.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</row>
    <row r="717" spans="1:22" ht="14.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</row>
    <row r="718" spans="1:22" ht="14.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</row>
    <row r="719" spans="1:22" ht="14.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</row>
    <row r="720" spans="1:22" ht="14.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</row>
    <row r="721" spans="1:22" ht="14.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</row>
    <row r="722" spans="1:22" ht="14.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</row>
    <row r="723" spans="1:22" ht="14.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</row>
    <row r="724" spans="1:22" ht="14.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</row>
    <row r="725" spans="1:22" ht="14.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</row>
    <row r="726" spans="1:22" ht="14.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</row>
    <row r="727" spans="1:22" ht="14.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</row>
    <row r="728" spans="1:22" ht="14.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</row>
    <row r="729" spans="1:22" ht="14.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</row>
    <row r="730" spans="1:22" ht="14.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</row>
    <row r="731" spans="1:22" ht="14.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</row>
    <row r="732" spans="1:22" ht="14.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</row>
    <row r="733" spans="1:22" ht="14.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</row>
    <row r="734" spans="1:22" ht="14.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</row>
    <row r="735" spans="1:22" ht="14.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</row>
    <row r="736" spans="1:22" ht="14.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</row>
    <row r="737" spans="1:22" ht="14.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</row>
    <row r="738" spans="1:22" ht="14.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</row>
    <row r="739" spans="1:22" ht="14.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</row>
    <row r="740" spans="1:22" ht="14.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</row>
    <row r="741" spans="1:22" ht="14.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</row>
    <row r="742" spans="1:22" ht="14.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</row>
    <row r="743" spans="1:22" ht="14.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</row>
    <row r="744" spans="1:22" ht="14.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</row>
    <row r="745" spans="1:22" ht="14.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</row>
    <row r="746" spans="1:22" ht="14.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</row>
    <row r="747" spans="1:22" ht="14.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</row>
    <row r="748" spans="1:22" ht="14.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</row>
    <row r="749" spans="1:22" ht="14.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</row>
    <row r="750" spans="1:22" ht="14.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</row>
    <row r="751" spans="1:22" ht="14.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</row>
    <row r="752" spans="1:22" ht="14.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</row>
    <row r="753" spans="1:22" ht="14.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</row>
    <row r="754" spans="1:22" ht="14.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</row>
    <row r="755" spans="1:22" ht="14.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</row>
    <row r="756" spans="1:22" ht="14.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</row>
    <row r="757" spans="1:22" ht="14.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</row>
    <row r="758" spans="1:22" ht="14.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</row>
    <row r="759" spans="1:22" ht="14.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</row>
    <row r="760" spans="1:22" ht="14.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</row>
    <row r="761" spans="1:22" ht="14.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</row>
    <row r="762" spans="1:22" ht="14.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</row>
    <row r="763" spans="1:22" ht="14.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</row>
    <row r="764" spans="1:22" ht="14.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</row>
    <row r="765" spans="1:22" ht="14.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</row>
    <row r="766" spans="1:22" ht="14.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</row>
    <row r="767" spans="1:22" ht="14.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</row>
    <row r="768" spans="1:22" ht="14.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</row>
    <row r="769" spans="1:22" ht="14.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</row>
    <row r="770" spans="1:22" ht="14.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</row>
    <row r="771" spans="1:22" ht="14.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</row>
    <row r="772" spans="1:22" ht="14.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</row>
    <row r="773" spans="1:22" ht="14.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</row>
    <row r="774" spans="1:22" ht="14.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</row>
    <row r="775" spans="1:22" ht="14.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</row>
    <row r="776" spans="1:22" ht="14.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</row>
    <row r="777" spans="1:22" ht="14.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</row>
    <row r="778" spans="1:22" ht="14.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</row>
    <row r="779" spans="1:22" ht="14.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</row>
    <row r="780" spans="1:22" ht="14.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</row>
    <row r="781" spans="1:22" ht="14.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</row>
    <row r="782" spans="1:22" ht="14.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</row>
    <row r="783" spans="1:22" ht="14.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</row>
    <row r="784" spans="1:22" ht="14.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</row>
    <row r="785" spans="1:22" ht="14.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</row>
    <row r="786" spans="1:22" ht="14.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</row>
    <row r="787" spans="1:22" ht="14.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</row>
    <row r="788" spans="1:22" ht="14.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</row>
    <row r="789" spans="1:22" ht="14.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</row>
    <row r="790" spans="1:22" ht="14.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</row>
    <row r="791" spans="1:22" ht="14.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</row>
    <row r="792" spans="1:22" ht="14.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</row>
    <row r="793" spans="1:22" ht="14.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</row>
    <row r="794" spans="1:22" ht="14.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</row>
    <row r="795" spans="1:22" ht="14.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</row>
    <row r="796" spans="1:22" ht="14.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</row>
    <row r="797" spans="1:22" ht="14.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</row>
    <row r="798" spans="1:22" ht="14.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</row>
    <row r="799" spans="1:22" ht="14.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</row>
    <row r="800" spans="1:22" ht="14.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</row>
    <row r="801" spans="1:22" ht="14.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</row>
    <row r="802" spans="1:22" ht="14.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</row>
    <row r="803" spans="1:22" ht="14.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</row>
    <row r="804" spans="1:22" ht="14.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</row>
    <row r="805" spans="1:22" ht="14.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</row>
    <row r="806" spans="1:22" ht="14.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</row>
    <row r="807" spans="1:22" ht="14.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</row>
    <row r="808" spans="1:22" ht="14.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</row>
    <row r="809" spans="1:22" ht="14.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</row>
    <row r="810" spans="1:22" ht="14.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</row>
    <row r="811" spans="1:22" ht="14.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</row>
    <row r="812" spans="1:22" ht="14.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</row>
    <row r="813" spans="1:22" ht="14.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</row>
    <row r="814" spans="1:22" ht="14.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</row>
    <row r="815" spans="1:22" ht="14.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</row>
    <row r="816" spans="1:22" ht="14.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</row>
    <row r="817" spans="1:22" ht="14.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</row>
    <row r="818" spans="1:22" ht="14.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</row>
    <row r="819" spans="1:22" ht="14.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</row>
    <row r="820" spans="1:22" ht="14.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</row>
    <row r="821" spans="1:22" ht="14.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</row>
    <row r="822" spans="1:22" ht="14.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</row>
    <row r="823" spans="1:22" ht="14.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</row>
    <row r="824" spans="1:22" ht="14.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</row>
    <row r="825" spans="1:22" ht="14.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</row>
    <row r="826" spans="1:22" ht="14.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</row>
    <row r="827" spans="1:22" ht="14.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</row>
    <row r="828" spans="1:22" ht="14.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</row>
    <row r="829" spans="1:22" ht="14.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</row>
    <row r="830" spans="1:22" ht="14.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</row>
    <row r="831" spans="1:22" ht="14.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</row>
    <row r="832" spans="1:22" ht="14.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</row>
    <row r="833" spans="1:22" ht="14.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</row>
    <row r="834" spans="1:22" ht="14.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</row>
    <row r="835" spans="1:22" ht="14.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</row>
    <row r="836" spans="1:22" ht="14.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</row>
    <row r="837" spans="1:22" ht="14.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</row>
    <row r="838" spans="1:22" ht="14.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</row>
    <row r="839" spans="1:22" ht="14.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</row>
    <row r="840" spans="1:22" ht="14.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</row>
    <row r="841" spans="1:22" ht="14.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</row>
    <row r="842" spans="1:22" ht="14.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</row>
    <row r="843" spans="1:22" ht="14.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</row>
    <row r="844" spans="1:22" ht="14.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</row>
    <row r="845" spans="1:22" ht="14.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</row>
    <row r="846" spans="1:22" ht="14.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</row>
    <row r="847" spans="1:22" ht="14.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</row>
    <row r="848" spans="1:22" ht="14.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</row>
    <row r="849" spans="1:22" ht="14.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</row>
    <row r="850" spans="1:22" ht="14.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</row>
    <row r="851" spans="1:22" ht="14.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</row>
    <row r="852" spans="1:22" ht="14.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</row>
    <row r="853" spans="1:22" ht="14.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</row>
    <row r="854" spans="1:22" ht="14.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</row>
    <row r="855" spans="1:22" ht="14.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</row>
    <row r="856" spans="1:22" ht="14.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</row>
    <row r="857" spans="1:22" ht="14.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</row>
    <row r="858" spans="1:22" ht="14.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</row>
    <row r="859" spans="1:22" ht="14.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</row>
    <row r="860" spans="1:22" ht="14.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</row>
    <row r="861" spans="1:22" ht="14.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</row>
    <row r="862" spans="1:22" ht="14.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</row>
    <row r="863" spans="1:22" ht="14.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</row>
    <row r="864" spans="1:22" ht="14.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</row>
    <row r="865" spans="1:22" ht="14.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</row>
    <row r="866" spans="1:22" ht="14.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</row>
    <row r="867" spans="1:22" ht="14.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</row>
    <row r="868" spans="1:22" ht="14.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</row>
    <row r="869" spans="1:22" ht="14.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</row>
    <row r="870" spans="1:22" ht="14.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</row>
    <row r="871" spans="1:22" ht="14.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</row>
    <row r="872" spans="1:22" ht="14.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</row>
    <row r="873" spans="1:22" ht="14.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</row>
    <row r="874" spans="1:22" ht="14.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</row>
    <row r="875" spans="1:22" ht="14.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</row>
    <row r="876" spans="1:22" ht="14.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</row>
    <row r="877" spans="1:22" ht="14.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</row>
    <row r="878" spans="1:22" ht="14.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</row>
    <row r="879" spans="1:22" ht="14.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</row>
    <row r="880" spans="1:22" ht="14.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</row>
    <row r="881" spans="1:22" ht="14.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</row>
    <row r="882" spans="1:22" ht="14.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</row>
    <row r="883" spans="1:22" ht="14.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</row>
    <row r="884" spans="1:22" ht="14.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</row>
    <row r="885" spans="1:22" ht="14.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</row>
    <row r="886" spans="1:22" ht="14.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</row>
    <row r="887" spans="1:22" ht="14.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</row>
    <row r="888" spans="1:22" ht="14.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</row>
    <row r="889" spans="1:22" ht="14.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</row>
    <row r="890" spans="1:22" ht="14.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</row>
    <row r="891" spans="1:22" ht="14.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</row>
    <row r="892" spans="1:22" ht="14.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</row>
    <row r="893" spans="1:22" ht="14.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</row>
    <row r="894" spans="1:22" ht="14.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</row>
    <row r="895" spans="1:22" ht="14.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</row>
    <row r="896" spans="1:22" ht="14.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</row>
    <row r="897" spans="1:22" ht="14.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</row>
    <row r="898" spans="1:22" ht="14.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</row>
    <row r="899" spans="1:22" ht="14.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</row>
    <row r="900" spans="1:22" ht="14.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</row>
    <row r="901" spans="1:22" ht="14.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</row>
    <row r="902" spans="1:22" ht="14.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</row>
    <row r="903" spans="1:22" ht="14.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</row>
    <row r="904" spans="1:22" ht="14.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</row>
    <row r="905" spans="1:22" ht="14.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</row>
    <row r="906" spans="1:22" ht="14.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</row>
    <row r="907" spans="1:22" ht="14.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</row>
    <row r="908" spans="1:22" ht="14.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</row>
    <row r="909" spans="1:22" ht="14.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</row>
    <row r="910" spans="1:22" ht="14.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</row>
    <row r="911" spans="1:22" ht="14.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</row>
    <row r="912" spans="1:22" ht="14.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</row>
    <row r="913" spans="1:22" ht="14.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</row>
    <row r="914" spans="1:22" ht="14.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</row>
    <row r="915" spans="1:22" ht="14.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</row>
    <row r="916" spans="1:22" ht="14.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</row>
    <row r="917" spans="1:22" ht="14.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</row>
    <row r="918" spans="1:22" ht="14.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</row>
    <row r="919" spans="1:22" ht="14.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</row>
    <row r="920" spans="1:22" ht="14.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</row>
    <row r="921" spans="1:22" ht="14.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</row>
    <row r="922" spans="1:22" ht="14.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</row>
    <row r="923" spans="1:22" ht="14.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</row>
    <row r="924" spans="1:22" ht="14.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</row>
    <row r="925" spans="1:22" ht="14.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</row>
    <row r="926" spans="1:22" ht="14.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</row>
    <row r="927" spans="1:22" ht="14.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</row>
    <row r="928" spans="1:22" ht="14.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</row>
    <row r="929" spans="1:22" ht="14.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</row>
    <row r="930" spans="1:22" ht="14.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</row>
    <row r="931" spans="1:22" ht="14.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</row>
    <row r="932" spans="1:22" ht="14.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</row>
    <row r="933" spans="1:22" ht="14.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</row>
    <row r="934" spans="1:22" ht="14.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</row>
    <row r="935" spans="1:22" ht="14.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</row>
    <row r="936" spans="1:22" ht="14.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</row>
    <row r="937" spans="1:22" ht="14.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</row>
    <row r="938" spans="1:22" ht="14.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</row>
    <row r="939" spans="1:22" ht="14.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</row>
    <row r="940" spans="1:22" ht="14.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</row>
    <row r="941" spans="1:22" ht="14.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</row>
    <row r="942" spans="1:22" ht="14.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</row>
    <row r="943" spans="1:22" ht="14.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</row>
    <row r="944" spans="1:22" ht="14.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</row>
    <row r="945" spans="1:22" ht="14.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</row>
    <row r="946" spans="1:22" ht="14.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</row>
    <row r="947" spans="1:22" ht="14.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</row>
    <row r="948" spans="1:22" ht="14.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</row>
    <row r="949" spans="1:22" ht="14.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</row>
    <row r="950" spans="1:22" ht="14.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</row>
    <row r="951" spans="1:22" ht="14.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</row>
    <row r="952" spans="1:22" ht="14.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</row>
    <row r="953" spans="1:22" ht="14.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</row>
    <row r="954" spans="1:22" ht="14.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</row>
    <row r="955" spans="1:22" ht="14.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</row>
    <row r="956" spans="1:22" ht="14.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</row>
    <row r="957" spans="1:22" ht="14.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</row>
    <row r="958" spans="1:22" ht="14.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</row>
    <row r="959" spans="1:22" ht="14.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</row>
    <row r="960" spans="1:22" ht="14.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</row>
    <row r="961" spans="1:22" ht="14.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</row>
    <row r="962" spans="1:22" ht="14.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</row>
    <row r="963" spans="1:22" ht="14.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</row>
    <row r="964" spans="1:22" ht="14.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</row>
    <row r="965" spans="1:22" ht="14.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</row>
    <row r="966" spans="1:22" ht="14.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</row>
    <row r="967" spans="1:22" ht="14.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</row>
    <row r="968" spans="1:22" ht="14.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</row>
    <row r="969" spans="1:22" ht="14.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</row>
    <row r="970" spans="1:22" ht="14.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</row>
    <row r="971" spans="1:22" ht="14.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</row>
    <row r="972" spans="1:22" ht="14.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</row>
    <row r="973" spans="1:22" ht="14.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</row>
    <row r="974" spans="1:22" ht="14.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</row>
    <row r="975" spans="1:22" ht="14.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</row>
    <row r="976" spans="1:22" ht="14.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</row>
    <row r="977" spans="1:22" ht="14.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</row>
    <row r="978" spans="1:22" ht="14.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</row>
    <row r="979" spans="1:22" ht="14.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</row>
    <row r="980" spans="1:22" ht="14.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</row>
    <row r="981" spans="1:22" ht="14.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</row>
    <row r="982" spans="1:22" ht="14.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</row>
    <row r="983" spans="1:22" ht="14.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</row>
    <row r="984" spans="1:22" ht="14.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</row>
    <row r="985" spans="1:22" ht="14.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</row>
    <row r="986" spans="1:22" ht="14.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</row>
    <row r="987" spans="1:22" ht="14.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</row>
    <row r="988" spans="1:22" ht="14.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</row>
    <row r="989" spans="1:22" ht="14.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</row>
    <row r="990" spans="1:22" ht="14.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</row>
    <row r="991" spans="1:22" ht="14.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</row>
    <row r="992" spans="1:22" ht="14.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</row>
    <row r="993" spans="1:22" ht="14.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</row>
    <row r="994" spans="1:22" ht="14.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</row>
    <row r="995" spans="1:22" ht="14.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</row>
    <row r="996" spans="1:22" ht="14.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</row>
    <row r="997" spans="1:22" ht="14.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</row>
    <row r="998" spans="1:22" ht="14.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</row>
    <row r="999" spans="1:22" ht="14.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</row>
    <row r="1000" spans="1:22" ht="14.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</row>
    <row r="1001" spans="1:22" ht="14.5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</row>
    <row r="1002" spans="1:22" ht="14.5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</row>
  </sheetData>
  <mergeCells count="8">
    <mergeCell ref="N4:S4"/>
    <mergeCell ref="B22:I22"/>
    <mergeCell ref="N22:U22"/>
    <mergeCell ref="B4:G4"/>
    <mergeCell ref="B2:G2"/>
    <mergeCell ref="N2:S2"/>
    <mergeCell ref="B3:G3"/>
    <mergeCell ref="N3: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81"/>
  <sheetViews>
    <sheetView workbookViewId="0">
      <pane ySplit="1" topLeftCell="A2" activePane="bottomLeft" state="frozen"/>
      <selection activeCell="T8" sqref="T8"/>
      <selection pane="bottomLeft" activeCell="E17" sqref="E17"/>
    </sheetView>
  </sheetViews>
  <sheetFormatPr defaultColWidth="14.453125" defaultRowHeight="15" customHeight="1"/>
  <cols>
    <col min="1" max="1" width="32.26953125" customWidth="1"/>
    <col min="2" max="2" width="7.54296875" customWidth="1"/>
    <col min="3" max="3" width="15.26953125" customWidth="1"/>
    <col min="4" max="4" width="17" customWidth="1"/>
    <col min="5" max="5" width="11" customWidth="1"/>
    <col min="6" max="6" width="14" customWidth="1"/>
    <col min="7" max="7" width="26.08984375" customWidth="1"/>
    <col min="8" max="8" width="19.26953125" customWidth="1"/>
    <col min="9" max="18" width="9.7265625" customWidth="1"/>
  </cols>
  <sheetData>
    <row r="1" spans="1:9" ht="14.25" customHeight="1">
      <c r="A1" s="103" t="s">
        <v>88</v>
      </c>
      <c r="B1" s="103" t="s">
        <v>89</v>
      </c>
      <c r="C1" s="103" t="s">
        <v>90</v>
      </c>
      <c r="D1" s="103" t="s">
        <v>91</v>
      </c>
      <c r="E1" s="103" t="s">
        <v>92</v>
      </c>
      <c r="F1" s="103" t="s">
        <v>20</v>
      </c>
      <c r="G1" s="103" t="s">
        <v>93</v>
      </c>
      <c r="H1" s="103" t="s">
        <v>94</v>
      </c>
    </row>
    <row r="2" spans="1:9" ht="14.25" customHeight="1">
      <c r="A2" s="104" t="str">
        <f>Master!B2</f>
        <v>RFID Reader</v>
      </c>
      <c r="B2" s="105">
        <f>VLOOKUP(A2,Master!B:C,2,0)</f>
        <v>27000</v>
      </c>
      <c r="C2" s="105">
        <f ca="1">SUMIF(BOQ!$C$2:$G$11,'Hardware List'!A2,BOQ!$G$2:$G$11)</f>
        <v>2</v>
      </c>
      <c r="D2" s="106">
        <f t="shared" ref="D2:D3" ca="1" si="0">C2*10%</f>
        <v>0.2</v>
      </c>
      <c r="E2" s="106">
        <f t="shared" ref="E2:E7" ca="1" si="1">C2+D2</f>
        <v>2.2000000000000002</v>
      </c>
      <c r="F2" s="105">
        <f t="shared" ref="F2:F7" ca="1" si="2">C2*B2</f>
        <v>54000</v>
      </c>
      <c r="G2" s="105">
        <v>0</v>
      </c>
      <c r="H2" s="105">
        <f t="shared" ref="H2:H7" ca="1" si="3">F2+G2</f>
        <v>54000</v>
      </c>
      <c r="I2" s="164">
        <f>B2/(1-30%)</f>
        <v>38571.428571428572</v>
      </c>
    </row>
    <row r="3" spans="1:9" ht="14.25" customHeight="1">
      <c r="A3" s="104" t="str">
        <f>Master!B3</f>
        <v>ANPR Camera</v>
      </c>
      <c r="B3" s="105">
        <f>VLOOKUP(A3,Master!B:C,2,0)</f>
        <v>65000</v>
      </c>
      <c r="C3" s="105">
        <f ca="1">SUMIF(BOQ!$C$2:$G$11,'Hardware List'!A3,BOQ!$G$2:$G$11)</f>
        <v>1</v>
      </c>
      <c r="D3" s="106">
        <f t="shared" ca="1" si="0"/>
        <v>0.1</v>
      </c>
      <c r="E3" s="106">
        <f t="shared" ca="1" si="1"/>
        <v>1.1000000000000001</v>
      </c>
      <c r="F3" s="105">
        <f t="shared" ca="1" si="2"/>
        <v>65000</v>
      </c>
      <c r="G3" s="105">
        <v>0</v>
      </c>
      <c r="H3" s="105">
        <f t="shared" ca="1" si="3"/>
        <v>65000</v>
      </c>
      <c r="I3" s="164">
        <f>B3/(1-30%)</f>
        <v>92857.14285714287</v>
      </c>
    </row>
    <row r="4" spans="1:9" ht="14.25" customHeight="1">
      <c r="A4" s="104" t="str">
        <f>Master!B4</f>
        <v>Handheld RFID Reader</v>
      </c>
      <c r="B4" s="105">
        <f>VLOOKUP(A4,Master!B:C,2,0)</f>
        <v>66000</v>
      </c>
      <c r="C4" s="105">
        <f ca="1">SUMIF(BOQ!$C$2:$G$11,'Hardware List'!A4,BOQ!$G$2:$G$11)</f>
        <v>1</v>
      </c>
      <c r="D4" s="106">
        <v>0</v>
      </c>
      <c r="E4" s="106">
        <f t="shared" ca="1" si="1"/>
        <v>1</v>
      </c>
      <c r="F4" s="105">
        <f t="shared" ca="1" si="2"/>
        <v>66000</v>
      </c>
      <c r="G4" s="105">
        <v>0</v>
      </c>
      <c r="H4" s="105">
        <f t="shared" ca="1" si="3"/>
        <v>66000</v>
      </c>
      <c r="I4" s="164">
        <f t="shared" ref="I4:I8" si="4">B4/(1-30%)</f>
        <v>94285.71428571429</v>
      </c>
    </row>
    <row r="5" spans="1:9" ht="14.25" customHeight="1">
      <c r="A5" s="104" t="str">
        <f>Master!B6</f>
        <v>Boom Barrier</v>
      </c>
      <c r="B5" s="105">
        <f>VLOOKUP(A5,Master!B:C,2,0)</f>
        <v>105200</v>
      </c>
      <c r="C5" s="105">
        <f ca="1">SUMIF(BOQ!$C$2:$G$11,'Hardware List'!A5,BOQ!$G$2:$G$11)</f>
        <v>2</v>
      </c>
      <c r="D5" s="106">
        <f t="shared" ref="D5" ca="1" si="5">C5*10%</f>
        <v>0.2</v>
      </c>
      <c r="E5" s="106">
        <f t="shared" ca="1" si="1"/>
        <v>2.2000000000000002</v>
      </c>
      <c r="F5" s="105">
        <f t="shared" ca="1" si="2"/>
        <v>210400</v>
      </c>
      <c r="G5" s="105">
        <v>0</v>
      </c>
      <c r="H5" s="105">
        <f t="shared" ca="1" si="3"/>
        <v>210400</v>
      </c>
      <c r="I5" s="164">
        <f t="shared" si="4"/>
        <v>150285.71428571429</v>
      </c>
    </row>
    <row r="6" spans="1:9" ht="14.25" customHeight="1">
      <c r="A6" s="104" t="str">
        <f>Master!B12</f>
        <v>Tablet (Industrial Grade)</v>
      </c>
      <c r="B6" s="105">
        <f>VLOOKUP(A6,Master!B:C,2,0)</f>
        <v>47000</v>
      </c>
      <c r="C6" s="105">
        <f ca="1">SUMIF(BOQ!$C$2:$G$11,'Hardware List'!A6,BOQ!$G$2:$G$11)</f>
        <v>1</v>
      </c>
      <c r="D6" s="106">
        <f t="shared" ref="D6" ca="1" si="6">C6*10%</f>
        <v>0.1</v>
      </c>
      <c r="E6" s="106">
        <f t="shared" ca="1" si="1"/>
        <v>1.1000000000000001</v>
      </c>
      <c r="F6" s="105">
        <f t="shared" ca="1" si="2"/>
        <v>47000</v>
      </c>
      <c r="G6" s="105">
        <v>0</v>
      </c>
      <c r="H6" s="105">
        <f t="shared" ca="1" si="3"/>
        <v>47000</v>
      </c>
      <c r="I6" s="164">
        <f t="shared" si="4"/>
        <v>67142.857142857145</v>
      </c>
    </row>
    <row r="7" spans="1:9" ht="14.25" customHeight="1">
      <c r="A7" s="104" t="str">
        <f>Master!B17</f>
        <v>Traffic Light</v>
      </c>
      <c r="B7" s="105">
        <f>VLOOKUP(A7,Master!B:C,2,0)</f>
        <v>9200</v>
      </c>
      <c r="C7" s="105">
        <v>2</v>
      </c>
      <c r="D7" s="106">
        <f t="shared" ref="D7" si="7">C7*10%</f>
        <v>0.2</v>
      </c>
      <c r="E7" s="106">
        <f t="shared" si="1"/>
        <v>2.2000000000000002</v>
      </c>
      <c r="F7" s="105">
        <f t="shared" si="2"/>
        <v>18400</v>
      </c>
      <c r="G7" s="105">
        <v>0</v>
      </c>
      <c r="H7" s="105">
        <f t="shared" si="3"/>
        <v>18400</v>
      </c>
      <c r="I7" s="164">
        <f t="shared" si="4"/>
        <v>13142.857142857143</v>
      </c>
    </row>
    <row r="8" spans="1:9" ht="14.25" customHeight="1">
      <c r="A8" s="130" t="s">
        <v>108</v>
      </c>
      <c r="B8" s="105">
        <f>VLOOKUP(A8,Master!B:C,2,0)</f>
        <v>18400</v>
      </c>
      <c r="C8" s="105">
        <v>1</v>
      </c>
      <c r="D8" s="106">
        <f t="shared" ref="D8" si="8">C8*10%</f>
        <v>0.1</v>
      </c>
      <c r="E8" s="106">
        <f t="shared" ref="E8" si="9">C8+D8</f>
        <v>1.1000000000000001</v>
      </c>
      <c r="F8" s="105">
        <f t="shared" ref="F8" si="10">C8*B8</f>
        <v>18400</v>
      </c>
      <c r="G8" s="105">
        <v>1</v>
      </c>
      <c r="H8" s="105">
        <f t="shared" ref="H8" si="11">F8+G8</f>
        <v>18401</v>
      </c>
      <c r="I8" s="164">
        <f t="shared" si="4"/>
        <v>26285.714285714286</v>
      </c>
    </row>
    <row r="9" spans="1:9" ht="14.25" customHeight="1">
      <c r="A9" s="162" t="s">
        <v>49</v>
      </c>
      <c r="B9" s="163"/>
      <c r="C9" s="107">
        <f ca="1">SUM(C1:C8)</f>
        <v>10</v>
      </c>
      <c r="D9" s="107">
        <v>0</v>
      </c>
      <c r="E9" s="107">
        <v>10</v>
      </c>
      <c r="F9" s="107">
        <f ca="1">SUM(F1:F8)</f>
        <v>479200</v>
      </c>
      <c r="G9" s="107">
        <f>SUM(G1:G7)</f>
        <v>0</v>
      </c>
      <c r="H9" s="107">
        <f ca="1">SUM(H2:H8)</f>
        <v>479201</v>
      </c>
    </row>
    <row r="10" spans="1:9" ht="14.25" customHeight="1"/>
    <row r="11" spans="1:9" ht="14.25" customHeight="1">
      <c r="G11" s="11"/>
      <c r="H11" s="108"/>
    </row>
    <row r="12" spans="1:9" ht="14.25" customHeight="1">
      <c r="G12" s="11"/>
      <c r="H12" s="11"/>
      <c r="I12" s="11"/>
    </row>
    <row r="13" spans="1:9" ht="14.25" customHeight="1">
      <c r="G13" s="11"/>
      <c r="H13" s="11"/>
    </row>
    <row r="14" spans="1:9" ht="14.25" customHeight="1">
      <c r="G14" s="101"/>
      <c r="H14" s="101"/>
    </row>
    <row r="15" spans="1:9" ht="14.25" customHeight="1">
      <c r="G15" s="101"/>
      <c r="H15" s="109"/>
    </row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mergeCells count="1">
    <mergeCell ref="A9:B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001"/>
  <sheetViews>
    <sheetView topLeftCell="A2" workbookViewId="0">
      <selection activeCell="C4" sqref="C4"/>
    </sheetView>
  </sheetViews>
  <sheetFormatPr defaultColWidth="14.453125" defaultRowHeight="15" customHeight="1"/>
  <cols>
    <col min="1" max="1" width="8.7265625" customWidth="1"/>
    <col min="2" max="2" width="24.26953125" customWidth="1"/>
    <col min="3" max="3" width="8.7265625" customWidth="1"/>
    <col min="4" max="4" width="12.26953125" customWidth="1"/>
    <col min="5" max="26" width="8.7265625" customWidth="1"/>
  </cols>
  <sheetData>
    <row r="1" spans="2:4" ht="14.25" customHeight="1">
      <c r="B1" s="78" t="s">
        <v>88</v>
      </c>
      <c r="C1" s="78" t="s">
        <v>89</v>
      </c>
    </row>
    <row r="2" spans="2:4" ht="14.25" customHeight="1">
      <c r="B2" s="111" t="s">
        <v>101</v>
      </c>
      <c r="C2" s="72">
        <v>27000</v>
      </c>
      <c r="D2" s="11">
        <f t="shared" ref="D2:D19" si="0">C2/(1-0.25)</f>
        <v>36000</v>
      </c>
    </row>
    <row r="3" spans="2:4" ht="14.25" customHeight="1">
      <c r="B3" s="111" t="s">
        <v>107</v>
      </c>
      <c r="C3" s="72">
        <v>65000</v>
      </c>
      <c r="D3" s="11">
        <f t="shared" si="0"/>
        <v>86666.666666666672</v>
      </c>
    </row>
    <row r="4" spans="2:4" ht="14.25" customHeight="1">
      <c r="B4" s="111" t="s">
        <v>102</v>
      </c>
      <c r="C4" s="72">
        <v>66000</v>
      </c>
      <c r="D4" s="11">
        <f t="shared" si="0"/>
        <v>88000</v>
      </c>
    </row>
    <row r="5" spans="2:4" ht="14.25" customHeight="1">
      <c r="B5" s="111" t="s">
        <v>103</v>
      </c>
      <c r="C5" s="72">
        <v>30</v>
      </c>
      <c r="D5" s="11">
        <f t="shared" si="0"/>
        <v>40</v>
      </c>
    </row>
    <row r="6" spans="2:4" ht="14.25" customHeight="1">
      <c r="B6" s="111" t="s">
        <v>109</v>
      </c>
      <c r="C6" s="72">
        <v>105200</v>
      </c>
      <c r="D6" s="11">
        <f t="shared" si="0"/>
        <v>140266.66666666666</v>
      </c>
    </row>
    <row r="7" spans="2:4" ht="14.25" customHeight="1">
      <c r="B7" s="111" t="s">
        <v>110</v>
      </c>
      <c r="C7" s="72">
        <v>60000</v>
      </c>
      <c r="D7" s="11">
        <f t="shared" si="0"/>
        <v>80000</v>
      </c>
    </row>
    <row r="8" spans="2:4" ht="14.25" customHeight="1">
      <c r="B8" s="111" t="s">
        <v>111</v>
      </c>
      <c r="C8" s="72">
        <v>180000</v>
      </c>
      <c r="D8" s="11">
        <f t="shared" si="0"/>
        <v>240000</v>
      </c>
    </row>
    <row r="9" spans="2:4" ht="14.25" customHeight="1">
      <c r="B9" s="111" t="s">
        <v>108</v>
      </c>
      <c r="C9" s="72">
        <v>18400</v>
      </c>
      <c r="D9" s="11">
        <f t="shared" si="0"/>
        <v>24533.333333333332</v>
      </c>
    </row>
    <row r="10" spans="2:4" ht="14.25" customHeight="1">
      <c r="B10" s="111" t="s">
        <v>118</v>
      </c>
      <c r="C10" s="72">
        <v>17500</v>
      </c>
      <c r="D10" s="11">
        <f t="shared" si="0"/>
        <v>23333.333333333332</v>
      </c>
    </row>
    <row r="11" spans="2:4" ht="14.25" customHeight="1">
      <c r="B11" s="111" t="s">
        <v>121</v>
      </c>
      <c r="C11" s="72">
        <v>12000</v>
      </c>
      <c r="D11" s="11">
        <f t="shared" si="0"/>
        <v>16000</v>
      </c>
    </row>
    <row r="12" spans="2:4" ht="14.25" customHeight="1">
      <c r="B12" s="111" t="s">
        <v>112</v>
      </c>
      <c r="C12" s="72">
        <v>47000</v>
      </c>
      <c r="D12" s="11">
        <f t="shared" si="0"/>
        <v>62666.666666666664</v>
      </c>
    </row>
    <row r="13" spans="2:4" ht="14.25" customHeight="1">
      <c r="B13" s="111" t="s">
        <v>117</v>
      </c>
      <c r="C13" s="72">
        <v>6500</v>
      </c>
      <c r="D13" s="11">
        <f t="shared" si="0"/>
        <v>8666.6666666666661</v>
      </c>
    </row>
    <row r="14" spans="2:4" ht="14.25" customHeight="1">
      <c r="B14" s="111" t="s">
        <v>114</v>
      </c>
      <c r="C14" s="72">
        <v>12000</v>
      </c>
      <c r="D14" s="11">
        <f t="shared" si="0"/>
        <v>16000</v>
      </c>
    </row>
    <row r="15" spans="2:4" ht="14.25" customHeight="1">
      <c r="B15" s="111" t="s">
        <v>119</v>
      </c>
      <c r="C15" s="72">
        <v>8000</v>
      </c>
      <c r="D15" s="11">
        <f t="shared" si="0"/>
        <v>10666.666666666666</v>
      </c>
    </row>
    <row r="16" spans="2:4" ht="14.25" customHeight="1">
      <c r="B16" s="111" t="s">
        <v>122</v>
      </c>
      <c r="C16" s="72">
        <v>22000</v>
      </c>
      <c r="D16" s="11">
        <f t="shared" si="0"/>
        <v>29333.333333333332</v>
      </c>
    </row>
    <row r="17" spans="2:4" ht="14.25" customHeight="1">
      <c r="B17" s="111" t="s">
        <v>105</v>
      </c>
      <c r="C17" s="72">
        <v>9200</v>
      </c>
      <c r="D17" s="11">
        <f t="shared" si="0"/>
        <v>12266.666666666666</v>
      </c>
    </row>
    <row r="18" spans="2:4" ht="14.25" customHeight="1">
      <c r="B18" s="111" t="s">
        <v>104</v>
      </c>
      <c r="C18" s="72">
        <v>3200</v>
      </c>
      <c r="D18" s="11">
        <f t="shared" si="0"/>
        <v>4266.666666666667</v>
      </c>
    </row>
    <row r="19" spans="2:4" ht="14.25" customHeight="1">
      <c r="B19" s="111" t="s">
        <v>123</v>
      </c>
      <c r="C19" s="72">
        <v>70000</v>
      </c>
      <c r="D19" s="11">
        <f t="shared" si="0"/>
        <v>93333.333333333328</v>
      </c>
    </row>
    <row r="20" spans="2:4" ht="14.25" customHeight="1">
      <c r="B20" s="111" t="s">
        <v>115</v>
      </c>
      <c r="C20" s="72">
        <v>36000</v>
      </c>
    </row>
    <row r="21" spans="2:4" ht="14.25" customHeight="1">
      <c r="B21" s="111" t="s">
        <v>106</v>
      </c>
      <c r="C21" s="72">
        <v>35000</v>
      </c>
    </row>
    <row r="22" spans="2:4" ht="14.25" customHeight="1">
      <c r="B22" s="111" t="s">
        <v>124</v>
      </c>
      <c r="C22" s="72">
        <v>150000</v>
      </c>
    </row>
    <row r="23" spans="2:4" ht="14.25" customHeight="1">
      <c r="B23" s="111" t="s">
        <v>125</v>
      </c>
      <c r="C23" s="72">
        <v>450000</v>
      </c>
    </row>
    <row r="24" spans="2:4" ht="14.25" customHeight="1">
      <c r="B24" s="111" t="s">
        <v>120</v>
      </c>
      <c r="C24" s="72">
        <v>4800</v>
      </c>
    </row>
    <row r="25" spans="2:4" ht="14.25" customHeight="1">
      <c r="B25" s="119" t="s">
        <v>126</v>
      </c>
      <c r="C25" s="119">
        <v>30000</v>
      </c>
    </row>
    <row r="26" spans="2:4" ht="14.25" customHeight="1"/>
    <row r="27" spans="2:4" ht="14.25" customHeight="1"/>
    <row r="28" spans="2:4" ht="14.25" customHeight="1"/>
    <row r="29" spans="2:4" ht="14.25" customHeight="1"/>
    <row r="30" spans="2:4" ht="14.25" customHeight="1"/>
    <row r="31" spans="2:4" ht="14.25" customHeight="1"/>
    <row r="32" spans="2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Commercials Full</vt:lpstr>
      <vt:lpstr>Summary</vt:lpstr>
      <vt:lpstr>BOQ</vt:lpstr>
      <vt:lpstr>Sheet2</vt:lpstr>
      <vt:lpstr>Manpower Cost New</vt:lpstr>
      <vt:lpstr>Hardware List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Manoj Hanagandi Axestrack</cp:lastModifiedBy>
  <dcterms:created xsi:type="dcterms:W3CDTF">2015-06-05T18:17:20Z</dcterms:created>
  <dcterms:modified xsi:type="dcterms:W3CDTF">2025-10-06T17:38:49Z</dcterms:modified>
</cp:coreProperties>
</file>