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olution 2024\Ashok Leyland\"/>
    </mc:Choice>
  </mc:AlternateContent>
  <xr:revisionPtr revIDLastSave="0" documentId="13_ncr:1_{90ADE306-6C07-43D4-BAB9-8F12E16E6AB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otation" sheetId="8" r:id="rId1"/>
    <sheet name="Estimation" sheetId="7" r:id="rId2"/>
    <sheet name="Quote Nomeclature" sheetId="6" r:id="rId3"/>
    <sheet name="Sheet1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lWPf3RmekSs9KRnla0hwqJyrbR+ZteHrAIKI8BFvEvQ="/>
    </ext>
  </extLst>
</workbook>
</file>

<file path=xl/calcChain.xml><?xml version="1.0" encoding="utf-8"?>
<calcChain xmlns="http://schemas.openxmlformats.org/spreadsheetml/2006/main">
  <c r="H4" i="8" l="1"/>
  <c r="H16" i="7" l="1"/>
  <c r="D16" i="7"/>
  <c r="H6" i="7" s="1"/>
  <c r="H15" i="7"/>
  <c r="D14" i="7"/>
  <c r="D15" i="7" l="1"/>
  <c r="H7" i="7"/>
  <c r="H5" i="7" l="1"/>
  <c r="H4" i="7"/>
  <c r="H17" i="7" s="1"/>
  <c r="H14" i="7" l="1"/>
  <c r="I4" i="7" l="1"/>
  <c r="I18" i="8"/>
  <c r="I5" i="7"/>
  <c r="I14" i="7"/>
  <c r="I12" i="7"/>
  <c r="I10" i="7"/>
  <c r="L5" i="7"/>
  <c r="I13" i="7"/>
  <c r="I11" i="7"/>
  <c r="I8" i="7"/>
  <c r="I6" i="7"/>
  <c r="I9" i="7"/>
  <c r="I7" i="7"/>
  <c r="L6" i="7" l="1"/>
  <c r="L7" i="7"/>
</calcChain>
</file>

<file path=xl/sharedStrings.xml><?xml version="1.0" encoding="utf-8"?>
<sst xmlns="http://schemas.openxmlformats.org/spreadsheetml/2006/main" count="91" uniqueCount="86">
  <si>
    <t>Inputs</t>
  </si>
  <si>
    <t>Commercial Values</t>
  </si>
  <si>
    <t>Capital</t>
  </si>
  <si>
    <t>Duration (Months)</t>
  </si>
  <si>
    <t>Manpower</t>
  </si>
  <si>
    <t>Monthly CV</t>
  </si>
  <si>
    <t>SIM</t>
  </si>
  <si>
    <t>Annual CV</t>
  </si>
  <si>
    <t>Buffer Inventory</t>
  </si>
  <si>
    <t>Server+License</t>
  </si>
  <si>
    <t>TCV</t>
  </si>
  <si>
    <t>Device Quantity</t>
  </si>
  <si>
    <t>Field Technicians</t>
  </si>
  <si>
    <t>Penalties</t>
  </si>
  <si>
    <t>RL Courier Exp</t>
  </si>
  <si>
    <t>RL Executives</t>
  </si>
  <si>
    <t>Customer Success</t>
  </si>
  <si>
    <t>Net Margin</t>
  </si>
  <si>
    <t>Project Manager</t>
  </si>
  <si>
    <t>Net Quote</t>
  </si>
  <si>
    <t>Laptops</t>
  </si>
  <si>
    <t>Cash Gen (Ops)</t>
  </si>
  <si>
    <t>Monthly Manpower</t>
  </si>
  <si>
    <t>Months Capital Offset</t>
  </si>
  <si>
    <t>Dep</t>
  </si>
  <si>
    <t>Capex</t>
  </si>
  <si>
    <t>Opex</t>
  </si>
  <si>
    <t>AT_02 Channel</t>
  </si>
  <si>
    <t>AT_04 Channel</t>
  </si>
  <si>
    <t xml:space="preserve">Monthly Charges </t>
  </si>
  <si>
    <t>Streamax 2 Channel</t>
  </si>
  <si>
    <t>Streamax 4 Channel</t>
  </si>
  <si>
    <t>Hardware Model</t>
  </si>
  <si>
    <t>INR Rs.3500 will be applicable for additional camera &amp; Rs.500 for 10 mtr cable</t>
  </si>
  <si>
    <t>Quote no Format</t>
  </si>
  <si>
    <t>ABC/XY/YYMM##</t>
  </si>
  <si>
    <t xml:space="preserve">ABC </t>
  </si>
  <si>
    <t>Client name short Form like Hindalco Industries Limited will be HIL</t>
  </si>
  <si>
    <t>XY</t>
  </si>
  <si>
    <t xml:space="preserve">Axestrack Sales SPOC Intials </t>
  </si>
  <si>
    <t>YY</t>
  </si>
  <si>
    <t>Year</t>
  </si>
  <si>
    <t>MM</t>
  </si>
  <si>
    <t>Month</t>
  </si>
  <si>
    <t>##</t>
  </si>
  <si>
    <t>Quote send by Sales SPOC in that particular month, quote nos. should be start from 11</t>
  </si>
  <si>
    <t>Per Trip Costings</t>
  </si>
  <si>
    <t>Trips Per Month</t>
  </si>
  <si>
    <t>Device Rotation Days</t>
  </si>
  <si>
    <t>Interest</t>
  </si>
  <si>
    <t>Trips/Device/Month</t>
  </si>
  <si>
    <t>Consumables</t>
  </si>
  <si>
    <t>Control Tower Executives</t>
  </si>
  <si>
    <t>Man Cost at Loading point/trip</t>
  </si>
  <si>
    <t>Total Capital (Assets)</t>
  </si>
  <si>
    <t>Int</t>
  </si>
  <si>
    <t>Standard Model (API)</t>
  </si>
  <si>
    <t>Quotation</t>
  </si>
  <si>
    <r>
      <rPr>
        <b/>
        <sz val="10"/>
        <color theme="1"/>
        <rFont val="Arial"/>
        <family val="2"/>
      </rPr>
      <t xml:space="preserve">Address </t>
    </r>
    <r>
      <rPr>
        <sz val="10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</si>
  <si>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GSTIN</t>
  </si>
  <si>
    <t>08AACCH0299P1Z1</t>
  </si>
  <si>
    <t>QUOTE #</t>
  </si>
  <si>
    <t>DATE</t>
  </si>
  <si>
    <t>MSME No</t>
  </si>
  <si>
    <t>UDYAM-RJ-17-0051921</t>
  </si>
  <si>
    <t>Contact Person</t>
  </si>
  <si>
    <t>Phone</t>
  </si>
  <si>
    <t>Quote Validity : 15 days from submitted date</t>
  </si>
  <si>
    <t>Email Id</t>
  </si>
  <si>
    <t>CUSTOMER INFO</t>
  </si>
  <si>
    <t>Company Name</t>
  </si>
  <si>
    <t>Address</t>
  </si>
  <si>
    <t>DESCRIPTION OF WORK</t>
  </si>
  <si>
    <t>S.No.</t>
  </si>
  <si>
    <t>Item</t>
  </si>
  <si>
    <t>Type</t>
  </si>
  <si>
    <t>Amount</t>
  </si>
  <si>
    <t>Terms &amp; Conditions</t>
  </si>
  <si>
    <t>Thanks for business with Axestrack Software Solution Pvt. Ltd.</t>
  </si>
  <si>
    <r>
      <t xml:space="preserve">API Based Tracking and Functionalities Applied
</t>
    </r>
    <r>
      <rPr>
        <sz val="10"/>
        <color theme="1"/>
        <rFont val="Arial"/>
        <family val="2"/>
      </rPr>
      <t xml:space="preserve">Visibility into multiple unloading points &amp; probable pilferage locations using AI True Lead distance 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Charges are Per Vehicle per Trip includes - Device mapping, Platform Capabilities, Reports, Real-time alerts</t>
    </r>
  </si>
  <si>
    <t>Per trip/ per month</t>
  </si>
  <si>
    <t>One Time</t>
  </si>
  <si>
    <r>
      <t xml:space="preserve">Seamless Integration with ERP
</t>
    </r>
    <r>
      <rPr>
        <sz val="10"/>
        <color theme="1"/>
        <rFont val="Arial"/>
        <family val="2"/>
      </rPr>
      <t>Charges include- Push API integration from
Client to Axestrack's environment to get the invoice details, Push API integration from Axestrack's to Client environment to share the completed trip details</t>
    </r>
  </si>
  <si>
    <r>
      <t xml:space="preserve">•	All the prices mentioned in proposal are in rupees and exclusive of GST. Taxes as applicable
•	Device ownership remains with Axestrack, with standard hardware warranty as provided by the OEM.
•	</t>
    </r>
    <r>
      <rPr>
        <sz val="10"/>
        <color rgb="FFFF0000"/>
        <rFont val="Arial"/>
        <family val="2"/>
      </rPr>
      <t xml:space="preserve">The above commercial terms are considered for a minimum 8000 trips per month. The commercial terms will be revised if there is a change in the threshold quantity.
</t>
    </r>
    <r>
      <rPr>
        <sz val="10"/>
        <color theme="1"/>
        <rFont val="Arial"/>
        <family val="2"/>
      </rPr>
      <t xml:space="preserve">•	Any new requirements beyond the scope of this proposal will be considered as change request for which separate effort &amp; cost to be estimated.
</t>
    </r>
    <r>
      <rPr>
        <b/>
        <sz val="10"/>
        <color theme="1"/>
        <rFont val="Arial"/>
        <family val="2"/>
      </rPr>
      <t>Payment Terms:</t>
    </r>
    <r>
      <rPr>
        <sz val="10"/>
        <color theme="1"/>
        <rFont val="Arial"/>
        <family val="2"/>
      </rPr>
      <t xml:space="preserve">
•	</t>
    </r>
    <r>
      <rPr>
        <sz val="10"/>
        <color rgb="FFFF0000"/>
        <rFont val="Arial"/>
        <family val="2"/>
      </rPr>
      <t xml:space="preserve">The billing will be in advance for minimum # trips/per month on pro-rata basis. </t>
    </r>
    <r>
      <rPr>
        <sz val="10"/>
        <color theme="1"/>
        <rFont val="Arial"/>
        <family val="2"/>
      </rPr>
      <t xml:space="preserve">.
•	100% payments to be made within 15 days from the date of receipt of original or digitally signed invoice. In case of further delay, overdue charges of 1.5% per month will be charged
•	</t>
    </r>
    <r>
      <rPr>
        <sz val="10"/>
        <color rgb="FFFF0000"/>
        <rFont val="Arial"/>
        <family val="2"/>
      </rPr>
      <t>If payments are not made within 15 days from the date of receipt, platform capabilities for the specific devices will be suspended. Alternatively, a charge of # per trip, plus applicable GST, will be levied for each device.</t>
    </r>
    <r>
      <rPr>
        <sz val="10"/>
        <color theme="1"/>
        <rFont val="Arial"/>
        <family val="2"/>
      </rPr>
      <t xml:space="preserve">
•	Billing validation/certification to be made within 7 days from the date of provisional bill submission.
</t>
    </r>
  </si>
  <si>
    <t>Kindly confirm with the leadership</t>
  </si>
  <si>
    <t>Kindly confirm with the leadership on margin (Net Margin in Estimation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</si>
</sst>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[$-14009]dd\ mmmm\ yyyy;@"/>
    <numFmt numFmtId="167" formatCode="_(* #,##0_);_(* \(#,##0\);_(* &quot;-&quot;??_);_(@_)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4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1"/>
    <xf numFmtId="0" fontId="7" fillId="0" borderId="1" applyNumberFormat="0" applyFill="0" applyBorder="0" applyAlignment="0" applyProtection="0"/>
    <xf numFmtId="0" fontId="4" fillId="0" borderId="1"/>
    <xf numFmtId="0" fontId="4" fillId="0" borderId="1"/>
    <xf numFmtId="9" fontId="4" fillId="0" borderId="1" applyFont="0" applyFill="0" applyBorder="0" applyAlignment="0" applyProtection="0"/>
    <xf numFmtId="0" fontId="3" fillId="0" borderId="1"/>
    <xf numFmtId="164" fontId="3" fillId="0" borderId="1" applyFont="0" applyFill="0" applyBorder="0" applyAlignment="0" applyProtection="0"/>
  </cellStyleXfs>
  <cellXfs count="79">
    <xf numFmtId="0" fontId="0" fillId="0" borderId="0" xfId="0"/>
    <xf numFmtId="0" fontId="6" fillId="0" borderId="0" xfId="0" applyFont="1"/>
    <xf numFmtId="0" fontId="5" fillId="0" borderId="1" xfId="1"/>
    <xf numFmtId="0" fontId="4" fillId="0" borderId="1" xfId="3"/>
    <xf numFmtId="0" fontId="9" fillId="0" borderId="6" xfId="3" applyFont="1" applyBorder="1"/>
    <xf numFmtId="0" fontId="9" fillId="0" borderId="1" xfId="3" applyFont="1"/>
    <xf numFmtId="0" fontId="4" fillId="0" borderId="7" xfId="3" applyBorder="1"/>
    <xf numFmtId="0" fontId="4" fillId="3" borderId="8" xfId="3" applyFill="1" applyBorder="1"/>
    <xf numFmtId="0" fontId="4" fillId="3" borderId="2" xfId="3" applyFill="1" applyBorder="1"/>
    <xf numFmtId="0" fontId="4" fillId="2" borderId="2" xfId="3" applyFill="1" applyBorder="1"/>
    <xf numFmtId="165" fontId="4" fillId="2" borderId="2" xfId="3" applyNumberFormat="1" applyFill="1" applyBorder="1"/>
    <xf numFmtId="9" fontId="10" fillId="0" borderId="1" xfId="5" applyFont="1" applyBorder="1"/>
    <xf numFmtId="0" fontId="4" fillId="3" borderId="9" xfId="3" applyFill="1" applyBorder="1"/>
    <xf numFmtId="0" fontId="4" fillId="2" borderId="9" xfId="3" applyFill="1" applyBorder="1"/>
    <xf numFmtId="0" fontId="4" fillId="2" borderId="8" xfId="3" applyFill="1" applyBorder="1"/>
    <xf numFmtId="9" fontId="4" fillId="3" borderId="2" xfId="3" applyNumberFormat="1" applyFill="1" applyBorder="1"/>
    <xf numFmtId="1" fontId="4" fillId="3" borderId="2" xfId="3" applyNumberFormat="1" applyFill="1" applyBorder="1"/>
    <xf numFmtId="0" fontId="4" fillId="5" borderId="1" xfId="3" applyFill="1" applyAlignment="1">
      <alignment horizontal="left" wrapText="1"/>
    </xf>
    <xf numFmtId="0" fontId="11" fillId="3" borderId="2" xfId="3" applyFont="1" applyFill="1" applyBorder="1"/>
    <xf numFmtId="0" fontId="4" fillId="6" borderId="8" xfId="3" applyFill="1" applyBorder="1"/>
    <xf numFmtId="0" fontId="4" fillId="6" borderId="2" xfId="3" applyFill="1" applyBorder="1"/>
    <xf numFmtId="2" fontId="4" fillId="2" borderId="2" xfId="3" applyNumberFormat="1" applyFill="1" applyBorder="1"/>
    <xf numFmtId="0" fontId="4" fillId="2" borderId="10" xfId="3" applyFill="1" applyBorder="1"/>
    <xf numFmtId="0" fontId="4" fillId="0" borderId="6" xfId="3" applyBorder="1"/>
    <xf numFmtId="0" fontId="4" fillId="0" borderId="11" xfId="3" applyBorder="1"/>
    <xf numFmtId="0" fontId="4" fillId="0" borderId="12" xfId="3" applyBorder="1"/>
    <xf numFmtId="0" fontId="4" fillId="0" borderId="13" xfId="3" applyBorder="1"/>
    <xf numFmtId="0" fontId="12" fillId="0" borderId="2" xfId="6" applyFont="1" applyBorder="1" applyAlignment="1">
      <alignment horizontal="center" vertical="center"/>
    </xf>
    <xf numFmtId="0" fontId="12" fillId="0" borderId="1" xfId="6" applyFont="1" applyAlignment="1">
      <alignment vertical="center"/>
    </xf>
    <xf numFmtId="0" fontId="18" fillId="11" borderId="2" xfId="6" applyFont="1" applyFill="1" applyBorder="1" applyAlignment="1">
      <alignment horizontal="center" vertical="center" wrapText="1"/>
    </xf>
    <xf numFmtId="0" fontId="12" fillId="0" borderId="1" xfId="6" applyFont="1" applyAlignment="1">
      <alignment vertical="center" wrapText="1"/>
    </xf>
    <xf numFmtId="167" fontId="16" fillId="0" borderId="2" xfId="7" applyNumberFormat="1" applyFont="1" applyFill="1" applyBorder="1" applyAlignment="1">
      <alignment vertical="center" wrapText="1" readingOrder="1"/>
    </xf>
    <xf numFmtId="43" fontId="16" fillId="0" borderId="2" xfId="7" applyNumberFormat="1" applyFont="1" applyFill="1" applyBorder="1" applyAlignment="1">
      <alignment vertical="center" wrapText="1" readingOrder="1"/>
    </xf>
    <xf numFmtId="0" fontId="19" fillId="3" borderId="10" xfId="3" applyFont="1" applyFill="1" applyBorder="1"/>
    <xf numFmtId="0" fontId="2" fillId="0" borderId="1" xfId="3" applyFont="1"/>
    <xf numFmtId="0" fontId="1" fillId="0" borderId="1" xfId="1" applyFont="1"/>
    <xf numFmtId="0" fontId="1" fillId="3" borderId="10" xfId="3" applyFont="1" applyFill="1" applyBorder="1"/>
    <xf numFmtId="0" fontId="12" fillId="0" borderId="2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2" fillId="0" borderId="2" xfId="6" applyFont="1" applyBorder="1" applyAlignment="1">
      <alignment horizontal="left" vertical="center" wrapText="1"/>
    </xf>
    <xf numFmtId="0" fontId="14" fillId="7" borderId="14" xfId="6" applyFont="1" applyFill="1" applyBorder="1" applyAlignment="1">
      <alignment horizontal="center" vertical="center"/>
    </xf>
    <xf numFmtId="0" fontId="14" fillId="7" borderId="15" xfId="6" applyFont="1" applyFill="1" applyBorder="1" applyAlignment="1">
      <alignment horizontal="center" vertical="center"/>
    </xf>
    <xf numFmtId="0" fontId="12" fillId="0" borderId="2" xfId="6" applyFont="1" applyBorder="1" applyAlignment="1">
      <alignment horizontal="left" vertical="center"/>
    </xf>
    <xf numFmtId="0" fontId="14" fillId="8" borderId="14" xfId="6" applyFont="1" applyFill="1" applyBorder="1" applyAlignment="1">
      <alignment horizontal="center" vertical="center"/>
    </xf>
    <xf numFmtId="0" fontId="14" fillId="8" borderId="15" xfId="6" applyFont="1" applyFill="1" applyBorder="1" applyAlignment="1">
      <alignment horizontal="center" vertical="center"/>
    </xf>
    <xf numFmtId="0" fontId="14" fillId="7" borderId="14" xfId="6" applyFont="1" applyFill="1" applyBorder="1" applyAlignment="1">
      <alignment horizontal="left" vertical="center"/>
    </xf>
    <xf numFmtId="0" fontId="14" fillId="7" borderId="15" xfId="6" applyFont="1" applyFill="1" applyBorder="1" applyAlignment="1">
      <alignment horizontal="left" vertical="center"/>
    </xf>
    <xf numFmtId="0" fontId="17" fillId="0" borderId="16" xfId="6" applyFont="1" applyBorder="1" applyAlignment="1">
      <alignment horizontal="center" vertical="center"/>
    </xf>
    <xf numFmtId="0" fontId="12" fillId="0" borderId="17" xfId="6" applyFont="1" applyBorder="1" applyAlignment="1">
      <alignment horizontal="center" vertical="center"/>
    </xf>
    <xf numFmtId="0" fontId="12" fillId="0" borderId="18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166" fontId="12" fillId="0" borderId="16" xfId="6" applyNumberFormat="1" applyFont="1" applyBorder="1" applyAlignment="1">
      <alignment horizontal="center" vertical="center"/>
    </xf>
    <xf numFmtId="166" fontId="12" fillId="0" borderId="17" xfId="6" applyNumberFormat="1" applyFont="1" applyBorder="1" applyAlignment="1">
      <alignment horizontal="center" vertical="center"/>
    </xf>
    <xf numFmtId="166" fontId="12" fillId="0" borderId="18" xfId="6" applyNumberFormat="1" applyFont="1" applyBorder="1" applyAlignment="1">
      <alignment horizontal="center" vertical="center"/>
    </xf>
    <xf numFmtId="166" fontId="12" fillId="0" borderId="19" xfId="6" applyNumberFormat="1" applyFont="1" applyBorder="1" applyAlignment="1">
      <alignment horizontal="center" vertical="center"/>
    </xf>
    <xf numFmtId="0" fontId="14" fillId="9" borderId="2" xfId="6" applyFont="1" applyFill="1" applyBorder="1" applyAlignment="1">
      <alignment horizontal="right" vertical="center"/>
    </xf>
    <xf numFmtId="0" fontId="12" fillId="0" borderId="2" xfId="6" quotePrefix="1" applyFont="1" applyBorder="1" applyAlignment="1">
      <alignment horizontal="left" vertical="center"/>
    </xf>
    <xf numFmtId="0" fontId="15" fillId="0" borderId="2" xfId="6" applyFont="1" applyBorder="1" applyAlignment="1">
      <alignment horizontal="center" vertical="center" wrapText="1"/>
    </xf>
    <xf numFmtId="0" fontId="7" fillId="0" borderId="2" xfId="2" applyBorder="1" applyAlignment="1">
      <alignment horizontal="left" vertical="center"/>
    </xf>
    <xf numFmtId="0" fontId="14" fillId="9" borderId="2" xfId="6" applyFont="1" applyFill="1" applyBorder="1" applyAlignment="1">
      <alignment horizontal="left" vertical="center"/>
    </xf>
    <xf numFmtId="0" fontId="14" fillId="12" borderId="2" xfId="6" applyFont="1" applyFill="1" applyBorder="1" applyAlignment="1">
      <alignment horizontal="center" vertical="center"/>
    </xf>
    <xf numFmtId="0" fontId="14" fillId="10" borderId="2" xfId="6" applyFont="1" applyFill="1" applyBorder="1" applyAlignment="1">
      <alignment horizontal="center" vertical="center"/>
    </xf>
    <xf numFmtId="0" fontId="16" fillId="0" borderId="14" xfId="6" applyFont="1" applyBorder="1" applyAlignment="1">
      <alignment horizontal="left" vertical="center" wrapText="1"/>
    </xf>
    <xf numFmtId="0" fontId="17" fillId="0" borderId="20" xfId="6" applyFont="1" applyBorder="1" applyAlignment="1">
      <alignment horizontal="left" vertical="center"/>
    </xf>
    <xf numFmtId="0" fontId="17" fillId="0" borderId="15" xfId="6" applyFont="1" applyBorder="1" applyAlignment="1">
      <alignment horizontal="left" vertical="center"/>
    </xf>
    <xf numFmtId="0" fontId="18" fillId="11" borderId="14" xfId="6" applyFont="1" applyFill="1" applyBorder="1" applyAlignment="1">
      <alignment horizontal="center" vertical="center" wrapText="1"/>
    </xf>
    <xf numFmtId="0" fontId="18" fillId="11" borderId="20" xfId="6" applyFont="1" applyFill="1" applyBorder="1" applyAlignment="1">
      <alignment horizontal="center" vertical="center" wrapText="1"/>
    </xf>
    <xf numFmtId="0" fontId="18" fillId="11" borderId="15" xfId="6" applyFont="1" applyFill="1" applyBorder="1" applyAlignment="1">
      <alignment horizontal="center" vertical="center" wrapText="1"/>
    </xf>
    <xf numFmtId="0" fontId="14" fillId="0" borderId="14" xfId="6" applyFont="1" applyBorder="1" applyAlignment="1">
      <alignment horizontal="left" vertical="center" wrapText="1"/>
    </xf>
    <xf numFmtId="0" fontId="14" fillId="0" borderId="20" xfId="6" applyFont="1" applyBorder="1" applyAlignment="1">
      <alignment horizontal="left" vertical="center" wrapText="1"/>
    </xf>
    <xf numFmtId="0" fontId="14" fillId="0" borderId="15" xfId="6" applyFont="1" applyBorder="1" applyAlignment="1">
      <alignment horizontal="left" vertical="center" wrapText="1"/>
    </xf>
    <xf numFmtId="0" fontId="12" fillId="0" borderId="14" xfId="6" applyFont="1" applyBorder="1" applyAlignment="1">
      <alignment horizontal="center" vertical="center" wrapText="1"/>
    </xf>
    <xf numFmtId="0" fontId="12" fillId="0" borderId="15" xfId="6" applyFont="1" applyBorder="1" applyAlignment="1">
      <alignment horizontal="center" vertical="center" wrapText="1"/>
    </xf>
    <xf numFmtId="0" fontId="18" fillId="0" borderId="2" xfId="6" applyFont="1" applyBorder="1" applyAlignment="1">
      <alignment horizontal="center" vertical="center"/>
    </xf>
    <xf numFmtId="0" fontId="12" fillId="0" borderId="2" xfId="6" quotePrefix="1" applyFont="1" applyBorder="1" applyAlignment="1">
      <alignment horizontal="left" vertical="center" wrapText="1"/>
    </xf>
    <xf numFmtId="0" fontId="8" fillId="4" borderId="3" xfId="4" applyFont="1" applyFill="1" applyBorder="1" applyAlignment="1">
      <alignment horizontal="center"/>
    </xf>
    <xf numFmtId="0" fontId="8" fillId="4" borderId="4" xfId="4" applyFont="1" applyFill="1" applyBorder="1" applyAlignment="1">
      <alignment horizontal="center"/>
    </xf>
    <xf numFmtId="0" fontId="8" fillId="4" borderId="5" xfId="4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8">
    <cellStyle name="Comma 2" xfId="7" xr:uid="{CFDB75A6-42C0-4DE5-96C2-E26B613A83F0}"/>
    <cellStyle name="Hyperlink 2" xfId="2" xr:uid="{EA743CE8-5CDB-4E37-B164-089E6C03BEB1}"/>
    <cellStyle name="Normal" xfId="0" builtinId="0"/>
    <cellStyle name="Normal 2" xfId="1" xr:uid="{83762E85-80EE-4383-B6D3-C7A9A260C1EF}"/>
    <cellStyle name="Normal 2 2" xfId="4" xr:uid="{670678CA-2BFE-4A35-B185-F6E689709173}"/>
    <cellStyle name="Normal 3" xfId="3" xr:uid="{8FA67522-2D22-49B6-A4E0-31C7A0B9A308}"/>
    <cellStyle name="Normal 4" xfId="6" xr:uid="{B804F132-E430-4621-A817-00B9F624C36C}"/>
    <cellStyle name="Percent 2" xfId="5" xr:uid="{E470C8E6-A8E6-482D-A1E4-BF680F4C92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691045</xdr:colOff>
      <xdr:row>0</xdr:row>
      <xdr:rowOff>30407</xdr:rowOff>
    </xdr:from>
    <xdr:to>
      <xdr:col>5</xdr:col>
      <xdr:colOff>263476</xdr:colOff>
      <xdr:row>0</xdr:row>
      <xdr:rowOff>587348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C749E-3068-4A2B-8DB6-9C85BABA0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305" y="30407"/>
          <a:ext cx="2384211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4DB1-E0EA-4A97-9EDB-62AC722AEB3E}">
  <sheetPr>
    <tabColor theme="8" tint="0.79998168889431442"/>
  </sheetPr>
  <dimension ref="B1:J23"/>
  <sheetViews>
    <sheetView topLeftCell="A13" zoomScale="85" zoomScaleNormal="85" zoomScaleSheetLayoutView="111" zoomScalePageLayoutView="41" workbookViewId="0">
      <selection activeCell="B20" sqref="B20:I20"/>
    </sheetView>
  </sheetViews>
  <sheetFormatPr defaultRowHeight="13.2" x14ac:dyDescent="0.3"/>
  <cols>
    <col min="1" max="1" width="2.21875" style="28" customWidth="1"/>
    <col min="2" max="2" width="5.88671875" style="28" customWidth="1"/>
    <col min="3" max="3" width="12.44140625" style="28" customWidth="1"/>
    <col min="4" max="4" width="7.88671875" style="30" customWidth="1"/>
    <col min="5" max="5" width="20.6640625" style="28" customWidth="1"/>
    <col min="6" max="6" width="9.5546875" style="28" customWidth="1"/>
    <col min="7" max="7" width="12.6640625" style="28" customWidth="1"/>
    <col min="8" max="8" width="9.5546875" style="28" customWidth="1"/>
    <col min="9" max="9" width="26.44140625" style="28" customWidth="1"/>
    <col min="10" max="16384" width="8.88671875" style="28"/>
  </cols>
  <sheetData>
    <row r="1" spans="2:9" ht="49.8" customHeight="1" x14ac:dyDescent="0.3">
      <c r="B1" s="37"/>
      <c r="C1" s="37"/>
      <c r="D1" s="37"/>
      <c r="E1" s="37"/>
      <c r="F1" s="37"/>
      <c r="G1" s="37"/>
      <c r="H1" s="38" t="s">
        <v>57</v>
      </c>
      <c r="I1" s="38"/>
    </row>
    <row r="2" spans="2:9" ht="53.4" customHeight="1" x14ac:dyDescent="0.3">
      <c r="B2" s="39" t="s">
        <v>58</v>
      </c>
      <c r="C2" s="39"/>
      <c r="D2" s="39"/>
      <c r="E2" s="39"/>
      <c r="F2" s="39"/>
      <c r="G2" s="39"/>
      <c r="H2" s="39"/>
      <c r="I2" s="39"/>
    </row>
    <row r="3" spans="2:9" ht="19.8" customHeight="1" x14ac:dyDescent="0.3">
      <c r="B3" s="40" t="s">
        <v>59</v>
      </c>
      <c r="C3" s="41"/>
      <c r="D3" s="42" t="s">
        <v>60</v>
      </c>
      <c r="E3" s="42"/>
      <c r="F3" s="43" t="s">
        <v>61</v>
      </c>
      <c r="G3" s="44"/>
      <c r="H3" s="43" t="s">
        <v>62</v>
      </c>
      <c r="I3" s="44"/>
    </row>
    <row r="4" spans="2:9" ht="19.8" customHeight="1" x14ac:dyDescent="0.3">
      <c r="B4" s="45" t="s">
        <v>63</v>
      </c>
      <c r="C4" s="46"/>
      <c r="D4" s="42" t="s">
        <v>64</v>
      </c>
      <c r="E4" s="42"/>
      <c r="F4" s="47" t="s">
        <v>35</v>
      </c>
      <c r="G4" s="48"/>
      <c r="H4" s="51">
        <f ca="1">TODAY()</f>
        <v>45729</v>
      </c>
      <c r="I4" s="52"/>
    </row>
    <row r="5" spans="2:9" ht="19.8" customHeight="1" x14ac:dyDescent="0.3">
      <c r="B5" s="45" t="s">
        <v>65</v>
      </c>
      <c r="C5" s="46"/>
      <c r="D5" s="42"/>
      <c r="E5" s="42"/>
      <c r="F5" s="49"/>
      <c r="G5" s="50"/>
      <c r="H5" s="53"/>
      <c r="I5" s="54"/>
    </row>
    <row r="6" spans="2:9" ht="19.8" customHeight="1" x14ac:dyDescent="0.3">
      <c r="B6" s="45" t="s">
        <v>66</v>
      </c>
      <c r="C6" s="46"/>
      <c r="D6" s="56"/>
      <c r="E6" s="42"/>
      <c r="F6" s="57" t="s">
        <v>67</v>
      </c>
      <c r="G6" s="57"/>
      <c r="H6" s="57"/>
      <c r="I6" s="57"/>
    </row>
    <row r="7" spans="2:9" ht="19.8" customHeight="1" x14ac:dyDescent="0.3">
      <c r="B7" s="45" t="s">
        <v>68</v>
      </c>
      <c r="C7" s="46"/>
      <c r="D7" s="58"/>
      <c r="E7" s="42"/>
      <c r="F7" s="57"/>
      <c r="G7" s="57"/>
      <c r="H7" s="57"/>
      <c r="I7" s="57"/>
    </row>
    <row r="8" spans="2:9" ht="6.6" customHeight="1" x14ac:dyDescent="0.3">
      <c r="B8" s="37"/>
      <c r="C8" s="37"/>
      <c r="D8" s="37"/>
      <c r="E8" s="37"/>
      <c r="F8" s="37"/>
      <c r="G8" s="37"/>
      <c r="H8" s="37"/>
      <c r="I8" s="37"/>
    </row>
    <row r="9" spans="2:9" ht="18.600000000000001" customHeight="1" x14ac:dyDescent="0.3">
      <c r="B9" s="59" t="s">
        <v>69</v>
      </c>
      <c r="C9" s="59"/>
      <c r="D9" s="59"/>
      <c r="E9" s="59"/>
      <c r="F9" s="59"/>
      <c r="G9" s="59"/>
      <c r="H9" s="59"/>
      <c r="I9" s="59"/>
    </row>
    <row r="10" spans="2:9" ht="19.8" customHeight="1" x14ac:dyDescent="0.3">
      <c r="B10" s="45" t="s">
        <v>70</v>
      </c>
      <c r="C10" s="46"/>
      <c r="D10" s="42"/>
      <c r="E10" s="42"/>
      <c r="F10" s="42"/>
      <c r="G10" s="42"/>
      <c r="H10" s="42"/>
      <c r="I10" s="42"/>
    </row>
    <row r="11" spans="2:9" ht="19.8" customHeight="1" x14ac:dyDescent="0.3">
      <c r="B11" s="45" t="s">
        <v>71</v>
      </c>
      <c r="C11" s="46"/>
      <c r="D11" s="42"/>
      <c r="E11" s="42"/>
      <c r="F11" s="42"/>
      <c r="G11" s="42"/>
      <c r="H11" s="42"/>
      <c r="I11" s="42"/>
    </row>
    <row r="12" spans="2:9" ht="19.8" customHeight="1" x14ac:dyDescent="0.3">
      <c r="B12" s="45" t="s">
        <v>65</v>
      </c>
      <c r="C12" s="46"/>
      <c r="D12" s="42"/>
      <c r="E12" s="42"/>
      <c r="F12" s="55" t="s">
        <v>66</v>
      </c>
      <c r="G12" s="55"/>
      <c r="H12" s="56"/>
      <c r="I12" s="42"/>
    </row>
    <row r="13" spans="2:9" ht="19.8" customHeight="1" x14ac:dyDescent="0.3">
      <c r="B13" s="45" t="s">
        <v>68</v>
      </c>
      <c r="C13" s="46"/>
      <c r="D13" s="58"/>
      <c r="E13" s="42"/>
      <c r="F13" s="42"/>
      <c r="G13" s="42"/>
      <c r="H13" s="42"/>
      <c r="I13" s="42"/>
    </row>
    <row r="14" spans="2:9" ht="6.6" customHeight="1" x14ac:dyDescent="0.3">
      <c r="B14" s="37"/>
      <c r="C14" s="37"/>
      <c r="D14" s="37"/>
      <c r="E14" s="37"/>
      <c r="F14" s="37"/>
      <c r="G14" s="37"/>
      <c r="H14" s="37"/>
      <c r="I14" s="37"/>
    </row>
    <row r="15" spans="2:9" ht="18.600000000000001" customHeight="1" x14ac:dyDescent="0.3">
      <c r="B15" s="61" t="s">
        <v>72</v>
      </c>
      <c r="C15" s="61"/>
      <c r="D15" s="61"/>
      <c r="E15" s="61"/>
      <c r="F15" s="61"/>
      <c r="G15" s="61"/>
      <c r="H15" s="61"/>
      <c r="I15" s="61"/>
    </row>
    <row r="16" spans="2:9" ht="45" customHeight="1" x14ac:dyDescent="0.3">
      <c r="B16" s="62"/>
      <c r="C16" s="63"/>
      <c r="D16" s="63"/>
      <c r="E16" s="63"/>
      <c r="F16" s="63"/>
      <c r="G16" s="63"/>
      <c r="H16" s="63"/>
      <c r="I16" s="64"/>
    </row>
    <row r="17" spans="2:10" s="30" customFormat="1" ht="37.799999999999997" customHeight="1" x14ac:dyDescent="0.3">
      <c r="B17" s="29" t="s">
        <v>73</v>
      </c>
      <c r="C17" s="65" t="s">
        <v>74</v>
      </c>
      <c r="D17" s="66"/>
      <c r="E17" s="66"/>
      <c r="F17" s="67"/>
      <c r="G17" s="65" t="s">
        <v>75</v>
      </c>
      <c r="H17" s="67"/>
      <c r="I17" s="29" t="s">
        <v>76</v>
      </c>
    </row>
    <row r="18" spans="2:10" ht="73.8" customHeight="1" x14ac:dyDescent="0.3">
      <c r="B18" s="27">
        <v>1</v>
      </c>
      <c r="C18" s="68" t="s">
        <v>79</v>
      </c>
      <c r="D18" s="69"/>
      <c r="E18" s="69"/>
      <c r="F18" s="70"/>
      <c r="G18" s="71" t="s">
        <v>80</v>
      </c>
      <c r="H18" s="72"/>
      <c r="I18" s="32">
        <f>Estimation!H14</f>
        <v>195.8125</v>
      </c>
      <c r="J18" s="28" t="s">
        <v>85</v>
      </c>
    </row>
    <row r="19" spans="2:10" ht="79.8" customHeight="1" x14ac:dyDescent="0.3">
      <c r="B19" s="27">
        <v>2</v>
      </c>
      <c r="C19" s="68" t="s">
        <v>82</v>
      </c>
      <c r="D19" s="69"/>
      <c r="E19" s="69"/>
      <c r="F19" s="70"/>
      <c r="G19" s="71" t="s">
        <v>81</v>
      </c>
      <c r="H19" s="72"/>
      <c r="I19" s="31">
        <v>100000</v>
      </c>
      <c r="J19" s="28" t="s">
        <v>84</v>
      </c>
    </row>
    <row r="20" spans="2:10" ht="6.6" customHeight="1" x14ac:dyDescent="0.3">
      <c r="B20" s="73"/>
      <c r="C20" s="73"/>
      <c r="D20" s="73"/>
      <c r="E20" s="73"/>
      <c r="F20" s="73"/>
      <c r="G20" s="73"/>
      <c r="H20" s="73"/>
      <c r="I20" s="73"/>
    </row>
    <row r="21" spans="2:10" ht="18.600000000000001" customHeight="1" x14ac:dyDescent="0.3">
      <c r="B21" s="60" t="s">
        <v>77</v>
      </c>
      <c r="C21" s="60"/>
      <c r="D21" s="60"/>
      <c r="E21" s="60"/>
      <c r="F21" s="60"/>
      <c r="G21" s="60"/>
      <c r="H21" s="60"/>
      <c r="I21" s="60"/>
    </row>
    <row r="22" spans="2:10" ht="229.8" customHeight="1" x14ac:dyDescent="0.3">
      <c r="B22" s="74" t="s">
        <v>83</v>
      </c>
      <c r="C22" s="74"/>
      <c r="D22" s="42"/>
      <c r="E22" s="42"/>
      <c r="F22" s="42"/>
      <c r="G22" s="42"/>
      <c r="H22" s="42"/>
      <c r="I22" s="42"/>
    </row>
    <row r="23" spans="2:10" x14ac:dyDescent="0.3">
      <c r="B23" s="60" t="s">
        <v>78</v>
      </c>
      <c r="C23" s="60"/>
      <c r="D23" s="60"/>
      <c r="E23" s="60"/>
      <c r="F23" s="60"/>
      <c r="G23" s="60"/>
      <c r="H23" s="60"/>
      <c r="I23" s="60"/>
    </row>
  </sheetData>
  <mergeCells count="43">
    <mergeCell ref="B23:I23"/>
    <mergeCell ref="B13:C13"/>
    <mergeCell ref="D13:I13"/>
    <mergeCell ref="B14:I14"/>
    <mergeCell ref="B15:I15"/>
    <mergeCell ref="B16:I16"/>
    <mergeCell ref="C17:F17"/>
    <mergeCell ref="G17:H17"/>
    <mergeCell ref="C19:F19"/>
    <mergeCell ref="G19:H19"/>
    <mergeCell ref="C18:F18"/>
    <mergeCell ref="G18:H18"/>
    <mergeCell ref="B20:I20"/>
    <mergeCell ref="B21:I21"/>
    <mergeCell ref="B22:I22"/>
    <mergeCell ref="B12:C12"/>
    <mergeCell ref="D12:E12"/>
    <mergeCell ref="F12:G12"/>
    <mergeCell ref="H12:I12"/>
    <mergeCell ref="B6:C6"/>
    <mergeCell ref="D6:E6"/>
    <mergeCell ref="F6:I7"/>
    <mergeCell ref="B7:C7"/>
    <mergeCell ref="D7:E7"/>
    <mergeCell ref="B8:I8"/>
    <mergeCell ref="B9:I9"/>
    <mergeCell ref="B10:C10"/>
    <mergeCell ref="D10:I10"/>
    <mergeCell ref="B11:C11"/>
    <mergeCell ref="D11:I11"/>
    <mergeCell ref="B4:C4"/>
    <mergeCell ref="D4:E4"/>
    <mergeCell ref="F4:G5"/>
    <mergeCell ref="H4:I5"/>
    <mergeCell ref="B5:C5"/>
    <mergeCell ref="D5:E5"/>
    <mergeCell ref="B1:G1"/>
    <mergeCell ref="H1:I1"/>
    <mergeCell ref="B2:I2"/>
    <mergeCell ref="B3:C3"/>
    <mergeCell ref="D3:E3"/>
    <mergeCell ref="F3:G3"/>
    <mergeCell ref="H3:I3"/>
  </mergeCells>
  <pageMargins left="0.23622047244094491" right="0.23622047244094491" top="0.74803149606299213" bottom="0.74803149606299213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456E-91BB-46B9-A144-1E0A09CAC3C4}">
  <dimension ref="B1:L21"/>
  <sheetViews>
    <sheetView tabSelected="1" topLeftCell="A3" zoomScale="130" workbookViewId="0">
      <selection activeCell="I13" sqref="I13"/>
    </sheetView>
  </sheetViews>
  <sheetFormatPr defaultRowHeight="14.4" x14ac:dyDescent="0.3"/>
  <cols>
    <col min="1" max="1" width="2.109375" style="3" customWidth="1"/>
    <col min="2" max="2" width="14.77734375" style="3" customWidth="1"/>
    <col min="3" max="3" width="22.6640625" style="3" bestFit="1" customWidth="1"/>
    <col min="4" max="4" width="8.88671875" style="3"/>
    <col min="5" max="5" width="6.109375" style="3" customWidth="1"/>
    <col min="6" max="6" width="7.109375" style="3" customWidth="1"/>
    <col min="7" max="7" width="25" style="3" customWidth="1"/>
    <col min="8" max="8" width="11.44140625" style="3" customWidth="1"/>
    <col min="9" max="9" width="8.88671875" style="3"/>
    <col min="10" max="10" width="2.77734375" style="3" customWidth="1"/>
    <col min="11" max="11" width="16.44140625" style="3" bestFit="1" customWidth="1"/>
    <col min="12" max="16384" width="8.88671875" style="3"/>
  </cols>
  <sheetData>
    <row r="1" spans="2:12" ht="15" thickBot="1" x14ac:dyDescent="0.35"/>
    <row r="2" spans="2:12" x14ac:dyDescent="0.3">
      <c r="C2" s="75" t="s">
        <v>56</v>
      </c>
      <c r="D2" s="76"/>
      <c r="E2" s="76"/>
      <c r="F2" s="76"/>
      <c r="G2" s="76"/>
      <c r="H2" s="76"/>
      <c r="I2" s="76"/>
      <c r="J2" s="76"/>
      <c r="K2" s="76"/>
      <c r="L2" s="77"/>
    </row>
    <row r="3" spans="2:12" x14ac:dyDescent="0.3">
      <c r="C3" s="4" t="s">
        <v>0</v>
      </c>
      <c r="G3" s="5" t="s">
        <v>46</v>
      </c>
      <c r="K3" s="5" t="s">
        <v>1</v>
      </c>
      <c r="L3" s="6"/>
    </row>
    <row r="4" spans="2:12" x14ac:dyDescent="0.3">
      <c r="C4" s="7" t="s">
        <v>47</v>
      </c>
      <c r="D4" s="8">
        <v>8000</v>
      </c>
      <c r="G4" s="9" t="s">
        <v>2</v>
      </c>
      <c r="H4" s="10">
        <f>D15*E15/D4</f>
        <v>1.71875</v>
      </c>
      <c r="I4" s="11">
        <f t="shared" ref="I4:I14" si="0">H4/$H$14</f>
        <v>8.7775295244174913E-3</v>
      </c>
      <c r="K4" s="8" t="s">
        <v>3</v>
      </c>
      <c r="L4" s="12">
        <v>1</v>
      </c>
    </row>
    <row r="5" spans="2:12" x14ac:dyDescent="0.3">
      <c r="C5" s="7" t="s">
        <v>48</v>
      </c>
      <c r="D5" s="8">
        <v>0</v>
      </c>
      <c r="G5" s="9" t="s">
        <v>49</v>
      </c>
      <c r="H5" s="10">
        <f>D15*E16/D4</f>
        <v>0.34375</v>
      </c>
      <c r="I5" s="11">
        <f t="shared" si="0"/>
        <v>1.7555059048834983E-3</v>
      </c>
      <c r="K5" s="9" t="s">
        <v>5</v>
      </c>
      <c r="L5" s="13">
        <f>D4*(H14-H10)</f>
        <v>1566500</v>
      </c>
    </row>
    <row r="6" spans="2:12" x14ac:dyDescent="0.3">
      <c r="C6" s="14" t="s">
        <v>50</v>
      </c>
      <c r="D6" s="10">
        <v>0</v>
      </c>
      <c r="G6" s="9" t="s">
        <v>4</v>
      </c>
      <c r="H6" s="10">
        <f>D16/D4</f>
        <v>38.75</v>
      </c>
      <c r="I6" s="11">
        <f t="shared" si="0"/>
        <v>0.19789339291413979</v>
      </c>
      <c r="K6" s="9" t="s">
        <v>7</v>
      </c>
      <c r="L6" s="13">
        <f>L5*12</f>
        <v>18798000</v>
      </c>
    </row>
    <row r="7" spans="2:12" x14ac:dyDescent="0.3">
      <c r="C7" s="7" t="s">
        <v>8</v>
      </c>
      <c r="D7" s="15">
        <v>0</v>
      </c>
      <c r="F7" s="8">
        <v>0</v>
      </c>
      <c r="G7" s="9" t="s">
        <v>6</v>
      </c>
      <c r="H7" s="10">
        <f>D8*F7/D4</f>
        <v>0</v>
      </c>
      <c r="I7" s="11">
        <f t="shared" si="0"/>
        <v>0</v>
      </c>
      <c r="K7" s="9" t="s">
        <v>10</v>
      </c>
      <c r="L7" s="13">
        <f>L5*L4</f>
        <v>1566500</v>
      </c>
    </row>
    <row r="8" spans="2:12" x14ac:dyDescent="0.3">
      <c r="C8" s="7" t="s">
        <v>11</v>
      </c>
      <c r="D8" s="16">
        <v>0</v>
      </c>
      <c r="E8" s="8">
        <v>0</v>
      </c>
      <c r="G8" s="9" t="s">
        <v>9</v>
      </c>
      <c r="H8" s="9">
        <v>10</v>
      </c>
      <c r="I8" s="11">
        <f t="shared" si="0"/>
        <v>5.1069262687519948E-2</v>
      </c>
      <c r="L8" s="6"/>
    </row>
    <row r="9" spans="2:12" x14ac:dyDescent="0.3">
      <c r="B9" s="17"/>
      <c r="C9" s="7" t="s">
        <v>12</v>
      </c>
      <c r="D9" s="8">
        <v>0</v>
      </c>
      <c r="E9" s="8">
        <v>20000</v>
      </c>
      <c r="G9" s="8" t="s">
        <v>51</v>
      </c>
      <c r="H9" s="16">
        <v>0</v>
      </c>
      <c r="I9" s="11">
        <f t="shared" si="0"/>
        <v>0</v>
      </c>
      <c r="L9" s="6"/>
    </row>
    <row r="10" spans="2:12" x14ac:dyDescent="0.3">
      <c r="C10" s="7" t="s">
        <v>52</v>
      </c>
      <c r="D10" s="18">
        <v>10</v>
      </c>
      <c r="E10" s="8">
        <v>25000</v>
      </c>
      <c r="G10" s="8" t="s">
        <v>13</v>
      </c>
      <c r="H10" s="8">
        <v>0</v>
      </c>
      <c r="I10" s="11">
        <f t="shared" si="0"/>
        <v>0</v>
      </c>
      <c r="L10" s="6"/>
    </row>
    <row r="11" spans="2:12" x14ac:dyDescent="0.3">
      <c r="C11" s="7" t="s">
        <v>15</v>
      </c>
      <c r="D11" s="18">
        <v>0</v>
      </c>
      <c r="E11" s="8">
        <v>18000</v>
      </c>
      <c r="G11" s="8" t="s">
        <v>14</v>
      </c>
      <c r="H11" s="8">
        <v>0</v>
      </c>
      <c r="I11" s="11">
        <f t="shared" si="0"/>
        <v>0</v>
      </c>
      <c r="L11" s="6"/>
    </row>
    <row r="12" spans="2:12" x14ac:dyDescent="0.3">
      <c r="C12" s="7" t="s">
        <v>16</v>
      </c>
      <c r="D12" s="18">
        <v>1</v>
      </c>
      <c r="E12" s="8">
        <v>60000</v>
      </c>
      <c r="G12" s="8" t="s">
        <v>53</v>
      </c>
      <c r="H12" s="8">
        <v>0</v>
      </c>
      <c r="I12" s="11">
        <f t="shared" si="0"/>
        <v>0</v>
      </c>
      <c r="L12" s="6"/>
    </row>
    <row r="13" spans="2:12" x14ac:dyDescent="0.3">
      <c r="C13" s="7" t="s">
        <v>18</v>
      </c>
      <c r="D13" s="8">
        <v>0</v>
      </c>
      <c r="E13" s="8">
        <v>40000</v>
      </c>
      <c r="G13" s="36" t="s">
        <v>17</v>
      </c>
      <c r="H13" s="33">
        <v>145</v>
      </c>
      <c r="I13" s="11">
        <f t="shared" si="0"/>
        <v>0.74050430896903929</v>
      </c>
      <c r="L13" s="6"/>
    </row>
    <row r="14" spans="2:12" x14ac:dyDescent="0.3">
      <c r="C14" s="19" t="s">
        <v>20</v>
      </c>
      <c r="D14" s="20">
        <f>SUM(D10:D13)</f>
        <v>11</v>
      </c>
      <c r="E14" s="8">
        <v>25000</v>
      </c>
      <c r="G14" s="9" t="s">
        <v>19</v>
      </c>
      <c r="H14" s="21">
        <f>SUM(H4:H13)</f>
        <v>195.8125</v>
      </c>
      <c r="I14" s="11">
        <f t="shared" si="0"/>
        <v>1</v>
      </c>
      <c r="L14" s="6"/>
    </row>
    <row r="15" spans="2:12" x14ac:dyDescent="0.3">
      <c r="C15" s="14" t="s">
        <v>54</v>
      </c>
      <c r="D15" s="9">
        <f>D8*E8+D14*E14</f>
        <v>275000</v>
      </c>
      <c r="E15" s="15">
        <v>0.05</v>
      </c>
      <c r="F15" s="3" t="s">
        <v>24</v>
      </c>
      <c r="G15" s="22" t="s">
        <v>17</v>
      </c>
      <c r="H15" s="9">
        <f>H13*D4</f>
        <v>1160000</v>
      </c>
      <c r="I15" s="11"/>
      <c r="L15" s="6"/>
    </row>
    <row r="16" spans="2:12" x14ac:dyDescent="0.3">
      <c r="C16" s="14" t="s">
        <v>22</v>
      </c>
      <c r="D16" s="9">
        <f>SUMPRODUCT(D9:D13,E9:E13)</f>
        <v>310000</v>
      </c>
      <c r="E16" s="15">
        <v>0.01</v>
      </c>
      <c r="F16" s="3" t="s">
        <v>55</v>
      </c>
      <c r="G16" s="9" t="s">
        <v>21</v>
      </c>
      <c r="H16" s="9">
        <f>(H12+H13)*D4</f>
        <v>1160000</v>
      </c>
      <c r="L16" s="6"/>
    </row>
    <row r="17" spans="3:12" x14ac:dyDescent="0.3">
      <c r="C17" s="23"/>
      <c r="G17" s="9" t="s">
        <v>23</v>
      </c>
      <c r="H17" s="10">
        <f>D15/(H16+H4*D4)</f>
        <v>0.23429179978700745</v>
      </c>
      <c r="L17" s="6"/>
    </row>
    <row r="18" spans="3:12" ht="15" thickBot="1" x14ac:dyDescent="0.35">
      <c r="C18" s="24"/>
      <c r="D18" s="25"/>
      <c r="E18" s="25"/>
      <c r="F18" s="25"/>
      <c r="G18" s="25"/>
      <c r="H18" s="25"/>
      <c r="I18" s="25"/>
      <c r="J18" s="25"/>
      <c r="K18" s="25"/>
      <c r="L18" s="26"/>
    </row>
    <row r="21" spans="3:12" x14ac:dyDescent="0.3">
      <c r="D21" s="34"/>
    </row>
  </sheetData>
  <mergeCells count="1">
    <mergeCell ref="C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E74E-1232-4649-8691-A3D7E20B89FA}">
  <dimension ref="B2:C9"/>
  <sheetViews>
    <sheetView zoomScale="190" zoomScaleNormal="190" workbookViewId="0">
      <selection activeCell="B3" sqref="B3"/>
    </sheetView>
  </sheetViews>
  <sheetFormatPr defaultRowHeight="14.4" x14ac:dyDescent="0.3"/>
  <cols>
    <col min="1" max="16384" width="8.88671875" style="2"/>
  </cols>
  <sheetData>
    <row r="2" spans="2:3" x14ac:dyDescent="0.3">
      <c r="B2" s="2" t="s">
        <v>34</v>
      </c>
    </row>
    <row r="3" spans="2:3" x14ac:dyDescent="0.3">
      <c r="B3" s="35" t="s">
        <v>35</v>
      </c>
    </row>
    <row r="5" spans="2:3" x14ac:dyDescent="0.3">
      <c r="B5" s="2" t="s">
        <v>36</v>
      </c>
      <c r="C5" s="2" t="s">
        <v>37</v>
      </c>
    </row>
    <row r="6" spans="2:3" x14ac:dyDescent="0.3">
      <c r="B6" s="2" t="s">
        <v>38</v>
      </c>
      <c r="C6" s="2" t="s">
        <v>39</v>
      </c>
    </row>
    <row r="7" spans="2:3" x14ac:dyDescent="0.3">
      <c r="B7" s="2" t="s">
        <v>40</v>
      </c>
      <c r="C7" s="2" t="s">
        <v>41</v>
      </c>
    </row>
    <row r="8" spans="2:3" x14ac:dyDescent="0.3">
      <c r="B8" s="2" t="s">
        <v>42</v>
      </c>
      <c r="C8" s="2" t="s">
        <v>43</v>
      </c>
    </row>
    <row r="9" spans="2:3" x14ac:dyDescent="0.3">
      <c r="B9" s="2" t="s">
        <v>44</v>
      </c>
      <c r="C9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3761-8447-4C7D-A9F4-44F8F1A3B39B}">
  <dimension ref="G8:K14"/>
  <sheetViews>
    <sheetView workbookViewId="0">
      <selection activeCell="M14" sqref="M14"/>
    </sheetView>
  </sheetViews>
  <sheetFormatPr defaultRowHeight="14.4" x14ac:dyDescent="0.3"/>
  <cols>
    <col min="6" max="6" width="8.77734375" customWidth="1"/>
    <col min="7" max="7" width="2.21875" hidden="1" customWidth="1"/>
    <col min="8" max="8" width="23.44140625" customWidth="1"/>
    <col min="9" max="9" width="14.109375" customWidth="1"/>
    <col min="10" max="10" width="15.21875" bestFit="1" customWidth="1"/>
    <col min="11" max="11" width="17.88671875" customWidth="1"/>
  </cols>
  <sheetData>
    <row r="8" spans="8:11" x14ac:dyDescent="0.3">
      <c r="H8" s="1" t="s">
        <v>32</v>
      </c>
      <c r="I8" s="1" t="s">
        <v>25</v>
      </c>
      <c r="J8" s="1" t="s">
        <v>29</v>
      </c>
      <c r="K8" s="1" t="s">
        <v>26</v>
      </c>
    </row>
    <row r="9" spans="8:11" x14ac:dyDescent="0.3">
      <c r="H9" s="1" t="s">
        <v>30</v>
      </c>
      <c r="I9">
        <v>31700</v>
      </c>
      <c r="J9">
        <v>600</v>
      </c>
      <c r="K9">
        <v>2100</v>
      </c>
    </row>
    <row r="10" spans="8:11" x14ac:dyDescent="0.3">
      <c r="H10" s="1" t="s">
        <v>31</v>
      </c>
      <c r="I10">
        <v>42300</v>
      </c>
      <c r="J10">
        <v>650</v>
      </c>
      <c r="K10">
        <v>2600</v>
      </c>
    </row>
    <row r="11" spans="8:11" x14ac:dyDescent="0.3">
      <c r="H11" s="1" t="s">
        <v>27</v>
      </c>
      <c r="K11">
        <v>900</v>
      </c>
    </row>
    <row r="12" spans="8:11" x14ac:dyDescent="0.3">
      <c r="H12" s="1" t="s">
        <v>28</v>
      </c>
      <c r="K12">
        <v>1250</v>
      </c>
    </row>
    <row r="14" spans="8:11" x14ac:dyDescent="0.3">
      <c r="H14" s="78" t="s">
        <v>33</v>
      </c>
      <c r="I14" s="78"/>
      <c r="J14" s="78"/>
      <c r="K14" s="78"/>
    </row>
  </sheetData>
  <mergeCells count="1">
    <mergeCell ref="H14:K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Estimation</vt:lpstr>
      <vt:lpstr>Quote Nomeclature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LENOVO</cp:lastModifiedBy>
  <cp:lastPrinted>2025-03-12T11:21:14Z</cp:lastPrinted>
  <dcterms:created xsi:type="dcterms:W3CDTF">2020-09-10T12:28:26Z</dcterms:created>
  <dcterms:modified xsi:type="dcterms:W3CDTF">2025-03-13T06:33:30Z</dcterms:modified>
</cp:coreProperties>
</file>