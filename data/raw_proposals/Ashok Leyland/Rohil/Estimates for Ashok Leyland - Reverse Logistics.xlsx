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E:\Proposals\Ashok Leyland\"/>
    </mc:Choice>
  </mc:AlternateContent>
  <xr:revisionPtr revIDLastSave="0" documentId="13_ncr:1_{AD9FF7D6-4B98-41DB-A281-B867F8D49FAB}" xr6:coauthVersionLast="47" xr6:coauthVersionMax="47" xr10:uidLastSave="{00000000-0000-0000-0000-000000000000}"/>
  <bookViews>
    <workbookView xWindow="-108" yWindow="-108" windowWidth="23256" windowHeight="12456" xr2:uid="{00000000-000D-0000-FFFF-FFFF00000000}"/>
  </bookViews>
  <sheets>
    <sheet name="Quotation" sheetId="8" r:id="rId1"/>
    <sheet name="Estimation" sheetId="7" r:id="rId2"/>
    <sheet name="Quote Nomeclature" sheetId="6" r:id="rId3"/>
    <sheet name="Sheet1"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lWPf3RmekSs9KRnla0hwqJyrbR+ZteHrAIKI8BFvEvQ="/>
    </ext>
  </extLst>
</workbook>
</file>

<file path=xl/calcChain.xml><?xml version="1.0" encoding="utf-8"?>
<calcChain xmlns="http://schemas.openxmlformats.org/spreadsheetml/2006/main">
  <c r="H4" i="8" l="1"/>
  <c r="D9" i="7"/>
  <c r="H16" i="7"/>
  <c r="H17" i="7" s="1"/>
  <c r="D16" i="7"/>
  <c r="H6" i="7" s="1"/>
  <c r="H15" i="7"/>
  <c r="D14" i="7"/>
  <c r="D6" i="7"/>
  <c r="D8" i="7" s="1"/>
  <c r="D15" i="7" l="1"/>
  <c r="H7" i="7"/>
  <c r="H5" i="7" l="1"/>
  <c r="H4" i="7"/>
  <c r="H14" i="7" l="1"/>
  <c r="I4" i="7" s="1"/>
  <c r="I5" i="7" l="1"/>
  <c r="I14" i="7"/>
  <c r="I12" i="7"/>
  <c r="I10" i="7"/>
  <c r="L5" i="7"/>
  <c r="I13" i="7"/>
  <c r="I11" i="7"/>
  <c r="I8" i="7"/>
  <c r="I6" i="7"/>
  <c r="I9" i="7"/>
  <c r="I7" i="7"/>
  <c r="L6" i="7" l="1"/>
  <c r="L7" i="7"/>
</calcChain>
</file>

<file path=xl/sharedStrings.xml><?xml version="1.0" encoding="utf-8"?>
<sst xmlns="http://schemas.openxmlformats.org/spreadsheetml/2006/main" count="84" uniqueCount="80">
  <si>
    <t>Inputs</t>
  </si>
  <si>
    <t>Commercial Values</t>
  </si>
  <si>
    <t>Capital</t>
  </si>
  <si>
    <t>Duration (Months)</t>
  </si>
  <si>
    <t>Manpower</t>
  </si>
  <si>
    <t>Monthly CV</t>
  </si>
  <si>
    <t>SIM</t>
  </si>
  <si>
    <t>Annual CV</t>
  </si>
  <si>
    <t>Buffer Inventory</t>
  </si>
  <si>
    <t>Server+License</t>
  </si>
  <si>
    <t>TCV</t>
  </si>
  <si>
    <t>Device Quantity</t>
  </si>
  <si>
    <t>Field Technicians</t>
  </si>
  <si>
    <t>Penalties</t>
  </si>
  <si>
    <t>RL Courier Exp</t>
  </si>
  <si>
    <t>RL Executives</t>
  </si>
  <si>
    <t>Customer Success</t>
  </si>
  <si>
    <t>Net Margin</t>
  </si>
  <si>
    <t>Project Manager</t>
  </si>
  <si>
    <t>Net Quote</t>
  </si>
  <si>
    <t>Laptops</t>
  </si>
  <si>
    <t>Cash Gen (Ops)</t>
  </si>
  <si>
    <t>Monthly Manpower</t>
  </si>
  <si>
    <t>Months Capital Offset</t>
  </si>
  <si>
    <t>Dep</t>
  </si>
  <si>
    <t>Capex</t>
  </si>
  <si>
    <t>Opex</t>
  </si>
  <si>
    <t>AT_02 Channel</t>
  </si>
  <si>
    <t>AT_04 Channel</t>
  </si>
  <si>
    <t xml:space="preserve">Monthly Charges </t>
  </si>
  <si>
    <t>Streamax 2 Channel</t>
  </si>
  <si>
    <t>Streamax 4 Channel</t>
  </si>
  <si>
    <t>Hardware Model</t>
  </si>
  <si>
    <t>INR Rs.3500 will be applicable for additional camera &amp; Rs.500 for 10 mtr cable</t>
  </si>
  <si>
    <t>Quote no Format</t>
  </si>
  <si>
    <t>ABC/XY/YYMM##</t>
  </si>
  <si>
    <t xml:space="preserve">ABC </t>
  </si>
  <si>
    <t>Client name short Form like Hindalco Industries Limited will be HIL</t>
  </si>
  <si>
    <t>XY</t>
  </si>
  <si>
    <t xml:space="preserve">Axestrack Sales SPOC Intials </t>
  </si>
  <si>
    <t>YY</t>
  </si>
  <si>
    <t>Year</t>
  </si>
  <si>
    <t>MM</t>
  </si>
  <si>
    <t>Month</t>
  </si>
  <si>
    <t>##</t>
  </si>
  <si>
    <t>Quote send by Sales SPOC in that particular month, quote nos. should be start from 11</t>
  </si>
  <si>
    <t>Standard Model (Per Trip RL)</t>
  </si>
  <si>
    <t>Per Trip Costings</t>
  </si>
  <si>
    <t>Trips Per Month</t>
  </si>
  <si>
    <t>Device Rotation Days</t>
  </si>
  <si>
    <t>Interest</t>
  </si>
  <si>
    <t>Trips/Device/Month</t>
  </si>
  <si>
    <t>Consumables</t>
  </si>
  <si>
    <t>Control Tower Executives</t>
  </si>
  <si>
    <t>Man Cost at Loading point/trip</t>
  </si>
  <si>
    <t>Total Capital (Assets)</t>
  </si>
  <si>
    <t>Int</t>
  </si>
  <si>
    <t>Quotation</t>
  </si>
  <si>
    <r>
      <rPr>
        <b/>
        <sz val="10"/>
        <color theme="1"/>
        <rFont val="Arial"/>
        <family val="2"/>
      </rPr>
      <t xml:space="preserve">Address </t>
    </r>
    <r>
      <rPr>
        <sz val="10"/>
        <color theme="1"/>
        <rFont val="Arial"/>
        <family val="2"/>
      </rPr>
      <t>- Corporate HQ : 
Axestrack Software Solutions Pvt. Ltd., Office No.-19, 6th Floor, Jaipur Electronic Market, 
Near Riddhi Siddhi, Gopalpura bypass, Jaipur - 302018 , Rajasthan, India</t>
    </r>
  </si>
  <si>
    <t>GSTIN</t>
  </si>
  <si>
    <t>08AACCH0299P1Z1</t>
  </si>
  <si>
    <t>QUOTE #</t>
  </si>
  <si>
    <t>DATE</t>
  </si>
  <si>
    <t>MSME No</t>
  </si>
  <si>
    <t>UDYAM-RJ-17-0051921</t>
  </si>
  <si>
    <t>Contact Person</t>
  </si>
  <si>
    <t>Phone</t>
  </si>
  <si>
    <t>Quote Validity : 15 days from submitted date</t>
  </si>
  <si>
    <t>Email Id</t>
  </si>
  <si>
    <t>CUSTOMER INFO</t>
  </si>
  <si>
    <t>Company Name</t>
  </si>
  <si>
    <t>Address</t>
  </si>
  <si>
    <t>DESCRIPTION OF WORK</t>
  </si>
  <si>
    <t>S.No.</t>
  </si>
  <si>
    <t>Item</t>
  </si>
  <si>
    <t>Type</t>
  </si>
  <si>
    <t>Amount</t>
  </si>
  <si>
    <t>Terms &amp; Conditions</t>
  </si>
  <si>
    <t>Thanks for business with Axestrack Software Solution Pvt. Ltd.</t>
  </si>
  <si>
    <r>
      <t xml:space="preserve">•	All the prices mentioned in proposal are in rupees and exclusive of GST. Taxes as applicable
•	Device ownership remains with Axestrack, with standard hardware warranty as provided by the OEM.
•	</t>
    </r>
    <r>
      <rPr>
        <sz val="10"/>
        <color rgb="FFFF0000"/>
        <rFont val="Arial"/>
        <family val="2"/>
      </rPr>
      <t xml:space="preserve">The above commercial terms are considered for a minimum installation of # GPS devices. The commercial terms will be revised if there is a change in the threshold quantity.
</t>
    </r>
    <r>
      <rPr>
        <sz val="10"/>
        <color theme="1"/>
        <rFont val="Arial"/>
        <family val="2"/>
      </rPr>
      <t xml:space="preserve">•	Any new requirements beyond the scope of this proposal will be considered as change request for which separate effort &amp; cost to be estimated.
•	In case of device loss, tampering, or theft, a charge of INR </t>
    </r>
    <r>
      <rPr>
        <sz val="10"/>
        <color rgb="FFFF0000"/>
        <rFont val="Arial"/>
        <family val="2"/>
      </rPr>
      <t>###</t>
    </r>
    <r>
      <rPr>
        <sz val="10"/>
        <rFont val="Arial"/>
        <family val="2"/>
      </rPr>
      <t xml:space="preserve"> </t>
    </r>
    <r>
      <rPr>
        <sz val="10"/>
        <color theme="1"/>
        <rFont val="Arial"/>
        <family val="2"/>
      </rPr>
      <t xml:space="preserve">plus GST will be applied.
</t>
    </r>
    <r>
      <rPr>
        <b/>
        <sz val="10"/>
        <color theme="1"/>
        <rFont val="Arial"/>
        <family val="2"/>
      </rPr>
      <t>Payment Terms:</t>
    </r>
    <r>
      <rPr>
        <sz val="10"/>
        <color theme="1"/>
        <rFont val="Arial"/>
        <family val="2"/>
      </rPr>
      <t xml:space="preserve">
•	</t>
    </r>
    <r>
      <rPr>
        <sz val="10"/>
        <color rgb="FFFF0000"/>
        <rFont val="Arial"/>
        <family val="2"/>
      </rPr>
      <t xml:space="preserve">The billing will be in advance for minimum # Devices/per month on pro-rata basis. </t>
    </r>
    <r>
      <rPr>
        <sz val="10"/>
        <color theme="1"/>
        <rFont val="Arial"/>
        <family val="2"/>
      </rPr>
      <t xml:space="preserve">.
•	100% payments to be made within 15 days from the date of receipt of original or digitally signed invoice. In case of further delay, overdue charges of 1.5% per month will be charged
•	</t>
    </r>
    <r>
      <rPr>
        <sz val="10"/>
        <color rgb="FFFF0000"/>
        <rFont val="Arial"/>
        <family val="2"/>
      </rPr>
      <t>If payments are not made within 15 days from the date of receipt, platform capabilities for the specific devices will be suspended. Client will then be responsible for returning the devices to Axestrack. Alternatively, a charge of # per device, plus applicable GST, will be levied for each device.</t>
    </r>
    <r>
      <rPr>
        <sz val="10"/>
        <color theme="1"/>
        <rFont val="Arial"/>
        <family val="2"/>
      </rPr>
      <t xml:space="preserve">
•	Billing validation/certification to be made within 7 days from the date of provisional bill submission.
•	If the transporter fails to make the payment within the agreed terms, Client assumes responsibility for settling the payment to Axestrack.
</t>
    </r>
    <r>
      <rPr>
        <b/>
        <sz val="10"/>
        <color theme="1"/>
        <rFont val="Arial"/>
        <family val="2"/>
      </rPr>
      <t>Project Closure :</t>
    </r>
    <r>
      <rPr>
        <sz val="10"/>
        <color theme="1"/>
        <rFont val="Arial"/>
        <family val="2"/>
      </rPr>
      <t xml:space="preserve">
•	Upon project closure, all devices must be returned to Axestrack within 15 days of receiving the project closure notification.
•	In the event of any loss, damage, or discrepancy in the device count, a charge of INR## per device, plus applicable GST, will be applied.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</si>
</sst>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14009]dd\ mmmm\ yyyy;@"/>
    <numFmt numFmtId="166" formatCode="_(* #,##0_);_(* \(#,##0\);_(* &quot;-&quot;??_);_(@_)"/>
  </numFmts>
  <fonts count="1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1"/>
      <name val="Calibri"/>
      <family val="2"/>
    </font>
    <font>
      <i/>
      <u/>
      <sz val="11"/>
      <color theme="1"/>
      <name val="Calibri"/>
      <family val="2"/>
      <scheme val="minor"/>
    </font>
    <font>
      <i/>
      <sz val="11"/>
      <color theme="1"/>
      <name val="Calibri"/>
      <family val="2"/>
      <scheme val="minor"/>
    </font>
    <font>
      <sz val="11"/>
      <name val="Calibri"/>
      <family val="2"/>
      <scheme val="minor"/>
    </font>
    <font>
      <sz val="10"/>
      <color theme="1"/>
      <name val="Arial"/>
      <family val="2"/>
    </font>
    <font>
      <b/>
      <sz val="14"/>
      <color theme="4"/>
      <name val="Arial"/>
      <family val="2"/>
    </font>
    <font>
      <b/>
      <sz val="10"/>
      <color theme="1"/>
      <name val="Arial"/>
      <family val="2"/>
    </font>
    <font>
      <i/>
      <sz val="10"/>
      <color theme="1"/>
      <name val="Arial"/>
      <family val="2"/>
    </font>
    <font>
      <sz val="10"/>
      <name val="Arial"/>
      <family val="2"/>
    </font>
    <font>
      <sz val="10"/>
      <color rgb="FFFF0000"/>
      <name val="Arial"/>
      <family val="2"/>
    </font>
    <font>
      <b/>
      <sz val="10"/>
      <color theme="0"/>
      <name val="Arial"/>
      <family val="2"/>
    </font>
  </fonts>
  <fills count="13">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2"/>
        <bgColor indexed="64"/>
      </patternFill>
    </fill>
    <fill>
      <patternFill patternType="solid">
        <fgColor theme="6" tint="0.59999389629810485"/>
        <bgColor rgb="FFD4D4D4"/>
      </patternFill>
    </fill>
    <fill>
      <patternFill patternType="solid">
        <fgColor theme="2"/>
        <bgColor rgb="FFD4D4D4"/>
      </patternFill>
    </fill>
    <fill>
      <patternFill patternType="solid">
        <fgColor theme="4" tint="0.79998168889431442"/>
        <bgColor rgb="FFD4D4D4"/>
      </patternFill>
    </fill>
    <fill>
      <patternFill patternType="solid">
        <fgColor theme="4"/>
        <bgColor rgb="FFD4D4D4"/>
      </patternFill>
    </fill>
    <fill>
      <patternFill patternType="solid">
        <fgColor theme="6" tint="0.59999389629810485"/>
        <bgColor indexed="64"/>
      </patternFill>
    </fill>
  </fills>
  <borders count="2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8">
    <xf numFmtId="0" fontId="0" fillId="0" borderId="0"/>
    <xf numFmtId="0" fontId="4" fillId="0" borderId="1"/>
    <xf numFmtId="0" fontId="6" fillId="0" borderId="1" applyNumberFormat="0" applyFill="0" applyBorder="0" applyAlignment="0" applyProtection="0"/>
    <xf numFmtId="0" fontId="2" fillId="0" borderId="1"/>
    <xf numFmtId="0" fontId="2" fillId="0" borderId="1"/>
    <xf numFmtId="9" fontId="2" fillId="0" borderId="1" applyFont="0" applyFill="0" applyBorder="0" applyAlignment="0" applyProtection="0"/>
    <xf numFmtId="0" fontId="1" fillId="0" borderId="1"/>
    <xf numFmtId="43" fontId="1" fillId="0" borderId="1" applyFont="0" applyFill="0" applyBorder="0" applyAlignment="0" applyProtection="0"/>
  </cellStyleXfs>
  <cellXfs count="76">
    <xf numFmtId="0" fontId="0" fillId="0" borderId="0" xfId="0"/>
    <xf numFmtId="0" fontId="5" fillId="0" borderId="0" xfId="0" applyFont="1"/>
    <xf numFmtId="0" fontId="4" fillId="0" borderId="1" xfId="1"/>
    <xf numFmtId="0" fontId="3" fillId="0" borderId="1" xfId="1" applyFont="1"/>
    <xf numFmtId="0" fontId="2" fillId="0" borderId="1" xfId="3"/>
    <xf numFmtId="0" fontId="8" fillId="0" borderId="6" xfId="3" applyFont="1" applyBorder="1"/>
    <xf numFmtId="0" fontId="8" fillId="0" borderId="1" xfId="3" applyFont="1"/>
    <xf numFmtId="0" fontId="2" fillId="0" borderId="7" xfId="3" applyBorder="1"/>
    <xf numFmtId="0" fontId="2" fillId="3" borderId="8" xfId="3" applyFill="1" applyBorder="1"/>
    <xf numFmtId="0" fontId="2" fillId="3" borderId="2" xfId="3" applyFill="1" applyBorder="1"/>
    <xf numFmtId="0" fontId="2" fillId="2" borderId="2" xfId="3" applyFill="1" applyBorder="1"/>
    <xf numFmtId="164" fontId="2" fillId="2" borderId="2" xfId="3" applyNumberFormat="1" applyFill="1" applyBorder="1"/>
    <xf numFmtId="9" fontId="9" fillId="0" borderId="1" xfId="5" applyFont="1" applyBorder="1"/>
    <xf numFmtId="0" fontId="2" fillId="3" borderId="9" xfId="3" applyFill="1" applyBorder="1"/>
    <xf numFmtId="0" fontId="2" fillId="2" borderId="9" xfId="3" applyFill="1" applyBorder="1"/>
    <xf numFmtId="0" fontId="2" fillId="2" borderId="8" xfId="3" applyFill="1" applyBorder="1"/>
    <xf numFmtId="9" fontId="2" fillId="3" borderId="2" xfId="3" applyNumberFormat="1" applyFill="1" applyBorder="1"/>
    <xf numFmtId="1" fontId="2" fillId="3" borderId="2" xfId="3" applyNumberFormat="1" applyFill="1" applyBorder="1"/>
    <xf numFmtId="0" fontId="2" fillId="5" borderId="1" xfId="3" applyFill="1" applyAlignment="1">
      <alignment horizontal="left" wrapText="1"/>
    </xf>
    <xf numFmtId="0" fontId="10" fillId="3" borderId="2" xfId="3" applyFont="1" applyFill="1" applyBorder="1"/>
    <xf numFmtId="0" fontId="2" fillId="3" borderId="10" xfId="3" applyFill="1" applyBorder="1"/>
    <xf numFmtId="0" fontId="2" fillId="6" borderId="8" xfId="3" applyFill="1" applyBorder="1"/>
    <xf numFmtId="0" fontId="2" fillId="6" borderId="2" xfId="3" applyFill="1" applyBorder="1"/>
    <xf numFmtId="2" fontId="2" fillId="2" borderId="2" xfId="3" applyNumberFormat="1" applyFill="1" applyBorder="1"/>
    <xf numFmtId="0" fontId="2" fillId="2" borderId="10" xfId="3" applyFill="1" applyBorder="1"/>
    <xf numFmtId="0" fontId="2" fillId="0" borderId="6" xfId="3" applyBorder="1"/>
    <xf numFmtId="0" fontId="2" fillId="0" borderId="11" xfId="3" applyBorder="1"/>
    <xf numFmtId="0" fontId="2" fillId="0" borderId="12" xfId="3" applyBorder="1"/>
    <xf numFmtId="0" fontId="2" fillId="0" borderId="13" xfId="3" applyBorder="1"/>
    <xf numFmtId="0" fontId="7" fillId="4" borderId="3" xfId="4" applyFont="1" applyFill="1" applyBorder="1" applyAlignment="1">
      <alignment horizontal="center"/>
    </xf>
    <xf numFmtId="0" fontId="7" fillId="4" borderId="4" xfId="4" applyFont="1" applyFill="1" applyBorder="1" applyAlignment="1">
      <alignment horizontal="center"/>
    </xf>
    <xf numFmtId="0" fontId="7" fillId="4" borderId="5" xfId="4" applyFont="1" applyFill="1" applyBorder="1" applyAlignment="1">
      <alignment horizontal="center"/>
    </xf>
    <xf numFmtId="0" fontId="5" fillId="0" borderId="0" xfId="0" applyFont="1" applyAlignment="1">
      <alignment horizontal="center"/>
    </xf>
    <xf numFmtId="0" fontId="11" fillId="0" borderId="2" xfId="6" applyFont="1" applyBorder="1" applyAlignment="1">
      <alignment horizontal="center" vertical="center"/>
    </xf>
    <xf numFmtId="0" fontId="12" fillId="0" borderId="2" xfId="6" applyFont="1" applyBorder="1" applyAlignment="1">
      <alignment horizontal="center" vertical="center"/>
    </xf>
    <xf numFmtId="0" fontId="11" fillId="0" borderId="1" xfId="6" applyFont="1" applyAlignment="1">
      <alignment vertical="center"/>
    </xf>
    <xf numFmtId="0" fontId="11" fillId="0" borderId="2" xfId="6" applyFont="1" applyBorder="1" applyAlignment="1">
      <alignment horizontal="left" vertical="center" wrapText="1"/>
    </xf>
    <xf numFmtId="0" fontId="13" fillId="7" borderId="14" xfId="6" applyFont="1" applyFill="1" applyBorder="1" applyAlignment="1">
      <alignment horizontal="center" vertical="center"/>
    </xf>
    <xf numFmtId="0" fontId="13" fillId="7" borderId="15" xfId="6" applyFont="1" applyFill="1" applyBorder="1" applyAlignment="1">
      <alignment horizontal="center" vertical="center"/>
    </xf>
    <xf numFmtId="0" fontId="11" fillId="0" borderId="2" xfId="6" applyFont="1" applyBorder="1" applyAlignment="1">
      <alignment horizontal="left" vertical="center"/>
    </xf>
    <xf numFmtId="0" fontId="13" fillId="8" borderId="14" xfId="6" applyFont="1" applyFill="1" applyBorder="1" applyAlignment="1">
      <alignment horizontal="center" vertical="center"/>
    </xf>
    <xf numFmtId="0" fontId="13" fillId="8" borderId="15" xfId="6" applyFont="1" applyFill="1" applyBorder="1" applyAlignment="1">
      <alignment horizontal="center" vertical="center"/>
    </xf>
    <xf numFmtId="0" fontId="13" fillId="7" borderId="14" xfId="6" applyFont="1" applyFill="1" applyBorder="1" applyAlignment="1">
      <alignment horizontal="left" vertical="center"/>
    </xf>
    <xf numFmtId="0" fontId="13" fillId="7" borderId="15" xfId="6" applyFont="1" applyFill="1" applyBorder="1" applyAlignment="1">
      <alignment horizontal="left" vertical="center"/>
    </xf>
    <xf numFmtId="0" fontId="11" fillId="0" borderId="16" xfId="6" applyFont="1" applyBorder="1" applyAlignment="1">
      <alignment horizontal="center" vertical="center"/>
    </xf>
    <xf numFmtId="0" fontId="11" fillId="0" borderId="17" xfId="6" applyFont="1" applyBorder="1" applyAlignment="1">
      <alignment horizontal="center" vertical="center"/>
    </xf>
    <xf numFmtId="165" fontId="11" fillId="0" borderId="16" xfId="6" applyNumberFormat="1" applyFont="1" applyBorder="1" applyAlignment="1">
      <alignment horizontal="center" vertical="center"/>
    </xf>
    <xf numFmtId="165" fontId="11" fillId="0" borderId="17" xfId="6" applyNumberFormat="1" applyFont="1" applyBorder="1" applyAlignment="1">
      <alignment horizontal="center" vertical="center"/>
    </xf>
    <xf numFmtId="0" fontId="11" fillId="0" borderId="18" xfId="6" applyFont="1" applyBorder="1" applyAlignment="1">
      <alignment horizontal="center" vertical="center"/>
    </xf>
    <xf numFmtId="0" fontId="11" fillId="0" borderId="19" xfId="6" applyFont="1" applyBorder="1" applyAlignment="1">
      <alignment horizontal="center" vertical="center"/>
    </xf>
    <xf numFmtId="165" fontId="11" fillId="0" borderId="18" xfId="6" applyNumberFormat="1" applyFont="1" applyBorder="1" applyAlignment="1">
      <alignment horizontal="center" vertical="center"/>
    </xf>
    <xf numFmtId="165" fontId="11" fillId="0" borderId="19" xfId="6" applyNumberFormat="1" applyFont="1" applyBorder="1" applyAlignment="1">
      <alignment horizontal="center" vertical="center"/>
    </xf>
    <xf numFmtId="0" fontId="11" fillId="0" borderId="2" xfId="6" quotePrefix="1" applyFont="1" applyBorder="1" applyAlignment="1">
      <alignment horizontal="left" vertical="center"/>
    </xf>
    <xf numFmtId="0" fontId="14" fillId="0" borderId="2" xfId="6" applyFont="1" applyBorder="1" applyAlignment="1">
      <alignment horizontal="center" vertical="center" wrapText="1"/>
    </xf>
    <xf numFmtId="0" fontId="6" fillId="0" borderId="2" xfId="2" applyBorder="1" applyAlignment="1">
      <alignment horizontal="left" vertical="center"/>
    </xf>
    <xf numFmtId="0" fontId="13" fillId="9" borderId="2" xfId="6" applyFont="1" applyFill="1" applyBorder="1" applyAlignment="1">
      <alignment horizontal="left" vertical="center"/>
    </xf>
    <xf numFmtId="0" fontId="13" fillId="9" borderId="2" xfId="6" applyFont="1" applyFill="1" applyBorder="1" applyAlignment="1">
      <alignment horizontal="right" vertical="center"/>
    </xf>
    <xf numFmtId="0" fontId="13" fillId="10" borderId="2" xfId="6" applyFont="1" applyFill="1" applyBorder="1" applyAlignment="1">
      <alignment horizontal="center" vertical="center"/>
    </xf>
    <xf numFmtId="0" fontId="15" fillId="0" borderId="14" xfId="6" applyFont="1" applyBorder="1" applyAlignment="1">
      <alignment horizontal="left" vertical="center" wrapText="1"/>
    </xf>
    <xf numFmtId="0" fontId="16" fillId="0" borderId="20" xfId="6" applyFont="1" applyBorder="1" applyAlignment="1">
      <alignment horizontal="left" vertical="center"/>
    </xf>
    <xf numFmtId="0" fontId="16" fillId="0" borderId="15" xfId="6" applyFont="1" applyBorder="1" applyAlignment="1">
      <alignment horizontal="left" vertical="center"/>
    </xf>
    <xf numFmtId="0" fontId="17" fillId="11" borderId="2" xfId="6" applyFont="1" applyFill="1" applyBorder="1" applyAlignment="1">
      <alignment horizontal="center" vertical="center" wrapText="1"/>
    </xf>
    <xf numFmtId="0" fontId="17" fillId="11" borderId="14" xfId="6" applyFont="1" applyFill="1" applyBorder="1" applyAlignment="1">
      <alignment horizontal="center" vertical="center" wrapText="1"/>
    </xf>
    <xf numFmtId="0" fontId="17" fillId="11" borderId="20" xfId="6" applyFont="1" applyFill="1" applyBorder="1" applyAlignment="1">
      <alignment horizontal="center" vertical="center" wrapText="1"/>
    </xf>
    <xf numFmtId="0" fontId="17" fillId="11" borderId="15" xfId="6" applyFont="1" applyFill="1" applyBorder="1" applyAlignment="1">
      <alignment horizontal="center" vertical="center" wrapText="1"/>
    </xf>
    <xf numFmtId="0" fontId="11" fillId="0" borderId="1" xfId="6" applyFont="1" applyAlignment="1">
      <alignment vertical="center" wrapText="1"/>
    </xf>
    <xf numFmtId="0" fontId="11" fillId="0" borderId="2" xfId="6" applyFont="1" applyBorder="1" applyAlignment="1">
      <alignment horizontal="center" vertical="center"/>
    </xf>
    <xf numFmtId="0" fontId="13" fillId="0" borderId="14" xfId="6" applyFont="1" applyBorder="1" applyAlignment="1">
      <alignment horizontal="left" vertical="center" wrapText="1"/>
    </xf>
    <xf numFmtId="0" fontId="13" fillId="0" borderId="20" xfId="6" applyFont="1" applyBorder="1" applyAlignment="1">
      <alignment horizontal="left" vertical="center" wrapText="1"/>
    </xf>
    <xf numFmtId="0" fontId="13" fillId="0" borderId="15" xfId="6" applyFont="1" applyBorder="1" applyAlignment="1">
      <alignment horizontal="left" vertical="center" wrapText="1"/>
    </xf>
    <xf numFmtId="0" fontId="11" fillId="0" borderId="14" xfId="6" applyFont="1" applyBorder="1" applyAlignment="1">
      <alignment horizontal="center" vertical="center" wrapText="1"/>
    </xf>
    <xf numFmtId="0" fontId="11" fillId="0" borderId="15" xfId="6" applyFont="1" applyBorder="1" applyAlignment="1">
      <alignment horizontal="center" vertical="center" wrapText="1"/>
    </xf>
    <xf numFmtId="166" fontId="15" fillId="0" borderId="2" xfId="7" applyNumberFormat="1" applyFont="1" applyFill="1" applyBorder="1" applyAlignment="1">
      <alignment vertical="center" wrapText="1" readingOrder="1"/>
    </xf>
    <xf numFmtId="0" fontId="17" fillId="0" borderId="2" xfId="6" applyFont="1" applyBorder="1" applyAlignment="1">
      <alignment horizontal="center" vertical="center"/>
    </xf>
    <xf numFmtId="0" fontId="13" fillId="12" borderId="2" xfId="6" applyFont="1" applyFill="1" applyBorder="1" applyAlignment="1">
      <alignment horizontal="center" vertical="center"/>
    </xf>
    <xf numFmtId="0" fontId="11" fillId="0" borderId="2" xfId="6" quotePrefix="1" applyFont="1" applyBorder="1" applyAlignment="1">
      <alignment horizontal="left" vertical="center" wrapText="1"/>
    </xf>
  </cellXfs>
  <cellStyles count="8">
    <cellStyle name="Comma 2" xfId="7" xr:uid="{72182531-F149-4849-81F4-A92FD857388E}"/>
    <cellStyle name="Hyperlink 2" xfId="2" xr:uid="{EA743CE8-5CDB-4E37-B164-089E6C03BEB1}"/>
    <cellStyle name="Normal" xfId="0" builtinId="0"/>
    <cellStyle name="Normal 2" xfId="1" xr:uid="{83762E85-80EE-4383-B6D3-C7A9A260C1EF}"/>
    <cellStyle name="Normal 2 2" xfId="4" xr:uid="{670678CA-2BFE-4A35-B185-F6E689709173}"/>
    <cellStyle name="Normal 3" xfId="3" xr:uid="{8FA67522-2D22-49B6-A4E0-31C7A0B9A308}"/>
    <cellStyle name="Normal 4" xfId="6" xr:uid="{3971CC5D-1FF2-4ED8-888E-43FCFDA14949}"/>
    <cellStyle name="Percent 2" xfId="5" xr:uid="{E470C8E6-A8E6-482D-A1E4-BF680F4C92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691045</xdr:colOff>
      <xdr:row>0</xdr:row>
      <xdr:rowOff>30407</xdr:rowOff>
    </xdr:from>
    <xdr:to>
      <xdr:col>5</xdr:col>
      <xdr:colOff>263476</xdr:colOff>
      <xdr:row>0</xdr:row>
      <xdr:rowOff>587348</xdr:rowOff>
    </xdr:to>
    <xdr:pic>
      <xdr:nvPicPr>
        <xdr:cNvPr id="2" name="Picture 1">
          <a:extLst>
            <a:ext uri="{FF2B5EF4-FFF2-40B4-BE49-F238E27FC236}">
              <a16:creationId xmlns:a16="http://schemas.microsoft.com/office/drawing/2014/main" id="{6AAEE8C7-544E-4BAE-8FD7-3B109B3F1681}"/>
            </a:ext>
          </a:extLst>
        </xdr:cNvPr>
        <xdr:cNvPicPr>
          <a:picLocks noChangeAspect="1"/>
        </xdr:cNvPicPr>
      </xdr:nvPicPr>
      <xdr:blipFill>
        <a:blip xmlns:r="http://schemas.openxmlformats.org/officeDocument/2006/relationships" r:embed="rId1"/>
        <a:stretch>
          <a:fillRect/>
        </a:stretch>
      </xdr:blipFill>
      <xdr:spPr>
        <a:xfrm>
          <a:off x="1247305" y="30407"/>
          <a:ext cx="2384211" cy="55694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E7967-FD94-435C-B62E-EF7A91CE6D59}">
  <sheetPr>
    <tabColor theme="8" tint="0.79998168889431442"/>
  </sheetPr>
  <dimension ref="B1:I22"/>
  <sheetViews>
    <sheetView tabSelected="1" zoomScale="125" zoomScaleNormal="100" zoomScaleSheetLayoutView="111" zoomScalePageLayoutView="41" workbookViewId="0">
      <selection activeCell="F4" sqref="F4:G5"/>
    </sheetView>
  </sheetViews>
  <sheetFormatPr defaultRowHeight="13.2" x14ac:dyDescent="0.3"/>
  <cols>
    <col min="1" max="1" width="2.21875" style="35" customWidth="1"/>
    <col min="2" max="2" width="5.88671875" style="35" customWidth="1"/>
    <col min="3" max="3" width="12.44140625" style="35" customWidth="1"/>
    <col min="4" max="4" width="7.88671875" style="65" customWidth="1"/>
    <col min="5" max="5" width="20.6640625" style="35" customWidth="1"/>
    <col min="6" max="6" width="9.5546875" style="35" customWidth="1"/>
    <col min="7" max="7" width="12.6640625" style="35" customWidth="1"/>
    <col min="8" max="8" width="9.5546875" style="35" customWidth="1"/>
    <col min="9" max="9" width="26.44140625" style="35" customWidth="1"/>
    <col min="10" max="16384" width="8.88671875" style="35"/>
  </cols>
  <sheetData>
    <row r="1" spans="2:9" ht="49.8" customHeight="1" x14ac:dyDescent="0.3">
      <c r="B1" s="33"/>
      <c r="C1" s="33"/>
      <c r="D1" s="33"/>
      <c r="E1" s="33"/>
      <c r="F1" s="33"/>
      <c r="G1" s="33"/>
      <c r="H1" s="34" t="s">
        <v>57</v>
      </c>
      <c r="I1" s="34"/>
    </row>
    <row r="2" spans="2:9" ht="53.4" customHeight="1" x14ac:dyDescent="0.3">
      <c r="B2" s="36" t="s">
        <v>58</v>
      </c>
      <c r="C2" s="36"/>
      <c r="D2" s="36"/>
      <c r="E2" s="36"/>
      <c r="F2" s="36"/>
      <c r="G2" s="36"/>
      <c r="H2" s="36"/>
      <c r="I2" s="36"/>
    </row>
    <row r="3" spans="2:9" ht="19.8" customHeight="1" x14ac:dyDescent="0.3">
      <c r="B3" s="37" t="s">
        <v>59</v>
      </c>
      <c r="C3" s="38"/>
      <c r="D3" s="39" t="s">
        <v>60</v>
      </c>
      <c r="E3" s="39"/>
      <c r="F3" s="40" t="s">
        <v>61</v>
      </c>
      <c r="G3" s="41"/>
      <c r="H3" s="40" t="s">
        <v>62</v>
      </c>
      <c r="I3" s="41"/>
    </row>
    <row r="4" spans="2:9" ht="19.8" customHeight="1" x14ac:dyDescent="0.3">
      <c r="B4" s="42" t="s">
        <v>63</v>
      </c>
      <c r="C4" s="43"/>
      <c r="D4" s="39" t="s">
        <v>64</v>
      </c>
      <c r="E4" s="39"/>
      <c r="F4" s="44"/>
      <c r="G4" s="45"/>
      <c r="H4" s="46">
        <f ca="1">TODAY()</f>
        <v>45727</v>
      </c>
      <c r="I4" s="47"/>
    </row>
    <row r="5" spans="2:9" ht="19.8" customHeight="1" x14ac:dyDescent="0.3">
      <c r="B5" s="42" t="s">
        <v>65</v>
      </c>
      <c r="C5" s="43"/>
      <c r="D5" s="39"/>
      <c r="E5" s="39"/>
      <c r="F5" s="48"/>
      <c r="G5" s="49"/>
      <c r="H5" s="50"/>
      <c r="I5" s="51"/>
    </row>
    <row r="6" spans="2:9" ht="19.8" customHeight="1" x14ac:dyDescent="0.3">
      <c r="B6" s="42" t="s">
        <v>66</v>
      </c>
      <c r="C6" s="43"/>
      <c r="D6" s="52"/>
      <c r="E6" s="39"/>
      <c r="F6" s="53" t="s">
        <v>67</v>
      </c>
      <c r="G6" s="53"/>
      <c r="H6" s="53"/>
      <c r="I6" s="53"/>
    </row>
    <row r="7" spans="2:9" ht="19.8" customHeight="1" x14ac:dyDescent="0.3">
      <c r="B7" s="42" t="s">
        <v>68</v>
      </c>
      <c r="C7" s="43"/>
      <c r="D7" s="54"/>
      <c r="E7" s="39"/>
      <c r="F7" s="53"/>
      <c r="G7" s="53"/>
      <c r="H7" s="53"/>
      <c r="I7" s="53"/>
    </row>
    <row r="8" spans="2:9" ht="6.6" customHeight="1" x14ac:dyDescent="0.3">
      <c r="B8" s="33"/>
      <c r="C8" s="33"/>
      <c r="D8" s="33"/>
      <c r="E8" s="33"/>
      <c r="F8" s="33"/>
      <c r="G8" s="33"/>
      <c r="H8" s="33"/>
      <c r="I8" s="33"/>
    </row>
    <row r="9" spans="2:9" ht="18.600000000000001" customHeight="1" x14ac:dyDescent="0.3">
      <c r="B9" s="55" t="s">
        <v>69</v>
      </c>
      <c r="C9" s="55"/>
      <c r="D9" s="55"/>
      <c r="E9" s="55"/>
      <c r="F9" s="55"/>
      <c r="G9" s="55"/>
      <c r="H9" s="55"/>
      <c r="I9" s="55"/>
    </row>
    <row r="10" spans="2:9" ht="19.8" customHeight="1" x14ac:dyDescent="0.3">
      <c r="B10" s="42" t="s">
        <v>70</v>
      </c>
      <c r="C10" s="43"/>
      <c r="D10" s="39"/>
      <c r="E10" s="39"/>
      <c r="F10" s="39"/>
      <c r="G10" s="39"/>
      <c r="H10" s="39"/>
      <c r="I10" s="39"/>
    </row>
    <row r="11" spans="2:9" ht="19.8" customHeight="1" x14ac:dyDescent="0.3">
      <c r="B11" s="42" t="s">
        <v>71</v>
      </c>
      <c r="C11" s="43"/>
      <c r="D11" s="39"/>
      <c r="E11" s="39"/>
      <c r="F11" s="39"/>
      <c r="G11" s="39"/>
      <c r="H11" s="39"/>
      <c r="I11" s="39"/>
    </row>
    <row r="12" spans="2:9" ht="19.8" customHeight="1" x14ac:dyDescent="0.3">
      <c r="B12" s="42" t="s">
        <v>65</v>
      </c>
      <c r="C12" s="43"/>
      <c r="D12" s="39"/>
      <c r="E12" s="39"/>
      <c r="F12" s="56" t="s">
        <v>66</v>
      </c>
      <c r="G12" s="56"/>
      <c r="H12" s="52"/>
      <c r="I12" s="39"/>
    </row>
    <row r="13" spans="2:9" ht="19.8" customHeight="1" x14ac:dyDescent="0.3">
      <c r="B13" s="42" t="s">
        <v>68</v>
      </c>
      <c r="C13" s="43"/>
      <c r="D13" s="54"/>
      <c r="E13" s="39"/>
      <c r="F13" s="39"/>
      <c r="G13" s="39"/>
      <c r="H13" s="39"/>
      <c r="I13" s="39"/>
    </row>
    <row r="14" spans="2:9" ht="6.6" customHeight="1" x14ac:dyDescent="0.3">
      <c r="B14" s="33"/>
      <c r="C14" s="33"/>
      <c r="D14" s="33"/>
      <c r="E14" s="33"/>
      <c r="F14" s="33"/>
      <c r="G14" s="33"/>
      <c r="H14" s="33"/>
      <c r="I14" s="33"/>
    </row>
    <row r="15" spans="2:9" ht="18.600000000000001" customHeight="1" x14ac:dyDescent="0.3">
      <c r="B15" s="57" t="s">
        <v>72</v>
      </c>
      <c r="C15" s="57"/>
      <c r="D15" s="57"/>
      <c r="E15" s="57"/>
      <c r="F15" s="57"/>
      <c r="G15" s="57"/>
      <c r="H15" s="57"/>
      <c r="I15" s="57"/>
    </row>
    <row r="16" spans="2:9" ht="38.4" customHeight="1" x14ac:dyDescent="0.3">
      <c r="B16" s="58"/>
      <c r="C16" s="59"/>
      <c r="D16" s="59"/>
      <c r="E16" s="59"/>
      <c r="F16" s="59"/>
      <c r="G16" s="59"/>
      <c r="H16" s="59"/>
      <c r="I16" s="60"/>
    </row>
    <row r="17" spans="2:9" s="65" customFormat="1" ht="37.799999999999997" customHeight="1" x14ac:dyDescent="0.3">
      <c r="B17" s="61" t="s">
        <v>73</v>
      </c>
      <c r="C17" s="62" t="s">
        <v>74</v>
      </c>
      <c r="D17" s="63"/>
      <c r="E17" s="63"/>
      <c r="F17" s="64"/>
      <c r="G17" s="62" t="s">
        <v>75</v>
      </c>
      <c r="H17" s="64"/>
      <c r="I17" s="61" t="s">
        <v>76</v>
      </c>
    </row>
    <row r="18" spans="2:9" ht="49.2" customHeight="1" x14ac:dyDescent="0.3">
      <c r="B18" s="66">
        <v>1</v>
      </c>
      <c r="C18" s="67"/>
      <c r="D18" s="68"/>
      <c r="E18" s="68"/>
      <c r="F18" s="69"/>
      <c r="G18" s="70"/>
      <c r="H18" s="71"/>
      <c r="I18" s="72"/>
    </row>
    <row r="19" spans="2:9" ht="6.6" customHeight="1" x14ac:dyDescent="0.3">
      <c r="B19" s="73"/>
      <c r="C19" s="73"/>
      <c r="D19" s="73"/>
      <c r="E19" s="73"/>
      <c r="F19" s="73"/>
      <c r="G19" s="73"/>
      <c r="H19" s="73"/>
      <c r="I19" s="73"/>
    </row>
    <row r="20" spans="2:9" ht="18.600000000000001" customHeight="1" x14ac:dyDescent="0.3">
      <c r="B20" s="74" t="s">
        <v>77</v>
      </c>
      <c r="C20" s="74"/>
      <c r="D20" s="74"/>
      <c r="E20" s="74"/>
      <c r="F20" s="74"/>
      <c r="G20" s="74"/>
      <c r="H20" s="74"/>
      <c r="I20" s="74"/>
    </row>
    <row r="21" spans="2:9" ht="329.4" customHeight="1" x14ac:dyDescent="0.3">
      <c r="B21" s="75" t="s">
        <v>79</v>
      </c>
      <c r="C21" s="75"/>
      <c r="D21" s="39"/>
      <c r="E21" s="39"/>
      <c r="F21" s="39"/>
      <c r="G21" s="39"/>
      <c r="H21" s="39"/>
      <c r="I21" s="39"/>
    </row>
    <row r="22" spans="2:9" x14ac:dyDescent="0.3">
      <c r="B22" s="74" t="s">
        <v>78</v>
      </c>
      <c r="C22" s="74"/>
      <c r="D22" s="74"/>
      <c r="E22" s="74"/>
      <c r="F22" s="74"/>
      <c r="G22" s="74"/>
      <c r="H22" s="74"/>
      <c r="I22" s="74"/>
    </row>
  </sheetData>
  <mergeCells count="41">
    <mergeCell ref="C18:F18"/>
    <mergeCell ref="G18:H18"/>
    <mergeCell ref="B19:I19"/>
    <mergeCell ref="B20:I20"/>
    <mergeCell ref="B21:I21"/>
    <mergeCell ref="B22:I22"/>
    <mergeCell ref="B13:C13"/>
    <mergeCell ref="D13:I13"/>
    <mergeCell ref="B14:I14"/>
    <mergeCell ref="B15:I15"/>
    <mergeCell ref="B16:I16"/>
    <mergeCell ref="C17:F17"/>
    <mergeCell ref="G17:H17"/>
    <mergeCell ref="B9:I9"/>
    <mergeCell ref="B10:C10"/>
    <mergeCell ref="D10:I10"/>
    <mergeCell ref="B11:C11"/>
    <mergeCell ref="D11:I11"/>
    <mergeCell ref="B12:C12"/>
    <mergeCell ref="D12:E12"/>
    <mergeCell ref="F12:G12"/>
    <mergeCell ref="H12:I12"/>
    <mergeCell ref="B6:C6"/>
    <mergeCell ref="D6:E6"/>
    <mergeCell ref="F6:I7"/>
    <mergeCell ref="B7:C7"/>
    <mergeCell ref="D7:E7"/>
    <mergeCell ref="B8:I8"/>
    <mergeCell ref="B4:C4"/>
    <mergeCell ref="D4:E4"/>
    <mergeCell ref="F4:G5"/>
    <mergeCell ref="H4:I5"/>
    <mergeCell ref="B5:C5"/>
    <mergeCell ref="D5:E5"/>
    <mergeCell ref="B1:G1"/>
    <mergeCell ref="H1:I1"/>
    <mergeCell ref="B2:I2"/>
    <mergeCell ref="B3:C3"/>
    <mergeCell ref="D3:E3"/>
    <mergeCell ref="F3:G3"/>
    <mergeCell ref="H3:I3"/>
  </mergeCells>
  <pageMargins left="0.23622047244094491" right="0.23622047244094491" top="0.74803149606299213" bottom="0.74803149606299213" header="0.31496062992125984" footer="0.31496062992125984"/>
  <pageSetup paperSize="9" scale="9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F456E-91BB-46B9-A144-1E0A09CAC3C4}">
  <dimension ref="B1:L18"/>
  <sheetViews>
    <sheetView topLeftCell="A3" zoomScale="130" workbookViewId="0">
      <selection activeCell="H10" sqref="H10"/>
    </sheetView>
  </sheetViews>
  <sheetFormatPr defaultRowHeight="14.4" x14ac:dyDescent="0.3"/>
  <cols>
    <col min="1" max="1" width="2.109375" style="4" customWidth="1"/>
    <col min="2" max="2" width="14.77734375" style="4" customWidth="1"/>
    <col min="3" max="3" width="22.6640625" style="4" bestFit="1" customWidth="1"/>
    <col min="4" max="4" width="8.88671875" style="4"/>
    <col min="5" max="5" width="6.109375" style="4" customWidth="1"/>
    <col min="6" max="6" width="7.109375" style="4" customWidth="1"/>
    <col min="7" max="7" width="25" style="4" customWidth="1"/>
    <col min="8" max="8" width="11.44140625" style="4" customWidth="1"/>
    <col min="9" max="9" width="8.88671875" style="4"/>
    <col min="10" max="10" width="2.77734375" style="4" customWidth="1"/>
    <col min="11" max="11" width="16.44140625" style="4" bestFit="1" customWidth="1"/>
    <col min="12" max="16384" width="8.88671875" style="4"/>
  </cols>
  <sheetData>
    <row r="1" spans="2:12" ht="15" thickBot="1" x14ac:dyDescent="0.35"/>
    <row r="2" spans="2:12" x14ac:dyDescent="0.3">
      <c r="C2" s="29" t="s">
        <v>46</v>
      </c>
      <c r="D2" s="30"/>
      <c r="E2" s="30"/>
      <c r="F2" s="30"/>
      <c r="G2" s="30"/>
      <c r="H2" s="30"/>
      <c r="I2" s="30"/>
      <c r="J2" s="30"/>
      <c r="K2" s="30"/>
      <c r="L2" s="31"/>
    </row>
    <row r="3" spans="2:12" x14ac:dyDescent="0.3">
      <c r="C3" s="5" t="s">
        <v>0</v>
      </c>
      <c r="G3" s="6" t="s">
        <v>47</v>
      </c>
      <c r="K3" s="6" t="s">
        <v>1</v>
      </c>
      <c r="L3" s="7"/>
    </row>
    <row r="4" spans="2:12" x14ac:dyDescent="0.3">
      <c r="C4" s="8" t="s">
        <v>48</v>
      </c>
      <c r="D4" s="9">
        <v>8000</v>
      </c>
      <c r="G4" s="10" t="s">
        <v>2</v>
      </c>
      <c r="H4" s="11">
        <f>D15*E15/D4</f>
        <v>60.781249999999993</v>
      </c>
      <c r="I4" s="12">
        <f t="shared" ref="I4:I14" si="0">H4/$H$14</f>
        <v>0.13898019264298167</v>
      </c>
      <c r="K4" s="9" t="s">
        <v>3</v>
      </c>
      <c r="L4" s="13">
        <v>1</v>
      </c>
    </row>
    <row r="5" spans="2:12" x14ac:dyDescent="0.3">
      <c r="C5" s="8" t="s">
        <v>49</v>
      </c>
      <c r="D5" s="9">
        <v>20</v>
      </c>
      <c r="G5" s="10" t="s">
        <v>50</v>
      </c>
      <c r="H5" s="11">
        <f>D15*E16/D4</f>
        <v>12.156249999999998</v>
      </c>
      <c r="I5" s="12">
        <f t="shared" si="0"/>
        <v>2.7796038528596332E-2</v>
      </c>
      <c r="K5" s="10" t="s">
        <v>5</v>
      </c>
      <c r="L5" s="14">
        <f>D4*(H14-H10)</f>
        <v>3338700</v>
      </c>
    </row>
    <row r="6" spans="2:12" x14ac:dyDescent="0.3">
      <c r="C6" s="15" t="s">
        <v>51</v>
      </c>
      <c r="D6" s="11">
        <f>30/D5</f>
        <v>1.5</v>
      </c>
      <c r="G6" s="10" t="s">
        <v>4</v>
      </c>
      <c r="H6" s="11">
        <f>D16/D4</f>
        <v>104</v>
      </c>
      <c r="I6" s="12">
        <f t="shared" si="0"/>
        <v>0.23780261239889103</v>
      </c>
      <c r="K6" s="10" t="s">
        <v>7</v>
      </c>
      <c r="L6" s="14">
        <f>L5*12</f>
        <v>40064400</v>
      </c>
    </row>
    <row r="7" spans="2:12" x14ac:dyDescent="0.3">
      <c r="C7" s="8" t="s">
        <v>8</v>
      </c>
      <c r="D7" s="16">
        <v>0.2</v>
      </c>
      <c r="F7" s="9">
        <v>38</v>
      </c>
      <c r="G7" s="10" t="s">
        <v>6</v>
      </c>
      <c r="H7" s="11">
        <f>D8*F7/D4</f>
        <v>30.399999999999995</v>
      </c>
      <c r="I7" s="12">
        <f t="shared" si="0"/>
        <v>6.951153285506044E-2</v>
      </c>
      <c r="K7" s="10" t="s">
        <v>10</v>
      </c>
      <c r="L7" s="14">
        <f>L5*L4</f>
        <v>3338700</v>
      </c>
    </row>
    <row r="8" spans="2:12" x14ac:dyDescent="0.3">
      <c r="C8" s="8" t="s">
        <v>11</v>
      </c>
      <c r="D8" s="17">
        <f>D4/D6*(1+D7)</f>
        <v>6399.9999999999991</v>
      </c>
      <c r="E8" s="9">
        <v>1500</v>
      </c>
      <c r="G8" s="10" t="s">
        <v>9</v>
      </c>
      <c r="H8" s="10">
        <v>10</v>
      </c>
      <c r="I8" s="12">
        <f t="shared" si="0"/>
        <v>2.2865635807585674E-2</v>
      </c>
      <c r="L8" s="7"/>
    </row>
    <row r="9" spans="2:12" x14ac:dyDescent="0.3">
      <c r="B9" s="18"/>
      <c r="C9" s="8" t="s">
        <v>12</v>
      </c>
      <c r="D9" s="9">
        <f>9*4</f>
        <v>36</v>
      </c>
      <c r="E9" s="9">
        <v>20000</v>
      </c>
      <c r="G9" s="9" t="s">
        <v>52</v>
      </c>
      <c r="H9" s="17">
        <v>0</v>
      </c>
      <c r="I9" s="12">
        <f t="shared" si="0"/>
        <v>0</v>
      </c>
      <c r="L9" s="7"/>
    </row>
    <row r="10" spans="2:12" x14ac:dyDescent="0.3">
      <c r="C10" s="8" t="s">
        <v>53</v>
      </c>
      <c r="D10" s="19">
        <v>0</v>
      </c>
      <c r="E10" s="9">
        <v>18000</v>
      </c>
      <c r="G10" s="9" t="s">
        <v>13</v>
      </c>
      <c r="H10" s="9">
        <v>20</v>
      </c>
      <c r="I10" s="12">
        <f t="shared" si="0"/>
        <v>4.5731271615171348E-2</v>
      </c>
      <c r="L10" s="7"/>
    </row>
    <row r="11" spans="2:12" x14ac:dyDescent="0.3">
      <c r="C11" s="8" t="s">
        <v>15</v>
      </c>
      <c r="D11" s="19">
        <v>4</v>
      </c>
      <c r="E11" s="9">
        <v>18000</v>
      </c>
      <c r="G11" s="9" t="s">
        <v>14</v>
      </c>
      <c r="H11" s="9">
        <v>100</v>
      </c>
      <c r="I11" s="12">
        <f t="shared" si="0"/>
        <v>0.22865635807585677</v>
      </c>
      <c r="L11" s="7"/>
    </row>
    <row r="12" spans="2:12" x14ac:dyDescent="0.3">
      <c r="C12" s="8" t="s">
        <v>16</v>
      </c>
      <c r="D12" s="19">
        <v>1</v>
      </c>
      <c r="E12" s="9">
        <v>40000</v>
      </c>
      <c r="G12" s="9" t="s">
        <v>54</v>
      </c>
      <c r="H12" s="9">
        <v>0</v>
      </c>
      <c r="I12" s="12">
        <f t="shared" si="0"/>
        <v>0</v>
      </c>
      <c r="L12" s="7"/>
    </row>
    <row r="13" spans="2:12" x14ac:dyDescent="0.3">
      <c r="C13" s="8" t="s">
        <v>18</v>
      </c>
      <c r="D13" s="9">
        <v>0</v>
      </c>
      <c r="E13" s="9">
        <v>40000</v>
      </c>
      <c r="G13" s="20" t="s">
        <v>17</v>
      </c>
      <c r="H13" s="20">
        <v>100</v>
      </c>
      <c r="I13" s="12">
        <f t="shared" si="0"/>
        <v>0.22865635807585677</v>
      </c>
      <c r="L13" s="7"/>
    </row>
    <row r="14" spans="2:12" x14ac:dyDescent="0.3">
      <c r="C14" s="21" t="s">
        <v>20</v>
      </c>
      <c r="D14" s="22">
        <f>SUM(D10:D13)</f>
        <v>5</v>
      </c>
      <c r="E14" s="9">
        <v>25000</v>
      </c>
      <c r="G14" s="10" t="s">
        <v>19</v>
      </c>
      <c r="H14" s="23">
        <f>SUM(H4:H13)</f>
        <v>437.33749999999998</v>
      </c>
      <c r="I14" s="12">
        <f t="shared" si="0"/>
        <v>1</v>
      </c>
      <c r="L14" s="7"/>
    </row>
    <row r="15" spans="2:12" x14ac:dyDescent="0.3">
      <c r="C15" s="15" t="s">
        <v>55</v>
      </c>
      <c r="D15" s="10">
        <f>D8*E8+D14*E14</f>
        <v>9724999.9999999981</v>
      </c>
      <c r="E15" s="16">
        <v>0.05</v>
      </c>
      <c r="F15" s="4" t="s">
        <v>24</v>
      </c>
      <c r="G15" s="24" t="s">
        <v>17</v>
      </c>
      <c r="H15" s="10">
        <f>H13*D4</f>
        <v>800000</v>
      </c>
      <c r="I15" s="12"/>
      <c r="L15" s="7"/>
    </row>
    <row r="16" spans="2:12" x14ac:dyDescent="0.3">
      <c r="C16" s="15" t="s">
        <v>22</v>
      </c>
      <c r="D16" s="10">
        <f>SUMPRODUCT(D9:D13,E9:E13)</f>
        <v>832000</v>
      </c>
      <c r="E16" s="16">
        <v>0.01</v>
      </c>
      <c r="F16" s="4" t="s">
        <v>56</v>
      </c>
      <c r="G16" s="10" t="s">
        <v>21</v>
      </c>
      <c r="H16" s="10">
        <f>(H12+H13)*D4</f>
        <v>800000</v>
      </c>
      <c r="L16" s="7"/>
    </row>
    <row r="17" spans="3:12" x14ac:dyDescent="0.3">
      <c r="C17" s="25"/>
      <c r="G17" s="10" t="s">
        <v>23</v>
      </c>
      <c r="H17" s="11">
        <f>D15/(H16+H4*D4)</f>
        <v>7.5607385811467429</v>
      </c>
      <c r="L17" s="7"/>
    </row>
    <row r="18" spans="3:12" ht="15" thickBot="1" x14ac:dyDescent="0.35">
      <c r="C18" s="26"/>
      <c r="D18" s="27"/>
      <c r="E18" s="27"/>
      <c r="F18" s="27"/>
      <c r="G18" s="27"/>
      <c r="H18" s="27"/>
      <c r="I18" s="27"/>
      <c r="J18" s="27"/>
      <c r="K18" s="27"/>
      <c r="L18" s="28"/>
    </row>
  </sheetData>
  <mergeCells count="1">
    <mergeCell ref="C2:L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5E74E-1232-4649-8691-A3D7E20B89FA}">
  <dimension ref="B2:C9"/>
  <sheetViews>
    <sheetView zoomScale="190" zoomScaleNormal="190" workbookViewId="0">
      <selection activeCell="B3" sqref="B3"/>
    </sheetView>
  </sheetViews>
  <sheetFormatPr defaultRowHeight="14.4" x14ac:dyDescent="0.3"/>
  <cols>
    <col min="1" max="16384" width="8.88671875" style="2"/>
  </cols>
  <sheetData>
    <row r="2" spans="2:3" x14ac:dyDescent="0.3">
      <c r="B2" s="2" t="s">
        <v>34</v>
      </c>
    </row>
    <row r="3" spans="2:3" x14ac:dyDescent="0.3">
      <c r="B3" s="3" t="s">
        <v>35</v>
      </c>
    </row>
    <row r="5" spans="2:3" x14ac:dyDescent="0.3">
      <c r="B5" s="2" t="s">
        <v>36</v>
      </c>
      <c r="C5" s="2" t="s">
        <v>37</v>
      </c>
    </row>
    <row r="6" spans="2:3" x14ac:dyDescent="0.3">
      <c r="B6" s="2" t="s">
        <v>38</v>
      </c>
      <c r="C6" s="2" t="s">
        <v>39</v>
      </c>
    </row>
    <row r="7" spans="2:3" x14ac:dyDescent="0.3">
      <c r="B7" s="2" t="s">
        <v>40</v>
      </c>
      <c r="C7" s="2" t="s">
        <v>41</v>
      </c>
    </row>
    <row r="8" spans="2:3" x14ac:dyDescent="0.3">
      <c r="B8" s="2" t="s">
        <v>42</v>
      </c>
      <c r="C8" s="2" t="s">
        <v>43</v>
      </c>
    </row>
    <row r="9" spans="2:3" x14ac:dyDescent="0.3">
      <c r="B9" s="2" t="s">
        <v>44</v>
      </c>
      <c r="C9" s="2"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73761-8447-4C7D-A9F4-44F8F1A3B39B}">
  <dimension ref="G8:K14"/>
  <sheetViews>
    <sheetView workbookViewId="0">
      <selection activeCell="M14" sqref="M14"/>
    </sheetView>
  </sheetViews>
  <sheetFormatPr defaultRowHeight="14.4" x14ac:dyDescent="0.3"/>
  <cols>
    <col min="6" max="6" width="8.77734375" customWidth="1"/>
    <col min="7" max="7" width="2.21875" hidden="1" customWidth="1"/>
    <col min="8" max="8" width="23.44140625" customWidth="1"/>
    <col min="9" max="9" width="14.109375" customWidth="1"/>
    <col min="10" max="10" width="15.21875" bestFit="1" customWidth="1"/>
    <col min="11" max="11" width="17.88671875" customWidth="1"/>
  </cols>
  <sheetData>
    <row r="8" spans="8:11" x14ac:dyDescent="0.3">
      <c r="H8" s="1" t="s">
        <v>32</v>
      </c>
      <c r="I8" s="1" t="s">
        <v>25</v>
      </c>
      <c r="J8" s="1" t="s">
        <v>29</v>
      </c>
      <c r="K8" s="1" t="s">
        <v>26</v>
      </c>
    </row>
    <row r="9" spans="8:11" x14ac:dyDescent="0.3">
      <c r="H9" s="1" t="s">
        <v>30</v>
      </c>
      <c r="I9">
        <v>31700</v>
      </c>
      <c r="J9">
        <v>600</v>
      </c>
      <c r="K9">
        <v>2100</v>
      </c>
    </row>
    <row r="10" spans="8:11" x14ac:dyDescent="0.3">
      <c r="H10" s="1" t="s">
        <v>31</v>
      </c>
      <c r="I10">
        <v>42300</v>
      </c>
      <c r="J10">
        <v>650</v>
      </c>
      <c r="K10">
        <v>2600</v>
      </c>
    </row>
    <row r="11" spans="8:11" x14ac:dyDescent="0.3">
      <c r="H11" s="1" t="s">
        <v>27</v>
      </c>
      <c r="K11">
        <v>900</v>
      </c>
    </row>
    <row r="12" spans="8:11" x14ac:dyDescent="0.3">
      <c r="H12" s="1" t="s">
        <v>28</v>
      </c>
      <c r="K12">
        <v>1250</v>
      </c>
    </row>
    <row r="14" spans="8:11" x14ac:dyDescent="0.3">
      <c r="H14" s="32" t="s">
        <v>33</v>
      </c>
      <c r="I14" s="32"/>
      <c r="J14" s="32"/>
      <c r="K14" s="32"/>
    </row>
  </sheetData>
  <mergeCells count="1">
    <mergeCell ref="H14:K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Quotation</vt:lpstr>
      <vt:lpstr>Estimation</vt:lpstr>
      <vt:lpstr>Quote Nomeclature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DILIP</dc:creator>
  <cp:lastModifiedBy>DELL</cp:lastModifiedBy>
  <cp:lastPrinted>2025-01-17T12:42:59Z</cp:lastPrinted>
  <dcterms:created xsi:type="dcterms:W3CDTF">2020-09-10T12:28:26Z</dcterms:created>
  <dcterms:modified xsi:type="dcterms:W3CDTF">2025-03-11T13:35:26Z</dcterms:modified>
</cp:coreProperties>
</file>