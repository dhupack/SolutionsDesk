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Proposals\Ashok Leyland\Bharat\"/>
    </mc:Choice>
  </mc:AlternateContent>
  <xr:revisionPtr revIDLastSave="0" documentId="13_ncr:1_{C7E52AFD-392F-4EFE-8457-64B7F7C842D1}" xr6:coauthVersionLast="47" xr6:coauthVersionMax="47" xr10:uidLastSave="{00000000-0000-0000-0000-000000000000}"/>
  <bookViews>
    <workbookView xWindow="-110" yWindow="-110" windowWidth="19420" windowHeight="10300" tabRatio="757" xr2:uid="{49B73D68-D680-4076-B8B3-1D5CB70C91AA}"/>
  </bookViews>
  <sheets>
    <sheet name="Quotation with formula" sheetId="51" r:id="rId1"/>
    <sheet name="Quote Nomeclature" sheetId="25" r:id="rId2"/>
    <sheet name="Commercials 1 - RFID+ANPR" sheetId="46" r:id="rId3"/>
    <sheet name="Commercials 2 - RFID" sheetId="52" r:id="rId4"/>
    <sheet name="Manpower-PM Cost" sheetId="27" r:id="rId5"/>
    <sheet name="Total Hardware" sheetId="18" r:id="rId6"/>
    <sheet name="BOQ" sheetId="1" r:id="rId7"/>
    <sheet name="Master" sheetId="2" r:id="rId8"/>
  </sheets>
  <definedNames>
    <definedName name="_xlnm._FilterDatabase" localSheetId="6" hidden="1">BOQ!$A$3:$I$36</definedName>
    <definedName name="_xlnm.Print_Area" localSheetId="0">'Quotation with formula'!$A$1:$I$26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46" l="1"/>
  <c r="G22" i="52"/>
  <c r="J22" i="52" s="1"/>
  <c r="L20" i="51"/>
  <c r="L21" i="51"/>
  <c r="C6" i="18"/>
  <c r="G6" i="18" s="1"/>
  <c r="L34" i="1"/>
  <c r="M34" i="1" s="1"/>
  <c r="G34" i="1"/>
  <c r="H34" i="1" s="1"/>
  <c r="E34" i="1"/>
  <c r="L30" i="1"/>
  <c r="M30" i="1" s="1"/>
  <c r="G30" i="1"/>
  <c r="H30" i="1" s="1"/>
  <c r="E30" i="1"/>
  <c r="L26" i="1"/>
  <c r="M26" i="1" s="1"/>
  <c r="G26" i="1"/>
  <c r="H26" i="1" s="1"/>
  <c r="E26" i="1"/>
  <c r="L22" i="1"/>
  <c r="M22" i="1" s="1"/>
  <c r="G22" i="1"/>
  <c r="H22" i="1" s="1"/>
  <c r="E22" i="1"/>
  <c r="L18" i="1"/>
  <c r="M18" i="1" s="1"/>
  <c r="G18" i="1"/>
  <c r="H18" i="1" s="1"/>
  <c r="E18" i="1"/>
  <c r="L14" i="1"/>
  <c r="M14" i="1" s="1"/>
  <c r="G14" i="1"/>
  <c r="H14" i="1" s="1"/>
  <c r="E14" i="1"/>
  <c r="L10" i="1"/>
  <c r="M10" i="1" s="1"/>
  <c r="G10" i="1"/>
  <c r="H10" i="1" s="1"/>
  <c r="E10" i="1"/>
  <c r="L6" i="1"/>
  <c r="M6" i="1" s="1"/>
  <c r="G6" i="1"/>
  <c r="H6" i="1" s="1"/>
  <c r="E6" i="1"/>
  <c r="H8" i="27"/>
  <c r="I25" i="52"/>
  <c r="H25" i="52"/>
  <c r="I20" i="52"/>
  <c r="G17" i="52"/>
  <c r="L17" i="52" s="1"/>
  <c r="G16" i="52"/>
  <c r="L16" i="52" s="1"/>
  <c r="V23" i="27"/>
  <c r="U8" i="27"/>
  <c r="G16" i="46"/>
  <c r="J24" i="27"/>
  <c r="J23" i="27"/>
  <c r="I8" i="27"/>
  <c r="H7" i="27"/>
  <c r="F22" i="27"/>
  <c r="H22" i="27"/>
  <c r="L8" i="18"/>
  <c r="G5" i="1"/>
  <c r="L35" i="1"/>
  <c r="M35" i="1" s="1"/>
  <c r="L33" i="1"/>
  <c r="M33" i="1" s="1"/>
  <c r="L32" i="1"/>
  <c r="M32" i="1" s="1"/>
  <c r="L31" i="1"/>
  <c r="M31" i="1" s="1"/>
  <c r="L29" i="1"/>
  <c r="M29" i="1" s="1"/>
  <c r="L28" i="1"/>
  <c r="M28" i="1" s="1"/>
  <c r="L27" i="1"/>
  <c r="M27" i="1" s="1"/>
  <c r="L25" i="1"/>
  <c r="M25" i="1" s="1"/>
  <c r="L24" i="1"/>
  <c r="M24" i="1" s="1"/>
  <c r="L23" i="1"/>
  <c r="M23" i="1" s="1"/>
  <c r="L21" i="1"/>
  <c r="M21" i="1" s="1"/>
  <c r="L20" i="1"/>
  <c r="M20" i="1" s="1"/>
  <c r="L19" i="1"/>
  <c r="M19" i="1" s="1"/>
  <c r="L17" i="1"/>
  <c r="M17" i="1" s="1"/>
  <c r="L16" i="1"/>
  <c r="M16" i="1" s="1"/>
  <c r="L15" i="1"/>
  <c r="M15" i="1" s="1"/>
  <c r="L13" i="1"/>
  <c r="M13" i="1" s="1"/>
  <c r="L12" i="1"/>
  <c r="M12" i="1" s="1"/>
  <c r="L11" i="1"/>
  <c r="M11" i="1" s="1"/>
  <c r="L9" i="1"/>
  <c r="M9" i="1" s="1"/>
  <c r="L8" i="1"/>
  <c r="M8" i="1" s="1"/>
  <c r="L7" i="1"/>
  <c r="M7" i="1" s="1"/>
  <c r="L5" i="1"/>
  <c r="M5" i="1" s="1"/>
  <c r="L4" i="1"/>
  <c r="M4" i="1" s="1"/>
  <c r="G7" i="1"/>
  <c r="G8" i="1"/>
  <c r="G9" i="1"/>
  <c r="G11" i="1"/>
  <c r="G12" i="1"/>
  <c r="G13" i="1"/>
  <c r="G15" i="1"/>
  <c r="G16" i="1"/>
  <c r="G17" i="1"/>
  <c r="G19" i="1"/>
  <c r="G20" i="1"/>
  <c r="G21" i="1"/>
  <c r="G23" i="1"/>
  <c r="G24" i="1"/>
  <c r="G25" i="1"/>
  <c r="G27" i="1"/>
  <c r="G28" i="1"/>
  <c r="G29" i="1"/>
  <c r="G31" i="1"/>
  <c r="G32" i="1"/>
  <c r="H32" i="1" s="1"/>
  <c r="G33" i="1"/>
  <c r="G35" i="1"/>
  <c r="G4" i="1"/>
  <c r="E5" i="1"/>
  <c r="E7" i="1"/>
  <c r="E8" i="1"/>
  <c r="E9" i="1"/>
  <c r="E11" i="1"/>
  <c r="E12" i="1"/>
  <c r="E13" i="1"/>
  <c r="E15" i="1"/>
  <c r="E16" i="1"/>
  <c r="E17" i="1"/>
  <c r="E19" i="1"/>
  <c r="E20" i="1"/>
  <c r="E21" i="1"/>
  <c r="E23" i="1"/>
  <c r="E24" i="1"/>
  <c r="E25" i="1"/>
  <c r="E27" i="1"/>
  <c r="E28" i="1"/>
  <c r="E29" i="1"/>
  <c r="E31" i="1"/>
  <c r="E32" i="1"/>
  <c r="E33" i="1"/>
  <c r="E35" i="1"/>
  <c r="E4" i="1"/>
  <c r="J17" i="52" l="1"/>
  <c r="M17" i="52" s="1"/>
  <c r="N17" i="52" s="1"/>
  <c r="O17" i="52" s="1"/>
  <c r="M6" i="18"/>
  <c r="J6" i="18"/>
  <c r="K6" i="18" s="1"/>
  <c r="I34" i="1"/>
  <c r="N34" i="1"/>
  <c r="N30" i="1"/>
  <c r="I30" i="1"/>
  <c r="N26" i="1"/>
  <c r="I26" i="1"/>
  <c r="I22" i="1"/>
  <c r="N22" i="1"/>
  <c r="I18" i="1"/>
  <c r="I10" i="1"/>
  <c r="N10" i="1"/>
  <c r="N18" i="1"/>
  <c r="I6" i="1"/>
  <c r="N14" i="1"/>
  <c r="N6" i="1"/>
  <c r="I14" i="1"/>
  <c r="N17" i="1"/>
  <c r="N25" i="1"/>
  <c r="N27" i="1"/>
  <c r="J4" i="18"/>
  <c r="O4" i="18" s="1"/>
  <c r="J7" i="18"/>
  <c r="O7" i="18" s="1"/>
  <c r="N16" i="1"/>
  <c r="N32" i="1"/>
  <c r="N9" i="1"/>
  <c r="J5" i="18"/>
  <c r="O5" i="18" s="1"/>
  <c r="J23" i="52"/>
  <c r="M22" i="52"/>
  <c r="L22" i="52"/>
  <c r="L23" i="52" s="1"/>
  <c r="J16" i="52"/>
  <c r="M16" i="52" s="1"/>
  <c r="N16" i="52" s="1"/>
  <c r="O16" i="52" s="1"/>
  <c r="N4" i="1"/>
  <c r="N20" i="1"/>
  <c r="I32" i="1"/>
  <c r="N12" i="1"/>
  <c r="N28" i="1"/>
  <c r="N13" i="1"/>
  <c r="N29" i="1"/>
  <c r="N15" i="1"/>
  <c r="N31" i="1"/>
  <c r="N19" i="1"/>
  <c r="N7" i="1"/>
  <c r="N8" i="1"/>
  <c r="N35" i="1"/>
  <c r="N23" i="1"/>
  <c r="N5" i="1"/>
  <c r="N33" i="1"/>
  <c r="N21" i="1"/>
  <c r="N11" i="1"/>
  <c r="N24" i="1"/>
  <c r="M36" i="1"/>
  <c r="H35" i="1"/>
  <c r="H33" i="1"/>
  <c r="H31" i="1"/>
  <c r="H29" i="1"/>
  <c r="H28" i="1"/>
  <c r="H27" i="1"/>
  <c r="H25" i="1"/>
  <c r="H24" i="1"/>
  <c r="H23" i="1"/>
  <c r="H21" i="1"/>
  <c r="H20" i="1"/>
  <c r="H9" i="1"/>
  <c r="H7" i="1"/>
  <c r="H5" i="1"/>
  <c r="C5" i="18"/>
  <c r="I20" i="46"/>
  <c r="I25" i="46"/>
  <c r="H25" i="46"/>
  <c r="G17" i="46"/>
  <c r="L17" i="46" s="1"/>
  <c r="L22" i="46"/>
  <c r="J22" i="51" s="1"/>
  <c r="K22" i="51" s="1"/>
  <c r="I22" i="51" s="1"/>
  <c r="U7" i="27"/>
  <c r="U9" i="27" s="1"/>
  <c r="L22" i="51" l="1"/>
  <c r="O6" i="18"/>
  <c r="O8" i="18" s="1"/>
  <c r="N6" i="18"/>
  <c r="O16" i="1"/>
  <c r="O32" i="1"/>
  <c r="O24" i="1"/>
  <c r="G5" i="18"/>
  <c r="M5" i="18"/>
  <c r="J8" i="18"/>
  <c r="K5" i="18"/>
  <c r="N5" i="18" s="1"/>
  <c r="M23" i="52"/>
  <c r="N22" i="52"/>
  <c r="O4" i="1"/>
  <c r="O28" i="1"/>
  <c r="O12" i="1"/>
  <c r="O20" i="1"/>
  <c r="O8" i="1"/>
  <c r="N36" i="1"/>
  <c r="J11" i="52" s="1"/>
  <c r="M11" i="52" s="1"/>
  <c r="P11" i="52" s="1"/>
  <c r="I9" i="1"/>
  <c r="I25" i="1"/>
  <c r="I35" i="1"/>
  <c r="I20" i="1"/>
  <c r="I21" i="1"/>
  <c r="I24" i="1"/>
  <c r="I27" i="1"/>
  <c r="I29" i="1"/>
  <c r="I33" i="1"/>
  <c r="I28" i="1"/>
  <c r="I31" i="1"/>
  <c r="I23" i="1"/>
  <c r="I7" i="1"/>
  <c r="I5" i="1"/>
  <c r="J22" i="46"/>
  <c r="J17" i="46"/>
  <c r="H8" i="1"/>
  <c r="H11" i="1"/>
  <c r="H12" i="1"/>
  <c r="H13" i="1"/>
  <c r="H15" i="1"/>
  <c r="H16" i="1"/>
  <c r="H17" i="1"/>
  <c r="H19" i="1"/>
  <c r="N11" i="52" l="1"/>
  <c r="O11" i="52" s="1"/>
  <c r="O36" i="1"/>
  <c r="N23" i="52"/>
  <c r="O23" i="52" s="1"/>
  <c r="O22" i="52"/>
  <c r="J28" i="1"/>
  <c r="J32" i="1"/>
  <c r="J24" i="1"/>
  <c r="J20" i="1"/>
  <c r="H4" i="1"/>
  <c r="H36" i="1" s="1"/>
  <c r="M17" i="46" l="1"/>
  <c r="I21" i="51" s="1"/>
  <c r="N17" i="46" l="1"/>
  <c r="M22" i="46"/>
  <c r="J23" i="46"/>
  <c r="N22" i="46" l="1"/>
  <c r="O17" i="46"/>
  <c r="M23" i="46"/>
  <c r="L23" i="46"/>
  <c r="C7" i="18"/>
  <c r="C4" i="18"/>
  <c r="F8" i="18"/>
  <c r="M4" i="18" l="1"/>
  <c r="K4" i="18"/>
  <c r="M7" i="18"/>
  <c r="K7" i="18"/>
  <c r="O22" i="46"/>
  <c r="N23" i="46"/>
  <c r="O23" i="46" s="1"/>
  <c r="G4" i="18"/>
  <c r="G7" i="18"/>
  <c r="N7" i="18" l="1"/>
  <c r="K8" i="18"/>
  <c r="G11" i="52" s="1"/>
  <c r="N4" i="18"/>
  <c r="M8" i="18"/>
  <c r="G8" i="18"/>
  <c r="N8" i="18" l="1"/>
  <c r="I7" i="27"/>
  <c r="I9" i="27" s="1"/>
  <c r="V22" i="27"/>
  <c r="V24" i="27" s="1"/>
  <c r="G20" i="52" s="1"/>
  <c r="J22" i="27"/>
  <c r="E9" i="27"/>
  <c r="Q9" i="27"/>
  <c r="G15" i="52" l="1"/>
  <c r="G15" i="46"/>
  <c r="L20" i="52"/>
  <c r="L21" i="52" s="1"/>
  <c r="L24" i="52" s="1"/>
  <c r="J20" i="52"/>
  <c r="L16" i="46"/>
  <c r="J16" i="46"/>
  <c r="M16" i="46" s="1"/>
  <c r="N16" i="46" s="1"/>
  <c r="O16" i="46" s="1"/>
  <c r="I4" i="1"/>
  <c r="I12" i="1"/>
  <c r="I13" i="1"/>
  <c r="I15" i="1"/>
  <c r="I16" i="1"/>
  <c r="I19" i="1"/>
  <c r="I11" i="1"/>
  <c r="I8" i="1"/>
  <c r="I17" i="1"/>
  <c r="J4" i="1" l="1"/>
  <c r="D6" i="18"/>
  <c r="L15" i="52"/>
  <c r="L18" i="52" s="1"/>
  <c r="L19" i="52" s="1"/>
  <c r="J15" i="52"/>
  <c r="J21" i="52"/>
  <c r="J24" i="52" s="1"/>
  <c r="M20" i="52"/>
  <c r="J12" i="1"/>
  <c r="J16" i="1"/>
  <c r="J8" i="1"/>
  <c r="I6" i="18" l="1"/>
  <c r="E6" i="18"/>
  <c r="H6" i="18" s="1"/>
  <c r="J36" i="1"/>
  <c r="M15" i="52"/>
  <c r="J18" i="52"/>
  <c r="M21" i="52"/>
  <c r="M24" i="52" s="1"/>
  <c r="N20" i="52"/>
  <c r="D5" i="18"/>
  <c r="E5" i="18" s="1"/>
  <c r="H5" i="18" s="1"/>
  <c r="D4" i="18"/>
  <c r="D7" i="18"/>
  <c r="G11" i="46" l="1"/>
  <c r="G12" i="46" s="1"/>
  <c r="L12" i="46" s="1"/>
  <c r="G12" i="52"/>
  <c r="L11" i="52"/>
  <c r="G25" i="52"/>
  <c r="M18" i="52"/>
  <c r="N15" i="52"/>
  <c r="O20" i="52"/>
  <c r="N21" i="52"/>
  <c r="I5" i="18"/>
  <c r="J12" i="46" l="1"/>
  <c r="M12" i="46" s="1"/>
  <c r="G25" i="46"/>
  <c r="L25" i="46" s="1"/>
  <c r="L26" i="46" s="1"/>
  <c r="L11" i="46"/>
  <c r="J11" i="46"/>
  <c r="M11" i="46" s="1"/>
  <c r="P11" i="46" s="1"/>
  <c r="L12" i="52"/>
  <c r="J12" i="52"/>
  <c r="L25" i="52"/>
  <c r="L26" i="52" s="1"/>
  <c r="J25" i="52"/>
  <c r="N18" i="52"/>
  <c r="O15" i="52"/>
  <c r="N24" i="52"/>
  <c r="O21" i="52"/>
  <c r="G15" i="27"/>
  <c r="G14" i="27"/>
  <c r="G13" i="27"/>
  <c r="N11" i="46" l="1"/>
  <c r="O11" i="46" s="1"/>
  <c r="J25" i="46"/>
  <c r="J26" i="46" s="1"/>
  <c r="M12" i="52"/>
  <c r="J13" i="52"/>
  <c r="J14" i="52" s="1"/>
  <c r="J19" i="52" s="1"/>
  <c r="J26" i="52"/>
  <c r="M25" i="52"/>
  <c r="O18" i="52"/>
  <c r="O24" i="52"/>
  <c r="G20" i="46"/>
  <c r="J20" i="46" s="1"/>
  <c r="G16" i="27"/>
  <c r="G17" i="27" s="1"/>
  <c r="G18" i="27" s="1"/>
  <c r="N25" i="52" l="1"/>
  <c r="M26" i="52"/>
  <c r="J27" i="52"/>
  <c r="N12" i="52"/>
  <c r="M13" i="52"/>
  <c r="M14" i="52" s="1"/>
  <c r="L15" i="46"/>
  <c r="J15" i="46"/>
  <c r="M15" i="46" s="1"/>
  <c r="L20" i="46"/>
  <c r="I19" i="51" l="1"/>
  <c r="L19" i="51" s="1"/>
  <c r="M19" i="52"/>
  <c r="M27" i="52" s="1"/>
  <c r="O12" i="52"/>
  <c r="N13" i="52"/>
  <c r="N26" i="52"/>
  <c r="O26" i="52" s="1"/>
  <c r="O25" i="52"/>
  <c r="L18" i="46"/>
  <c r="I20" i="51"/>
  <c r="N15" i="46"/>
  <c r="M18" i="46"/>
  <c r="J18" i="46"/>
  <c r="M20" i="46"/>
  <c r="J21" i="46"/>
  <c r="J24" i="46" s="1"/>
  <c r="N14" i="52" l="1"/>
  <c r="O13" i="52"/>
  <c r="O15" i="46"/>
  <c r="N18" i="46"/>
  <c r="O18" i="46" s="1"/>
  <c r="M21" i="46"/>
  <c r="M24" i="46" s="1"/>
  <c r="N20" i="46"/>
  <c r="L21" i="46"/>
  <c r="L24" i="46" s="1"/>
  <c r="O14" i="52" l="1"/>
  <c r="N19" i="52"/>
  <c r="O20" i="46"/>
  <c r="N21" i="46"/>
  <c r="O19" i="52" l="1"/>
  <c r="N27" i="52"/>
  <c r="O27" i="52" s="1"/>
  <c r="N24" i="46"/>
  <c r="O24" i="46" s="1"/>
  <c r="O21" i="46"/>
  <c r="I7" i="18"/>
  <c r="I36" i="1"/>
  <c r="E7" i="18" l="1"/>
  <c r="H7" i="18" s="1"/>
  <c r="I4" i="18"/>
  <c r="E4" i="18" l="1"/>
  <c r="H4" i="18" s="1"/>
  <c r="D8" i="18"/>
  <c r="H8" i="18" l="1"/>
  <c r="I8" i="18"/>
  <c r="E8" i="18"/>
  <c r="N12" i="46" l="1"/>
  <c r="O12" i="46" s="1"/>
  <c r="J13" i="46"/>
  <c r="M25" i="46"/>
  <c r="M26" i="46" s="1"/>
  <c r="J14" i="46" l="1"/>
  <c r="J19" i="46" s="1"/>
  <c r="J27" i="46" s="1"/>
  <c r="N13" i="46"/>
  <c r="N14" i="46" s="1"/>
  <c r="M13" i="46"/>
  <c r="I18" i="51" s="1"/>
  <c r="L19" i="46"/>
  <c r="N25" i="46"/>
  <c r="M14" i="46" l="1"/>
  <c r="M19" i="46" s="1"/>
  <c r="M27" i="46" s="1"/>
  <c r="O25" i="46"/>
  <c r="N26" i="46"/>
  <c r="O26" i="46" s="1"/>
  <c r="O13" i="46"/>
  <c r="N19" i="46" l="1"/>
  <c r="O14" i="46"/>
  <c r="N27" i="46" l="1"/>
  <c r="O27" i="46" s="1"/>
  <c r="O19" i="46"/>
</calcChain>
</file>

<file path=xl/sharedStrings.xml><?xml version="1.0" encoding="utf-8"?>
<sst xmlns="http://schemas.openxmlformats.org/spreadsheetml/2006/main" count="406" uniqueCount="172">
  <si>
    <t>Hardware</t>
  </si>
  <si>
    <t>Total</t>
  </si>
  <si>
    <t>RFID Reader</t>
  </si>
  <si>
    <t>Type of Manpower</t>
  </si>
  <si>
    <t>Travel Allowance</t>
  </si>
  <si>
    <t>Days per trip</t>
  </si>
  <si>
    <t>One Time</t>
  </si>
  <si>
    <t xml:space="preserve">Customer </t>
  </si>
  <si>
    <t xml:space="preserve">Date </t>
  </si>
  <si>
    <t>Stay Cost per Day</t>
  </si>
  <si>
    <t xml:space="preserve">Contract Year </t>
  </si>
  <si>
    <t>Total Hardware Cost</t>
  </si>
  <si>
    <t>Platform Subscription Fee</t>
  </si>
  <si>
    <t>AMC Cost</t>
  </si>
  <si>
    <t>Unit Price</t>
  </si>
  <si>
    <t>Count per shift</t>
  </si>
  <si>
    <t>Nos. of shifts</t>
  </si>
  <si>
    <t>Duration in Months</t>
  </si>
  <si>
    <t>One Time Cost</t>
  </si>
  <si>
    <t>Type</t>
  </si>
  <si>
    <t>Hardware Cost</t>
  </si>
  <si>
    <t>Per Year</t>
  </si>
  <si>
    <t>Items</t>
  </si>
  <si>
    <t>Details</t>
  </si>
  <si>
    <t>Unit Cost</t>
  </si>
  <si>
    <t>Annual Subscription fee</t>
  </si>
  <si>
    <t>Equipment</t>
  </si>
  <si>
    <t>Cost</t>
  </si>
  <si>
    <t>Sr. No.</t>
  </si>
  <si>
    <t>Total Installation, Setup &amp; API Development Cost</t>
  </si>
  <si>
    <t>Model</t>
  </si>
  <si>
    <t>Margin</t>
  </si>
  <si>
    <t>Count</t>
  </si>
  <si>
    <t>Location</t>
  </si>
  <si>
    <t>Quantity per Check Point</t>
  </si>
  <si>
    <t>ERP Integration</t>
  </si>
  <si>
    <t>Implementation Cost</t>
  </si>
  <si>
    <t>Hardware Transportation Cost</t>
  </si>
  <si>
    <t>Please update the BOQ sheet for other fields</t>
  </si>
  <si>
    <t>Travel Cost</t>
  </si>
  <si>
    <t>Subscription Fee</t>
  </si>
  <si>
    <t>AMC</t>
  </si>
  <si>
    <t>Quotation</t>
  </si>
  <si>
    <t>QUOTE #</t>
  </si>
  <si>
    <t>DATE</t>
  </si>
  <si>
    <t>CUSTOMER INFO</t>
  </si>
  <si>
    <t>DESCRIPTION OF WORK</t>
  </si>
  <si>
    <t>S.No.</t>
  </si>
  <si>
    <t>Terms &amp; Conditions</t>
  </si>
  <si>
    <t>Amount</t>
  </si>
  <si>
    <t>Spares</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</si>
  <si>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</si>
  <si>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GSTIN</t>
  </si>
  <si>
    <t>08AACCH0299P1Z1</t>
  </si>
  <si>
    <t>MSME No</t>
  </si>
  <si>
    <t>UDYAM-RJ-17-0051921</t>
  </si>
  <si>
    <t>Quote Validity : 15 days from submitted date</t>
  </si>
  <si>
    <t>Phone</t>
  </si>
  <si>
    <t>Email Id</t>
  </si>
  <si>
    <t>ABC/XY/YYMM##</t>
  </si>
  <si>
    <t>Quote no Format</t>
  </si>
  <si>
    <t xml:space="preserve">ABC </t>
  </si>
  <si>
    <t>Client name short Form like Hindalco Industries Limited will be HIL</t>
  </si>
  <si>
    <t>XY</t>
  </si>
  <si>
    <t xml:space="preserve">Axestrack Sales SPOC Intials </t>
  </si>
  <si>
    <t>YY</t>
  </si>
  <si>
    <t>Year</t>
  </si>
  <si>
    <t>MM</t>
  </si>
  <si>
    <t>Month</t>
  </si>
  <si>
    <t>##</t>
  </si>
  <si>
    <t>Quote send by Sales SPOC in that particular month, quote nos. should be start from 11</t>
  </si>
  <si>
    <t xml:space="preserve">AMC </t>
  </si>
  <si>
    <t>This is formula driven sheet. Only update the spares Count</t>
  </si>
  <si>
    <t xml:space="preserve">Total Cost of the Project Implementation &amp; Support + AMC </t>
  </si>
  <si>
    <t>Address</t>
  </si>
  <si>
    <t>Cost per Resource per month</t>
  </si>
  <si>
    <t>Current Equipments</t>
  </si>
  <si>
    <t>Productivity per resource</t>
  </si>
  <si>
    <t>Resources Required</t>
  </si>
  <si>
    <t>Planned Equipments</t>
  </si>
  <si>
    <t>Machines</t>
  </si>
  <si>
    <t>Gate Lanes</t>
  </si>
  <si>
    <t>Vehicles</t>
  </si>
  <si>
    <t>Onsite</t>
  </si>
  <si>
    <t>MIS</t>
  </si>
  <si>
    <t>Frequency
(Annually)</t>
  </si>
  <si>
    <t>Support Engineers</t>
  </si>
  <si>
    <t>`</t>
  </si>
  <si>
    <t>Contact Person</t>
  </si>
  <si>
    <t>Company Name</t>
  </si>
  <si>
    <t>Thanks for doing business with Axestrack Software Solution Pvt. Ltd.</t>
  </si>
  <si>
    <t>AT Controller</t>
  </si>
  <si>
    <t>ANPR Camera</t>
  </si>
  <si>
    <t>Project Management Cost</t>
  </si>
  <si>
    <t>Platform Fee</t>
  </si>
  <si>
    <t>Hardware AMC</t>
  </si>
  <si>
    <t>Offshore</t>
  </si>
  <si>
    <t>Frequency
(Till Go-live)</t>
  </si>
  <si>
    <t>Day Allowance</t>
  </si>
  <si>
    <t>Travel Cost (Till Go-Live)</t>
  </si>
  <si>
    <t>Boarding &amp; Lodging</t>
  </si>
  <si>
    <t>Project Support Manpower (Post Go-Live)</t>
  </si>
  <si>
    <t>Support &amp; Maintenance Manpower</t>
  </si>
  <si>
    <t>Support Manpower (Post Go-Live)</t>
  </si>
  <si>
    <t>Project Management Cost - Travel &amp; Lodging</t>
  </si>
  <si>
    <t>Annual Project Management Cost - Travel &amp; Lodging</t>
  </si>
  <si>
    <t>Project Manpower Cost</t>
  </si>
  <si>
    <t xml:space="preserve">Year </t>
  </si>
  <si>
    <t>Qty</t>
  </si>
  <si>
    <t>Total Quantity as per stage</t>
  </si>
  <si>
    <t>Check point</t>
  </si>
  <si>
    <t>Total Count</t>
  </si>
  <si>
    <t>Project Margin</t>
  </si>
  <si>
    <t xml:space="preserve">Implementation Cost </t>
  </si>
  <si>
    <t>Subscription Fee Post Go-Live</t>
  </si>
  <si>
    <t>Per Weighbridge Installation Cost</t>
  </si>
  <si>
    <t>Hardware Engineer</t>
  </si>
  <si>
    <t>Software Engineer</t>
  </si>
  <si>
    <t xml:space="preserve">Landed Cost to Axestrack </t>
  </si>
  <si>
    <t>Cost for Customer</t>
  </si>
  <si>
    <t>Unit price with Margin</t>
  </si>
  <si>
    <t>Resource cost for implementation per week</t>
  </si>
  <si>
    <t>PMO, Support &amp; Maintenance</t>
  </si>
  <si>
    <t>Project Margin %</t>
  </si>
  <si>
    <t>Hardware + Implementation</t>
  </si>
  <si>
    <t>Years</t>
  </si>
  <si>
    <t>Landing Cost of Hardware</t>
  </si>
  <si>
    <t>Landing Cost of Spares</t>
  </si>
  <si>
    <t>Total Landing Cost</t>
  </si>
  <si>
    <t>Ashok Leyland</t>
  </si>
  <si>
    <t>Ennore</t>
  </si>
  <si>
    <t>Hosur 1</t>
  </si>
  <si>
    <t>Hosur 2</t>
  </si>
  <si>
    <t>Alwar</t>
  </si>
  <si>
    <t>Pantnagar</t>
  </si>
  <si>
    <t>Bhandara</t>
  </si>
  <si>
    <t>ALFD Ennore</t>
  </si>
  <si>
    <t>ALFD Sriperumbudur</t>
  </si>
  <si>
    <t xml:space="preserve">Plant </t>
  </si>
  <si>
    <t>Plant</t>
  </si>
  <si>
    <t xml:space="preserve">Gate In </t>
  </si>
  <si>
    <t>Gate Out</t>
  </si>
  <si>
    <t>With ANPR CAMERA</t>
  </si>
  <si>
    <t>Without ANPR CAMERA - RFID Based solution</t>
  </si>
  <si>
    <t>Plant wise Price</t>
  </si>
  <si>
    <t>#</t>
  </si>
  <si>
    <t>Per Plant Installation Cost</t>
  </si>
  <si>
    <t>Boarding &amp; Lodging - Per Plant Installation Cost</t>
  </si>
  <si>
    <t>ANPR + RFID based solution</t>
  </si>
  <si>
    <t>ANPR + RFID Based solution</t>
  </si>
  <si>
    <t>Installation Cost per plant</t>
  </si>
  <si>
    <t>ERP/Tracking Platform Integration</t>
  </si>
  <si>
    <t>ERP Integration/ Tracking platform Cost</t>
  </si>
  <si>
    <t>Software Enginner</t>
  </si>
  <si>
    <t>Mis. Travel</t>
  </si>
  <si>
    <t>Platform Subscription Fee per plant</t>
  </si>
  <si>
    <t>One time 
(For all 8 plants)</t>
  </si>
  <si>
    <t>AMC from 2nd Year</t>
  </si>
  <si>
    <t>Hardware Cost
(including Hardware Transportation)</t>
  </si>
  <si>
    <t>One time/ per plant</t>
  </si>
  <si>
    <t>Installation and hardware commissioning Cost per plant</t>
  </si>
  <si>
    <t xml:space="preserve">Integration Cost
(with Tracking Platform &amp; ERP) </t>
  </si>
  <si>
    <t>Customer Success</t>
  </si>
  <si>
    <t>Connected Plant Logistics (CPL) solution that digitizes plant-level gate processes, integrates with existing Tracking Partner, and provides real-time monitoring of inbound vehicles TAT to enhance visibility, efficiency, and accountability across 8 Ashok Leyland plants</t>
  </si>
  <si>
    <t>Platform Subscription + Support &amp; Maintenance</t>
  </si>
  <si>
    <t>Tablet</t>
  </si>
  <si>
    <t>Option 1 (Recommended) : RFID Reader + ANPR Camera Based Solution (with Industrial Grade Tablet at Gate In of each plant)</t>
  </si>
  <si>
    <t>Option 2 : RFID Reader Based Solution (with Industrial Grade Tablet at Gate In of each plant)</t>
  </si>
  <si>
    <t>RFID based solution</t>
  </si>
  <si>
    <t>•      All prices quoted in this proposal are in Indian Rupees (INR) and are exclusive of GST. Taxes as applicable.
•      Device ownership shall remain with the Client.
•      These commercials are applicable only for scope mentioned in the proposal document.  For the detailed scope of the solution, please refer to the proposal document.
•      The above estimation is based on details received and the agreed scope. Any formal change or upgrade in hardware
specifications, integration requirements, workflows, or product features beyond those included in proposal doucumnet shall be treated as a change request and will attract additional charges.
•      The Subscription Fee covers up to Eight (8) plants only.
•      The standard one-year hardware warranty, as per OEM guidelines, shall apply from the date of hardware delivery. Burnt, physically
damaged, or tampered hardware is excluded from warranty and shall not be covered under AMC. Kindly refer to the attached Hardware
Warranty T&amp;C.
•      The proposed pricing assumes a minimum engagement period of three (3) years from the date of deployment, ensuring continuity and optimal cost efficiency.
•      Civil works (including trenching, power supply, LAN/Wi-Fi readiness, enclosures), UPS provisioning, and related site readiness shall remain in the Client’s scope, as outlined in the assumptions and dependencies section.
•      AMC charges from the 2nd year onwards will be billed separately. Pricing and detailed AMC terms will be shared upon request.
•      Spares and accessory parts, if required, will be charged separately at prevailing rates.
Payment Terms:
• 100% of the hardware cost is payable upfront at project kickoff.
• Payment for platform subscription, support, and maintenance will be on a quarterly advance basis.
• All invoices are payable within fifteen (15) days from the date of receipt (original or digitally signed).
• Any delay in payment will attract an overdue charge of 1.5% per month or the maximum permissible under law, whichever is lower.</t>
  </si>
  <si>
    <t>Software Subscription Cost/month/plant</t>
  </si>
  <si>
    <t>Per Month
(For all 8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</si>
</sst>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_(* #,##0_);_(* \(#,##0\);_(* &quot;-&quot;??_);_(@_)"/>
    <numFmt numFmtId="166" formatCode="[$-F800]dddd\,\ mmmm\ dd\,\ yyyy"/>
    <numFmt numFmtId="167" formatCode="0.0000%"/>
    <numFmt numFmtId="168" formatCode="[$-14009]dd\ mmmm\ yyyy;@"/>
    <numFmt numFmtId="169" formatCode="0.000%"/>
    <numFmt numFmtId="170" formatCode="0.0%"/>
    <numFmt numFmtId="171" formatCode="0.000"/>
  </numFmts>
  <fonts count="22" x14ac:knownFonts="1">
    <font>
      <sz val="11"/>
      <color theme="1"/>
      <name val="Calibri"/>
      <family val="2"/>
      <scheme val="minor"/>
    </font>
    <font>
      <sz val="11"/>
      <color theme="1"/>
      <name val="Calibri"/>
      <family val="2"/>
      <scheme val="minor"/>
    </font>
    <font>
      <sz val="12"/>
      <name val="Calibri"/>
      <family val="2"/>
      <scheme val="minor"/>
    </font>
    <font>
      <b/>
      <sz val="12"/>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24"/>
      <color theme="5"/>
      <name val="Calibri"/>
      <family val="2"/>
      <scheme val="minor"/>
    </font>
    <font>
      <b/>
      <sz val="14"/>
      <color theme="1"/>
      <name val="Calibri"/>
      <family val="2"/>
      <scheme val="minor"/>
    </font>
    <font>
      <b/>
      <sz val="14"/>
      <name val="Calibri"/>
      <family val="2"/>
      <scheme val="minor"/>
    </font>
    <font>
      <sz val="14"/>
      <color theme="1"/>
      <name val="Calibri"/>
      <family val="2"/>
      <scheme val="minor"/>
    </font>
    <font>
      <sz val="10"/>
      <color theme="1"/>
      <name val="Arial"/>
      <family val="2"/>
    </font>
    <font>
      <b/>
      <sz val="10"/>
      <color theme="1"/>
      <name val="Arial"/>
      <family val="2"/>
    </font>
    <font>
      <sz val="10"/>
      <name val="Arial"/>
      <family val="2"/>
    </font>
    <font>
      <b/>
      <sz val="10"/>
      <color theme="0"/>
      <name val="Arial"/>
      <family val="2"/>
    </font>
    <font>
      <b/>
      <sz val="14"/>
      <color theme="4"/>
      <name val="Arial"/>
      <family val="2"/>
    </font>
    <font>
      <sz val="8"/>
      <name val="Calibri"/>
      <family val="2"/>
      <scheme val="minor"/>
    </font>
    <font>
      <i/>
      <sz val="10"/>
      <color theme="1"/>
      <name val="Arial"/>
      <family val="2"/>
    </font>
    <font>
      <b/>
      <sz val="12"/>
      <color theme="0"/>
      <name val="Calibri"/>
      <family val="2"/>
      <scheme val="minor"/>
    </font>
    <font>
      <sz val="12"/>
      <color theme="5"/>
      <name val="Calibri"/>
      <family val="2"/>
      <scheme val="minor"/>
    </font>
    <font>
      <u/>
      <sz val="11"/>
      <color theme="10"/>
      <name val="Calibri"/>
      <family val="2"/>
      <scheme val="minor"/>
    </font>
    <font>
      <u/>
      <sz val="11"/>
      <color theme="10"/>
      <name val="Arial"/>
      <family val="2"/>
    </font>
  </fonts>
  <fills count="22">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59999389629810485"/>
        <bgColor indexed="64"/>
      </patternFill>
    </fill>
    <fill>
      <patternFill patternType="solid">
        <fgColor theme="4" tint="0.79998168889431442"/>
        <bgColor rgb="FFD4D4D4"/>
      </patternFill>
    </fill>
    <fill>
      <patternFill patternType="solid">
        <fgColor theme="4"/>
        <bgColor rgb="FFD4D4D4"/>
      </patternFill>
    </fill>
    <fill>
      <patternFill patternType="solid">
        <fgColor theme="6" tint="0.59999389629810485"/>
        <bgColor indexed="64"/>
      </patternFill>
    </fill>
    <fill>
      <patternFill patternType="solid">
        <fgColor theme="6" tint="0.59999389629810485"/>
        <bgColor rgb="FFD4D4D4"/>
      </patternFill>
    </fill>
    <fill>
      <patternFill patternType="solid">
        <fgColor theme="2"/>
        <bgColor rgb="FFD4D4D4"/>
      </patternFill>
    </fill>
    <fill>
      <patternFill patternType="solid">
        <fgColor rgb="FFFFFF00"/>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9"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20" fillId="0" borderId="0" applyNumberFormat="0" applyFill="0" applyBorder="0" applyAlignment="0" applyProtection="0"/>
  </cellStyleXfs>
  <cellXfs count="227">
    <xf numFmtId="0" fontId="0" fillId="0" borderId="0" xfId="0"/>
    <xf numFmtId="0" fontId="0" fillId="0" borderId="0" xfId="0" applyAlignment="1">
      <alignment horizontal="left"/>
    </xf>
    <xf numFmtId="0" fontId="2" fillId="0" borderId="1" xfId="0" applyFont="1" applyBorder="1" applyAlignment="1">
      <alignment horizontal="left" wrapText="1" readingOrder="1"/>
    </xf>
    <xf numFmtId="0" fontId="6" fillId="0" borderId="1" xfId="0" applyFont="1" applyBorder="1" applyAlignment="1">
      <alignment vertical="center"/>
    </xf>
    <xf numFmtId="0" fontId="0" fillId="0" borderId="1" xfId="0" applyBorder="1" applyAlignment="1">
      <alignment horizontal="center"/>
    </xf>
    <xf numFmtId="0" fontId="5" fillId="4" borderId="1" xfId="0" applyFont="1" applyFill="1" applyBorder="1" applyAlignment="1">
      <alignment horizontal="center" vertical="center" wrapText="1"/>
    </xf>
    <xf numFmtId="0" fontId="6" fillId="0" borderId="1" xfId="0" applyFont="1" applyBorder="1" applyAlignment="1">
      <alignment horizontal="center"/>
    </xf>
    <xf numFmtId="0" fontId="4" fillId="2" borderId="1" xfId="0" applyFont="1" applyFill="1" applyBorder="1"/>
    <xf numFmtId="0" fontId="4" fillId="2" borderId="0" xfId="0" applyFont="1" applyFill="1"/>
    <xf numFmtId="0" fontId="0" fillId="4" borderId="1" xfId="0" applyFill="1" applyBorder="1"/>
    <xf numFmtId="0" fontId="3" fillId="8" borderId="1" xfId="0" applyFont="1" applyFill="1" applyBorder="1" applyAlignment="1">
      <alignment horizontal="left" wrapText="1" readingOrder="1"/>
    </xf>
    <xf numFmtId="0" fontId="0" fillId="8" borderId="1" xfId="0" applyFill="1" applyBorder="1" applyAlignment="1">
      <alignment horizontal="center"/>
    </xf>
    <xf numFmtId="0" fontId="7" fillId="0" borderId="0" xfId="0" applyFont="1" applyAlignment="1">
      <alignment horizontal="left" readingOrder="1"/>
    </xf>
    <xf numFmtId="0" fontId="7" fillId="0" borderId="0" xfId="0" applyFont="1"/>
    <xf numFmtId="0" fontId="5" fillId="7" borderId="1" xfId="0" applyFont="1" applyFill="1" applyBorder="1" applyAlignment="1">
      <alignment horizontal="center" vertical="center"/>
    </xf>
    <xf numFmtId="0" fontId="6" fillId="0" borderId="0" xfId="0" applyFont="1"/>
    <xf numFmtId="0" fontId="6" fillId="0" borderId="7" xfId="0" applyFont="1" applyBorder="1" applyAlignment="1">
      <alignment horizontal="left" vertical="center"/>
    </xf>
    <xf numFmtId="0" fontId="6" fillId="0" borderId="7" xfId="0" applyFont="1" applyBorder="1" applyAlignment="1">
      <alignment vertical="center"/>
    </xf>
    <xf numFmtId="9" fontId="6" fillId="3" borderId="7" xfId="0" applyNumberFormat="1" applyFont="1" applyFill="1" applyBorder="1" applyAlignment="1">
      <alignment horizontal="center" vertical="center"/>
    </xf>
    <xf numFmtId="0" fontId="6" fillId="0" borderId="1" xfId="0" applyFont="1" applyBorder="1" applyAlignment="1">
      <alignment vertical="center" wrapText="1"/>
    </xf>
    <xf numFmtId="0" fontId="5" fillId="4" borderId="1" xfId="0" applyFont="1" applyFill="1" applyBorder="1" applyAlignment="1">
      <alignment horizontal="center" vertical="center"/>
    </xf>
    <xf numFmtId="167" fontId="0" fillId="0" borderId="0" xfId="2" applyNumberFormat="1" applyFont="1"/>
    <xf numFmtId="10" fontId="6" fillId="5" borderId="2" xfId="0" applyNumberFormat="1" applyFont="1" applyFill="1" applyBorder="1" applyAlignment="1">
      <alignment horizontal="center" vertical="center"/>
    </xf>
    <xf numFmtId="0" fontId="14" fillId="13" borderId="1" xfId="0" applyFont="1" applyFill="1" applyBorder="1" applyAlignment="1">
      <alignment horizontal="center" vertical="center" wrapText="1"/>
    </xf>
    <xf numFmtId="165" fontId="2" fillId="0" borderId="1" xfId="1" applyNumberFormat="1" applyFont="1" applyFill="1" applyBorder="1" applyAlignment="1">
      <alignment horizontal="right" wrapText="1" readingOrder="1"/>
    </xf>
    <xf numFmtId="165" fontId="2" fillId="0" borderId="7" xfId="1" applyNumberFormat="1" applyFont="1" applyFill="1" applyBorder="1" applyAlignment="1">
      <alignment horizontal="right" vertical="center" wrapText="1" readingOrder="1"/>
    </xf>
    <xf numFmtId="165" fontId="2" fillId="0" borderId="1" xfId="1" applyNumberFormat="1" applyFont="1" applyFill="1" applyBorder="1" applyAlignment="1">
      <alignment horizontal="right" vertical="center" wrapText="1" readingOrder="1"/>
    </xf>
    <xf numFmtId="165" fontId="3" fillId="4" borderId="1" xfId="1" applyNumberFormat="1" applyFont="1" applyFill="1" applyBorder="1" applyAlignment="1">
      <alignment horizontal="right" vertical="center" wrapText="1" readingOrder="1"/>
    </xf>
    <xf numFmtId="165" fontId="3" fillId="7" borderId="1" xfId="1" applyNumberFormat="1" applyFont="1" applyFill="1" applyBorder="1" applyAlignment="1">
      <alignment horizontal="right" vertical="center" wrapText="1" readingOrder="1"/>
    </xf>
    <xf numFmtId="165" fontId="9" fillId="11" borderId="2" xfId="1" applyNumberFormat="1" applyFont="1" applyFill="1" applyBorder="1" applyAlignment="1">
      <alignment horizontal="right" vertical="center" wrapText="1" readingOrder="1"/>
    </xf>
    <xf numFmtId="165" fontId="2" fillId="0" borderId="8" xfId="1" applyNumberFormat="1" applyFont="1" applyFill="1" applyBorder="1" applyAlignment="1">
      <alignment horizontal="right" vertical="center" wrapText="1" readingOrder="1"/>
    </xf>
    <xf numFmtId="165" fontId="3" fillId="4" borderId="9" xfId="1" applyNumberFormat="1" applyFont="1" applyFill="1" applyBorder="1" applyAlignment="1">
      <alignment horizontal="right" vertical="center" wrapText="1" readingOrder="1"/>
    </xf>
    <xf numFmtId="165" fontId="3" fillId="7" borderId="9" xfId="1" applyNumberFormat="1" applyFont="1" applyFill="1" applyBorder="1" applyAlignment="1">
      <alignment horizontal="right" vertical="center" wrapText="1" readingOrder="1"/>
    </xf>
    <xf numFmtId="165" fontId="9" fillId="5" borderId="2" xfId="1" applyNumberFormat="1" applyFont="1" applyFill="1" applyBorder="1" applyAlignment="1">
      <alignment horizontal="right" vertical="center" wrapText="1" readingOrder="1"/>
    </xf>
    <xf numFmtId="165" fontId="2" fillId="6" borderId="1" xfId="1" applyNumberFormat="1" applyFont="1" applyFill="1" applyBorder="1" applyAlignment="1">
      <alignment horizontal="right" wrapText="1" readingOrder="1"/>
    </xf>
    <xf numFmtId="0" fontId="6" fillId="0" borderId="24" xfId="0" applyFont="1" applyBorder="1" applyAlignment="1">
      <alignment horizontal="center" vertical="center" wrapText="1"/>
    </xf>
    <xf numFmtId="0" fontId="6" fillId="0" borderId="1" xfId="0" applyFont="1" applyBorder="1" applyAlignment="1">
      <alignment horizontal="center" vertical="center"/>
    </xf>
    <xf numFmtId="0" fontId="4"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4" borderId="1" xfId="0" applyFont="1" applyFill="1" applyBorder="1" applyAlignment="1">
      <alignment vertical="center" wrapText="1"/>
    </xf>
    <xf numFmtId="0" fontId="6" fillId="0" borderId="1" xfId="0" applyFont="1" applyBorder="1"/>
    <xf numFmtId="0" fontId="5" fillId="9" borderId="1" xfId="0" applyFont="1" applyFill="1" applyBorder="1" applyAlignment="1">
      <alignment horizontal="center"/>
    </xf>
    <xf numFmtId="165" fontId="3" fillId="9" borderId="1" xfId="1" applyNumberFormat="1" applyFont="1" applyFill="1" applyBorder="1" applyAlignment="1">
      <alignment horizontal="right" wrapText="1" readingOrder="1"/>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23"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11" fillId="0" borderId="1" xfId="0" applyFont="1" applyBorder="1" applyAlignment="1">
      <alignment horizontal="center" vertical="center"/>
    </xf>
    <xf numFmtId="0" fontId="11" fillId="0" borderId="0" xfId="0" applyFont="1" applyAlignment="1">
      <alignment vertical="center"/>
    </xf>
    <xf numFmtId="0" fontId="11" fillId="0" borderId="0" xfId="0" applyFont="1" applyAlignment="1">
      <alignment vertical="center" wrapText="1"/>
    </xf>
    <xf numFmtId="165" fontId="3" fillId="10" borderId="1" xfId="1" applyNumberFormat="1" applyFont="1" applyFill="1" applyBorder="1" applyAlignment="1">
      <alignment horizontal="right" vertical="center" wrapText="1" readingOrder="1"/>
    </xf>
    <xf numFmtId="0" fontId="6" fillId="17" borderId="1" xfId="0" applyFont="1" applyFill="1" applyBorder="1" applyAlignment="1">
      <alignment horizontal="center"/>
    </xf>
    <xf numFmtId="0" fontId="5" fillId="0" borderId="1" xfId="0" applyFont="1" applyBorder="1" applyAlignment="1">
      <alignment horizontal="center" vertical="center"/>
    </xf>
    <xf numFmtId="0" fontId="6" fillId="0" borderId="25" xfId="0" applyFont="1" applyBorder="1"/>
    <xf numFmtId="0" fontId="6" fillId="0" borderId="1" xfId="0" applyFont="1" applyBorder="1" applyAlignment="1">
      <alignment horizontal="right"/>
    </xf>
    <xf numFmtId="0" fontId="5" fillId="17" borderId="1" xfId="0" applyFont="1" applyFill="1" applyBorder="1"/>
    <xf numFmtId="0" fontId="6" fillId="17" borderId="1" xfId="0" applyFont="1" applyFill="1" applyBorder="1"/>
    <xf numFmtId="0" fontId="5" fillId="0" borderId="25" xfId="0" applyFont="1" applyBorder="1" applyAlignment="1">
      <alignment horizontal="right"/>
    </xf>
    <xf numFmtId="0" fontId="5" fillId="17" borderId="25" xfId="0" applyFont="1" applyFill="1" applyBorder="1"/>
    <xf numFmtId="165" fontId="2" fillId="0" borderId="1" xfId="1" applyNumberFormat="1" applyFont="1" applyFill="1" applyBorder="1" applyAlignment="1">
      <alignment horizontal="right" readingOrder="1"/>
    </xf>
    <xf numFmtId="165" fontId="3" fillId="9" borderId="1" xfId="1" applyNumberFormat="1" applyFont="1" applyFill="1" applyBorder="1" applyAlignment="1">
      <alignment horizontal="right" readingOrder="1"/>
    </xf>
    <xf numFmtId="165" fontId="6" fillId="0" borderId="1" xfId="1" applyNumberFormat="1" applyFont="1" applyFill="1" applyBorder="1" applyAlignment="1"/>
    <xf numFmtId="0" fontId="6" fillId="0" borderId="30" xfId="0" applyFont="1" applyBorder="1"/>
    <xf numFmtId="0" fontId="6" fillId="0" borderId="31" xfId="0" applyFont="1" applyBorder="1"/>
    <xf numFmtId="1" fontId="6" fillId="0" borderId="1" xfId="0" applyNumberFormat="1" applyFont="1" applyBorder="1"/>
    <xf numFmtId="0" fontId="2" fillId="0" borderId="0" xfId="0" applyFont="1"/>
    <xf numFmtId="0" fontId="3" fillId="0" borderId="18" xfId="0" applyFont="1" applyBorder="1" applyAlignment="1">
      <alignment horizontal="center" vertical="center"/>
    </xf>
    <xf numFmtId="0" fontId="2" fillId="0" borderId="18" xfId="0" applyFont="1" applyBorder="1"/>
    <xf numFmtId="0" fontId="6" fillId="0" borderId="32" xfId="0" applyFont="1" applyBorder="1"/>
    <xf numFmtId="0" fontId="6" fillId="0" borderId="33" xfId="0" applyFont="1" applyBorder="1"/>
    <xf numFmtId="0" fontId="6" fillId="0" borderId="34" xfId="0" applyFont="1" applyBorder="1"/>
    <xf numFmtId="0" fontId="19" fillId="0" borderId="0" xfId="0" applyFont="1" applyAlignment="1">
      <alignment horizontal="left" readingOrder="1"/>
    </xf>
    <xf numFmtId="0" fontId="19" fillId="0" borderId="0" xfId="0" applyFont="1"/>
    <xf numFmtId="165" fontId="13" fillId="0" borderId="1" xfId="1" applyNumberFormat="1" applyFont="1" applyFill="1" applyBorder="1" applyAlignment="1">
      <alignment vertical="center" wrapText="1" readingOrder="1"/>
    </xf>
    <xf numFmtId="0" fontId="6" fillId="0" borderId="25" xfId="0" applyFont="1" applyBorder="1" applyAlignment="1">
      <alignment horizontal="center" vertical="center" wrapText="1"/>
    </xf>
    <xf numFmtId="9" fontId="6" fillId="0" borderId="0" xfId="0" applyNumberFormat="1" applyFont="1" applyAlignment="1">
      <alignment horizontal="center"/>
    </xf>
    <xf numFmtId="0" fontId="10" fillId="3" borderId="3" xfId="0" applyFont="1" applyFill="1" applyBorder="1" applyAlignment="1">
      <alignment horizontal="center" vertical="center"/>
    </xf>
    <xf numFmtId="0" fontId="0" fillId="0" borderId="0" xfId="0" applyAlignment="1">
      <alignment vertical="center"/>
    </xf>
    <xf numFmtId="0" fontId="10" fillId="0" borderId="0" xfId="0" applyFont="1" applyAlignment="1">
      <alignment vertical="center"/>
    </xf>
    <xf numFmtId="0" fontId="6" fillId="0" borderId="0" xfId="0" applyFont="1" applyAlignment="1">
      <alignment vertical="center"/>
    </xf>
    <xf numFmtId="166" fontId="10" fillId="3" borderId="9" xfId="0" applyNumberFormat="1" applyFont="1" applyFill="1" applyBorder="1" applyAlignment="1">
      <alignment horizontal="center" vertical="center"/>
    </xf>
    <xf numFmtId="0" fontId="10" fillId="3" borderId="9" xfId="0" applyFont="1" applyFill="1" applyBorder="1" applyAlignment="1">
      <alignment horizontal="center" vertical="center"/>
    </xf>
    <xf numFmtId="9" fontId="10" fillId="3" borderId="9" xfId="0" applyNumberFormat="1" applyFont="1" applyFill="1" applyBorder="1" applyAlignment="1">
      <alignment horizontal="center" vertical="center"/>
    </xf>
    <xf numFmtId="3" fontId="10" fillId="3" borderId="9" xfId="0" applyNumberFormat="1" applyFont="1" applyFill="1" applyBorder="1" applyAlignment="1">
      <alignment horizontal="center" vertical="center"/>
    </xf>
    <xf numFmtId="3" fontId="10" fillId="3" borderId="13" xfId="0" applyNumberFormat="1" applyFont="1" applyFill="1" applyBorder="1" applyAlignment="1">
      <alignment horizontal="center" vertical="center"/>
    </xf>
    <xf numFmtId="165" fontId="0" fillId="0" borderId="0" xfId="0" applyNumberFormat="1"/>
    <xf numFmtId="165" fontId="11" fillId="0" borderId="0" xfId="0" applyNumberFormat="1" applyFont="1" applyAlignment="1">
      <alignment vertical="center"/>
    </xf>
    <xf numFmtId="1" fontId="6" fillId="0" borderId="1" xfId="0" applyNumberFormat="1" applyFont="1" applyBorder="1" applyAlignment="1">
      <alignment horizontal="center" vertical="center"/>
    </xf>
    <xf numFmtId="0" fontId="0" fillId="0" borderId="30" xfId="0" applyBorder="1"/>
    <xf numFmtId="0" fontId="0" fillId="0" borderId="31" xfId="0" applyBorder="1"/>
    <xf numFmtId="0" fontId="5" fillId="0" borderId="0" xfId="0" applyFont="1" applyAlignment="1">
      <alignment horizontal="center" vertical="center"/>
    </xf>
    <xf numFmtId="0" fontId="5" fillId="0" borderId="0" xfId="0" applyFont="1" applyAlignment="1">
      <alignment horizontal="center" vertical="center" wrapText="1"/>
    </xf>
    <xf numFmtId="9" fontId="6" fillId="0" borderId="0" xfId="0" applyNumberFormat="1" applyFont="1"/>
    <xf numFmtId="169" fontId="5" fillId="10" borderId="1" xfId="0" applyNumberFormat="1" applyFont="1" applyFill="1" applyBorder="1" applyAlignment="1">
      <alignment horizontal="center" vertical="center"/>
    </xf>
    <xf numFmtId="169" fontId="5" fillId="4" borderId="1" xfId="0" applyNumberFormat="1" applyFont="1" applyFill="1" applyBorder="1" applyAlignment="1">
      <alignment horizontal="center" vertical="center"/>
    </xf>
    <xf numFmtId="165" fontId="13" fillId="0" borderId="1" xfId="1" applyNumberFormat="1" applyFont="1" applyFill="1" applyBorder="1" applyAlignment="1">
      <alignment horizontal="right" vertical="center" wrapText="1" readingOrder="1"/>
    </xf>
    <xf numFmtId="165" fontId="13" fillId="0" borderId="1" xfId="1" applyNumberFormat="1" applyFont="1" applyFill="1" applyBorder="1" applyAlignment="1">
      <alignment horizontal="center" vertical="center" wrapText="1" readingOrder="1"/>
    </xf>
    <xf numFmtId="0" fontId="2" fillId="0" borderId="1" xfId="0" applyFont="1" applyBorder="1" applyAlignment="1">
      <alignment vertical="center" wrapText="1" readingOrder="1"/>
    </xf>
    <xf numFmtId="0" fontId="2" fillId="0" borderId="1" xfId="0" applyFont="1" applyBorder="1" applyAlignment="1">
      <alignment horizontal="center" wrapText="1" readingOrder="1"/>
    </xf>
    <xf numFmtId="0" fontId="6" fillId="10" borderId="11" xfId="0" applyFont="1" applyFill="1" applyBorder="1" applyAlignment="1">
      <alignment horizontal="right" vertical="center"/>
    </xf>
    <xf numFmtId="0" fontId="5" fillId="4" borderId="11" xfId="0" applyFont="1" applyFill="1" applyBorder="1" applyAlignment="1">
      <alignment horizontal="right" vertical="center"/>
    </xf>
    <xf numFmtId="0" fontId="5" fillId="7" borderId="11" xfId="0" applyFont="1" applyFill="1" applyBorder="1" applyAlignment="1">
      <alignment horizontal="right" vertical="center"/>
    </xf>
    <xf numFmtId="0" fontId="8" fillId="11" borderId="12" xfId="0" applyFont="1" applyFill="1" applyBorder="1" applyAlignment="1">
      <alignment horizontal="right" vertical="center"/>
    </xf>
    <xf numFmtId="0" fontId="6" fillId="0" borderId="1" xfId="0" applyFont="1" applyBorder="1" applyAlignment="1">
      <alignment horizontal="center" vertical="center" wrapText="1"/>
    </xf>
    <xf numFmtId="1" fontId="6" fillId="0" borderId="7" xfId="0" applyNumberFormat="1" applyFont="1" applyBorder="1" applyAlignment="1">
      <alignment horizontal="center" vertical="center"/>
    </xf>
    <xf numFmtId="165" fontId="6" fillId="0" borderId="24" xfId="1" applyNumberFormat="1" applyFont="1" applyFill="1" applyBorder="1" applyAlignment="1">
      <alignment horizontal="center" vertical="center"/>
    </xf>
    <xf numFmtId="1" fontId="2" fillId="0" borderId="1" xfId="1" applyNumberFormat="1" applyFont="1" applyFill="1" applyBorder="1" applyAlignment="1">
      <alignment horizontal="center" vertical="center" wrapText="1" readingOrder="1"/>
    </xf>
    <xf numFmtId="0" fontId="8" fillId="3" borderId="41" xfId="0" applyFont="1" applyFill="1" applyBorder="1" applyAlignment="1">
      <alignment horizontal="center" vertical="center" wrapText="1"/>
    </xf>
    <xf numFmtId="170" fontId="0" fillId="0" borderId="0" xfId="2" applyNumberFormat="1" applyFont="1"/>
    <xf numFmtId="170" fontId="0" fillId="0" borderId="0" xfId="2" applyNumberFormat="1" applyFont="1" applyAlignment="1">
      <alignment vertical="center"/>
    </xf>
    <xf numFmtId="170" fontId="8" fillId="3" borderId="41" xfId="2" applyNumberFormat="1" applyFont="1" applyFill="1" applyBorder="1" applyAlignment="1">
      <alignment horizontal="center" vertical="center" wrapText="1"/>
    </xf>
    <xf numFmtId="170" fontId="2" fillId="0" borderId="8" xfId="2" applyNumberFormat="1" applyFont="1" applyFill="1" applyBorder="1" applyAlignment="1">
      <alignment horizontal="right" vertical="center" wrapText="1" readingOrder="1"/>
    </xf>
    <xf numFmtId="170" fontId="3" fillId="10" borderId="1" xfId="2" applyNumberFormat="1" applyFont="1" applyFill="1" applyBorder="1" applyAlignment="1">
      <alignment horizontal="right" vertical="center" wrapText="1" readingOrder="1"/>
    </xf>
    <xf numFmtId="170" fontId="3" fillId="4" borderId="1" xfId="2" applyNumberFormat="1" applyFont="1" applyFill="1" applyBorder="1" applyAlignment="1">
      <alignment horizontal="right" vertical="center" wrapText="1" readingOrder="1"/>
    </xf>
    <xf numFmtId="170" fontId="3" fillId="4" borderId="9" xfId="2" applyNumberFormat="1" applyFont="1" applyFill="1" applyBorder="1" applyAlignment="1">
      <alignment horizontal="right" vertical="center" wrapText="1" readingOrder="1"/>
    </xf>
    <xf numFmtId="170" fontId="3" fillId="7" borderId="1" xfId="2" applyNumberFormat="1" applyFont="1" applyFill="1" applyBorder="1" applyAlignment="1">
      <alignment horizontal="right" vertical="center" wrapText="1" readingOrder="1"/>
    </xf>
    <xf numFmtId="170" fontId="3" fillId="7" borderId="9" xfId="2" applyNumberFormat="1" applyFont="1" applyFill="1" applyBorder="1" applyAlignment="1">
      <alignment horizontal="right" vertical="center" wrapText="1" readingOrder="1"/>
    </xf>
    <xf numFmtId="165" fontId="8" fillId="3" borderId="41" xfId="1" applyNumberFormat="1" applyFont="1" applyFill="1" applyBorder="1" applyAlignment="1">
      <alignment horizontal="center" vertical="center" wrapText="1"/>
    </xf>
    <xf numFmtId="10" fontId="8" fillId="3" borderId="41" xfId="2" applyNumberFormat="1" applyFont="1" applyFill="1" applyBorder="1" applyAlignment="1">
      <alignment horizontal="right" vertical="center" wrapText="1"/>
    </xf>
    <xf numFmtId="1" fontId="2" fillId="0" borderId="7" xfId="1" applyNumberFormat="1" applyFont="1" applyFill="1" applyBorder="1" applyAlignment="1">
      <alignment horizontal="center" vertical="center" wrapText="1" readingOrder="1"/>
    </xf>
    <xf numFmtId="10" fontId="0" fillId="0" borderId="0" xfId="2" applyNumberFormat="1" applyFont="1"/>
    <xf numFmtId="170" fontId="10" fillId="3" borderId="9" xfId="0" applyNumberFormat="1" applyFont="1" applyFill="1" applyBorder="1" applyAlignment="1">
      <alignment horizontal="center" vertical="center"/>
    </xf>
    <xf numFmtId="0" fontId="6" fillId="0" borderId="26" xfId="0" applyFont="1" applyBorder="1" applyAlignment="1">
      <alignment horizontal="center" vertical="center" wrapText="1"/>
    </xf>
    <xf numFmtId="0" fontId="6" fillId="0" borderId="40" xfId="0" applyFont="1" applyBorder="1" applyAlignment="1">
      <alignment horizontal="center" vertical="center" wrapText="1"/>
    </xf>
    <xf numFmtId="0" fontId="5" fillId="18" borderId="1" xfId="0" applyFont="1" applyFill="1" applyBorder="1" applyAlignment="1">
      <alignment horizontal="center" vertical="center" wrapText="1"/>
    </xf>
    <xf numFmtId="165" fontId="2" fillId="0" borderId="1" xfId="0" applyNumberFormat="1" applyFont="1" applyBorder="1" applyAlignment="1">
      <alignment vertical="center" wrapText="1" readingOrder="1"/>
    </xf>
    <xf numFmtId="0" fontId="0" fillId="0" borderId="1" xfId="0" applyBorder="1"/>
    <xf numFmtId="0" fontId="0" fillId="0" borderId="1" xfId="0" applyBorder="1" applyAlignment="1">
      <alignment horizontal="left"/>
    </xf>
    <xf numFmtId="0" fontId="3" fillId="2" borderId="1" xfId="0" applyFont="1" applyFill="1" applyBorder="1" applyAlignment="1">
      <alignment horizontal="center" vertical="center" wrapText="1" readingOrder="1"/>
    </xf>
    <xf numFmtId="0" fontId="3" fillId="2" borderId="1" xfId="0" applyFont="1" applyFill="1" applyBorder="1" applyAlignment="1">
      <alignment horizontal="center"/>
    </xf>
    <xf numFmtId="165" fontId="3" fillId="2" borderId="1" xfId="1" applyNumberFormat="1" applyFont="1" applyFill="1" applyBorder="1" applyAlignment="1">
      <alignment horizontal="right" wrapText="1" readingOrder="1"/>
    </xf>
    <xf numFmtId="0" fontId="3" fillId="18" borderId="1" xfId="0" applyFont="1" applyFill="1" applyBorder="1" applyAlignment="1">
      <alignment horizontal="center" vertical="center" wrapText="1" readingOrder="1"/>
    </xf>
    <xf numFmtId="0" fontId="3" fillId="21" borderId="1" xfId="0" applyFont="1" applyFill="1" applyBorder="1" applyAlignment="1">
      <alignment horizontal="center" vertical="center" wrapText="1" readingOrder="1"/>
    </xf>
    <xf numFmtId="0" fontId="5" fillId="11" borderId="1" xfId="0" applyFont="1" applyFill="1" applyBorder="1" applyAlignment="1">
      <alignment horizontal="center" vertical="center" wrapText="1"/>
    </xf>
    <xf numFmtId="0" fontId="6" fillId="10" borderId="1" xfId="0" applyFont="1" applyFill="1" applyBorder="1" applyAlignment="1">
      <alignment horizontal="center"/>
    </xf>
    <xf numFmtId="1" fontId="2" fillId="6" borderId="1" xfId="1" applyNumberFormat="1" applyFont="1" applyFill="1" applyBorder="1" applyAlignment="1">
      <alignment horizontal="center" vertical="center" wrapText="1" readingOrder="1"/>
    </xf>
    <xf numFmtId="165" fontId="0" fillId="8" borderId="1" xfId="1" applyNumberFormat="1" applyFont="1" applyFill="1" applyBorder="1"/>
    <xf numFmtId="0" fontId="6" fillId="8" borderId="1" xfId="0" applyFont="1" applyFill="1" applyBorder="1" applyAlignment="1">
      <alignment horizontal="center"/>
    </xf>
    <xf numFmtId="165" fontId="3" fillId="8" borderId="1" xfId="1" applyNumberFormat="1" applyFont="1" applyFill="1" applyBorder="1" applyAlignment="1">
      <alignment horizontal="right" wrapText="1" readingOrder="1"/>
    </xf>
    <xf numFmtId="0" fontId="5" fillId="8" borderId="1" xfId="0" applyFont="1" applyFill="1" applyBorder="1" applyAlignment="1">
      <alignment horizontal="center"/>
    </xf>
    <xf numFmtId="1" fontId="3" fillId="8" borderId="1" xfId="1" applyNumberFormat="1" applyFont="1" applyFill="1" applyBorder="1" applyAlignment="1">
      <alignment horizontal="center" vertical="center" wrapText="1" readingOrder="1"/>
    </xf>
    <xf numFmtId="171" fontId="2" fillId="0" borderId="1" xfId="0" applyNumberFormat="1" applyFont="1" applyBorder="1" applyAlignment="1">
      <alignment horizontal="center"/>
    </xf>
    <xf numFmtId="43" fontId="11" fillId="0" borderId="0" xfId="0" applyNumberFormat="1" applyFont="1" applyAlignment="1">
      <alignment vertical="center"/>
    </xf>
    <xf numFmtId="0" fontId="2" fillId="0" borderId="25" xfId="0" applyFont="1" applyBorder="1" applyAlignment="1">
      <alignment vertical="center" wrapText="1" readingOrder="1"/>
    </xf>
    <xf numFmtId="0" fontId="2" fillId="0" borderId="27" xfId="0" applyFont="1" applyBorder="1" applyAlignment="1">
      <alignment vertical="center" wrapText="1" readingOrder="1"/>
    </xf>
    <xf numFmtId="0" fontId="2" fillId="0" borderId="7" xfId="0" applyFont="1" applyBorder="1" applyAlignment="1">
      <alignment vertical="center" wrapText="1" readingOrder="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2" fillId="0" borderId="26" xfId="0" applyFont="1" applyBorder="1" applyAlignment="1">
      <alignment horizontal="left" vertical="center" wrapText="1"/>
    </xf>
    <xf numFmtId="0" fontId="12" fillId="0" borderId="37" xfId="0" applyFont="1" applyBorder="1" applyAlignment="1">
      <alignment horizontal="left" vertical="center" wrapText="1"/>
    </xf>
    <xf numFmtId="0" fontId="12" fillId="0" borderId="24" xfId="0" applyFont="1" applyBorder="1" applyAlignment="1">
      <alignment horizontal="left" vertical="center" wrapText="1"/>
    </xf>
    <xf numFmtId="0" fontId="12" fillId="0" borderId="38" xfId="0" applyFont="1" applyBorder="1" applyAlignment="1">
      <alignment horizontal="left" vertical="center" wrapText="1"/>
    </xf>
    <xf numFmtId="0" fontId="12" fillId="14" borderId="1" xfId="0" applyFont="1" applyFill="1" applyBorder="1" applyAlignment="1">
      <alignment horizontal="center" vertical="center"/>
    </xf>
    <xf numFmtId="0" fontId="11" fillId="0" borderId="1" xfId="0" quotePrefix="1" applyFont="1" applyBorder="1" applyAlignment="1">
      <alignment horizontal="left" vertical="center" wrapText="1"/>
    </xf>
    <xf numFmtId="0" fontId="11" fillId="0" borderId="1" xfId="0" applyFont="1" applyBorder="1" applyAlignment="1">
      <alignment horizontal="left" vertical="center"/>
    </xf>
    <xf numFmtId="0" fontId="11" fillId="0" borderId="25" xfId="0" applyFont="1" applyBorder="1" applyAlignment="1">
      <alignment horizontal="center" vertical="center"/>
    </xf>
    <xf numFmtId="0" fontId="11" fillId="0" borderId="7" xfId="0" applyFont="1" applyBorder="1" applyAlignment="1">
      <alignment horizontal="center" vertical="center"/>
    </xf>
    <xf numFmtId="0" fontId="12" fillId="0" borderId="17" xfId="0" applyFont="1" applyBorder="1" applyAlignment="1">
      <alignment horizontal="left" vertical="center" wrapText="1"/>
    </xf>
    <xf numFmtId="0" fontId="12" fillId="0" borderId="11" xfId="0" applyFont="1" applyBorder="1" applyAlignment="1">
      <alignment horizontal="left" vertical="center" wrapText="1"/>
    </xf>
    <xf numFmtId="0" fontId="11" fillId="0" borderId="17" xfId="0" applyFont="1" applyBorder="1" applyAlignment="1">
      <alignment horizontal="left" vertical="center" wrapText="1"/>
    </xf>
    <xf numFmtId="0" fontId="11" fillId="0" borderId="11" xfId="0" applyFont="1" applyBorder="1" applyAlignment="1">
      <alignment horizontal="left" vertical="center" wrapText="1"/>
    </xf>
    <xf numFmtId="0" fontId="14" fillId="0" borderId="1" xfId="0" applyFont="1" applyBorder="1" applyAlignment="1">
      <alignment horizontal="center" vertical="center"/>
    </xf>
    <xf numFmtId="0" fontId="13" fillId="0" borderId="1" xfId="0" applyFont="1" applyBorder="1" applyAlignment="1">
      <alignment horizontal="left" vertical="center" wrapText="1"/>
    </xf>
    <xf numFmtId="0" fontId="11" fillId="0" borderId="27" xfId="0" applyFont="1" applyBorder="1" applyAlignment="1">
      <alignment horizontal="center" vertical="center"/>
    </xf>
    <xf numFmtId="0" fontId="12" fillId="0" borderId="36" xfId="0" applyFont="1" applyBorder="1" applyAlignment="1">
      <alignment horizontal="left" vertical="center" wrapText="1"/>
    </xf>
    <xf numFmtId="0" fontId="12" fillId="0" borderId="39" xfId="0" applyFont="1" applyBorder="1" applyAlignment="1">
      <alignment horizontal="left" vertical="center" wrapText="1"/>
    </xf>
    <xf numFmtId="0" fontId="14" fillId="13" borderId="17"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2" fillId="16" borderId="1" xfId="0" applyFont="1" applyFill="1" applyBorder="1" applyAlignment="1">
      <alignment horizontal="right" vertical="center"/>
    </xf>
    <xf numFmtId="0" fontId="11" fillId="0" borderId="1" xfId="0" quotePrefix="1" applyFont="1" applyBorder="1" applyAlignment="1">
      <alignment horizontal="left" vertical="center"/>
    </xf>
    <xf numFmtId="0" fontId="12" fillId="10" borderId="1" xfId="0" applyFont="1" applyFill="1" applyBorder="1" applyAlignment="1">
      <alignment horizontal="left" vertical="center"/>
    </xf>
    <xf numFmtId="0" fontId="21" fillId="0" borderId="1" xfId="3" applyFont="1" applyBorder="1" applyAlignment="1">
      <alignment horizontal="left" vertical="center"/>
    </xf>
    <xf numFmtId="0" fontId="12" fillId="16" borderId="1" xfId="0" applyFont="1" applyFill="1" applyBorder="1" applyAlignment="1">
      <alignment horizontal="left" vertical="center"/>
    </xf>
    <xf numFmtId="0" fontId="11" fillId="0" borderId="1" xfId="0" applyFont="1" applyBorder="1" applyAlignment="1">
      <alignment horizontal="center" vertical="center"/>
    </xf>
    <xf numFmtId="0" fontId="15" fillId="0" borderId="1" xfId="0" applyFont="1" applyBorder="1" applyAlignment="1">
      <alignment horizontal="center" vertical="center"/>
    </xf>
    <xf numFmtId="0" fontId="12" fillId="15" borderId="1" xfId="0" applyFont="1" applyFill="1" applyBorder="1" applyAlignment="1">
      <alignment horizontal="center" vertical="center"/>
    </xf>
    <xf numFmtId="0" fontId="12" fillId="12" borderId="1" xfId="0" applyFont="1" applyFill="1" applyBorder="1" applyAlignment="1">
      <alignment horizontal="center" vertical="center"/>
    </xf>
    <xf numFmtId="168" fontId="11" fillId="0" borderId="26" xfId="0" applyNumberFormat="1" applyFont="1" applyBorder="1" applyAlignment="1">
      <alignment horizontal="center" vertical="center"/>
    </xf>
    <xf numFmtId="168" fontId="11" fillId="0" borderId="37" xfId="0" applyNumberFormat="1" applyFont="1" applyBorder="1" applyAlignment="1">
      <alignment horizontal="center" vertical="center"/>
    </xf>
    <xf numFmtId="168" fontId="11" fillId="0" borderId="24" xfId="0" applyNumberFormat="1" applyFont="1" applyBorder="1" applyAlignment="1">
      <alignment horizontal="center" vertical="center"/>
    </xf>
    <xf numFmtId="168" fontId="11" fillId="0" borderId="38" xfId="0" applyNumberFormat="1" applyFont="1" applyBorder="1" applyAlignment="1">
      <alignment horizontal="center" vertical="center"/>
    </xf>
    <xf numFmtId="0" fontId="17" fillId="0" borderId="1" xfId="0" applyFont="1" applyBorder="1" applyAlignment="1">
      <alignment horizontal="center" vertical="center" wrapText="1"/>
    </xf>
    <xf numFmtId="0" fontId="5" fillId="0" borderId="22" xfId="0" applyFont="1" applyBorder="1" applyAlignment="1">
      <alignment horizontal="center" vertical="center"/>
    </xf>
    <xf numFmtId="0" fontId="5" fillId="0" borderId="20" xfId="0" applyFont="1" applyBorder="1" applyAlignment="1">
      <alignment horizontal="center" vertical="center"/>
    </xf>
    <xf numFmtId="0" fontId="5" fillId="7" borderId="17" xfId="0" applyFont="1" applyFill="1" applyBorder="1" applyAlignment="1">
      <alignment horizontal="right" vertical="center"/>
    </xf>
    <xf numFmtId="0" fontId="5" fillId="7" borderId="18" xfId="0" applyFont="1" applyFill="1" applyBorder="1" applyAlignment="1">
      <alignment horizontal="right" vertical="center"/>
    </xf>
    <xf numFmtId="0" fontId="5" fillId="7" borderId="11" xfId="0" applyFont="1" applyFill="1" applyBorder="1" applyAlignment="1">
      <alignment horizontal="right" vertical="center"/>
    </xf>
    <xf numFmtId="0" fontId="8" fillId="11" borderId="21" xfId="0" applyFont="1" applyFill="1" applyBorder="1" applyAlignment="1">
      <alignment horizontal="right" vertical="center"/>
    </xf>
    <xf numFmtId="0" fontId="8" fillId="11" borderId="14" xfId="0" applyFont="1" applyFill="1" applyBorder="1" applyAlignment="1">
      <alignment horizontal="right" vertical="center"/>
    </xf>
    <xf numFmtId="0" fontId="8" fillId="11" borderId="12" xfId="0" applyFont="1" applyFill="1" applyBorder="1" applyAlignment="1">
      <alignment horizontal="right" vertical="center"/>
    </xf>
    <xf numFmtId="0" fontId="5" fillId="4" borderId="17" xfId="0" applyFont="1" applyFill="1" applyBorder="1" applyAlignment="1">
      <alignment horizontal="right" vertical="center"/>
    </xf>
    <xf numFmtId="0" fontId="5" fillId="4" borderId="18" xfId="0" applyFont="1" applyFill="1" applyBorder="1" applyAlignment="1">
      <alignment horizontal="right" vertical="center"/>
    </xf>
    <xf numFmtId="0" fontId="5" fillId="4" borderId="11" xfId="0" applyFont="1" applyFill="1" applyBorder="1" applyAlignment="1">
      <alignment horizontal="right" vertical="center"/>
    </xf>
    <xf numFmtId="0" fontId="5" fillId="0" borderId="22" xfId="0" applyFont="1" applyBorder="1" applyAlignment="1">
      <alignment horizontal="center" vertical="center" wrapText="1"/>
    </xf>
    <xf numFmtId="0" fontId="5" fillId="0" borderId="20"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7" xfId="0" applyFont="1" applyBorder="1" applyAlignment="1">
      <alignment horizontal="center" vertical="center" wrapText="1"/>
    </xf>
    <xf numFmtId="0" fontId="6" fillId="10" borderId="17" xfId="0" applyFont="1" applyFill="1" applyBorder="1" applyAlignment="1">
      <alignment horizontal="right" vertical="center"/>
    </xf>
    <xf numFmtId="0" fontId="6" fillId="10" borderId="18" xfId="0" applyFont="1" applyFill="1" applyBorder="1" applyAlignment="1">
      <alignment horizontal="right" vertical="center"/>
    </xf>
    <xf numFmtId="0" fontId="6" fillId="10" borderId="11" xfId="0" applyFont="1" applyFill="1" applyBorder="1" applyAlignment="1">
      <alignment horizontal="right" vertical="center"/>
    </xf>
    <xf numFmtId="0" fontId="6" fillId="0" borderId="1" xfId="0" applyFont="1" applyBorder="1" applyAlignment="1">
      <alignment horizontal="center" vertical="center" wrapText="1"/>
    </xf>
    <xf numFmtId="0" fontId="8" fillId="4" borderId="16" xfId="0" applyFont="1" applyFill="1" applyBorder="1" applyAlignment="1">
      <alignment horizontal="left" vertical="center"/>
    </xf>
    <xf numFmtId="0" fontId="8" fillId="4" borderId="1" xfId="0" applyFont="1" applyFill="1" applyBorder="1" applyAlignment="1">
      <alignment horizontal="left" vertical="center"/>
    </xf>
    <xf numFmtId="0" fontId="8" fillId="4" borderId="15" xfId="0" applyFont="1" applyFill="1" applyBorder="1" applyAlignment="1">
      <alignment horizontal="left" vertical="center"/>
    </xf>
    <xf numFmtId="0" fontId="8" fillId="4" borderId="10" xfId="0" applyFont="1" applyFill="1" applyBorder="1" applyAlignment="1">
      <alignment horizontal="left" vertical="center"/>
    </xf>
    <xf numFmtId="0" fontId="8" fillId="4" borderId="19" xfId="0" applyFont="1" applyFill="1" applyBorder="1" applyAlignment="1">
      <alignment horizontal="left" vertical="center"/>
    </xf>
    <xf numFmtId="0" fontId="8" fillId="4" borderId="2" xfId="0" applyFont="1" applyFill="1" applyBorder="1" applyAlignment="1">
      <alignment horizontal="left" vertical="center"/>
    </xf>
    <xf numFmtId="0" fontId="5" fillId="0" borderId="16" xfId="0" applyFont="1" applyBorder="1" applyAlignment="1">
      <alignment horizontal="center" vertical="center" wrapText="1"/>
    </xf>
    <xf numFmtId="0" fontId="5" fillId="18" borderId="17" xfId="0" applyFont="1" applyFill="1" applyBorder="1" applyAlignment="1">
      <alignment horizontal="center" vertical="center"/>
    </xf>
    <xf numFmtId="0" fontId="5" fillId="18" borderId="18" xfId="0" applyFont="1" applyFill="1" applyBorder="1" applyAlignment="1">
      <alignment horizontal="center" vertical="center"/>
    </xf>
    <xf numFmtId="0" fontId="5" fillId="8" borderId="1" xfId="0" applyFont="1" applyFill="1" applyBorder="1" applyAlignment="1">
      <alignment horizontal="center" vertical="center"/>
    </xf>
    <xf numFmtId="0" fontId="5" fillId="18" borderId="1" xfId="0" applyFont="1" applyFill="1" applyBorder="1" applyAlignment="1">
      <alignment horizontal="center" vertical="center"/>
    </xf>
    <xf numFmtId="0" fontId="18" fillId="19" borderId="28" xfId="0" applyFont="1" applyFill="1" applyBorder="1" applyAlignment="1">
      <alignment horizontal="center"/>
    </xf>
    <xf numFmtId="0" fontId="18" fillId="19" borderId="35" xfId="0" applyFont="1" applyFill="1" applyBorder="1" applyAlignment="1">
      <alignment horizontal="center"/>
    </xf>
    <xf numFmtId="0" fontId="18" fillId="19" borderId="29" xfId="0" applyFont="1" applyFill="1" applyBorder="1" applyAlignment="1">
      <alignment horizontal="center"/>
    </xf>
    <xf numFmtId="0" fontId="5" fillId="18" borderId="1" xfId="0" applyFont="1" applyFill="1" applyBorder="1" applyAlignment="1">
      <alignment horizontal="center" vertical="center" wrapText="1"/>
    </xf>
    <xf numFmtId="0" fontId="5" fillId="18" borderId="11" xfId="0" applyFont="1" applyFill="1" applyBorder="1" applyAlignment="1">
      <alignment horizontal="center" vertical="center"/>
    </xf>
    <xf numFmtId="0" fontId="8" fillId="20" borderId="1" xfId="0" applyFont="1" applyFill="1" applyBorder="1" applyAlignment="1">
      <alignment horizontal="center" vertical="center"/>
    </xf>
    <xf numFmtId="0" fontId="8" fillId="4" borderId="1" xfId="0" applyFont="1" applyFill="1" applyBorder="1" applyAlignment="1">
      <alignment horizontal="center" vertical="center"/>
    </xf>
    <xf numFmtId="0" fontId="2" fillId="0" borderId="25" xfId="0" applyFont="1" applyBorder="1" applyAlignment="1">
      <alignment horizontal="left" vertical="center" wrapText="1" readingOrder="1"/>
    </xf>
    <xf numFmtId="0" fontId="2" fillId="0" borderId="27" xfId="0" applyFont="1" applyBorder="1" applyAlignment="1">
      <alignment horizontal="left" vertical="center" wrapText="1" readingOrder="1"/>
    </xf>
    <xf numFmtId="0" fontId="2" fillId="0" borderId="7" xfId="0" applyFont="1" applyBorder="1" applyAlignment="1">
      <alignment horizontal="left" vertical="center" wrapText="1" readingOrder="1"/>
    </xf>
    <xf numFmtId="0" fontId="5" fillId="4" borderId="1" xfId="0" applyFont="1" applyFill="1" applyBorder="1" applyAlignment="1">
      <alignment horizontal="center"/>
    </xf>
    <xf numFmtId="165" fontId="2" fillId="0" borderId="1" xfId="0" applyNumberFormat="1" applyFont="1" applyBorder="1" applyAlignment="1">
      <alignment horizontal="center" vertical="center" wrapText="1" readingOrder="1"/>
    </xf>
    <xf numFmtId="0" fontId="5" fillId="20" borderId="1"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193766</xdr:colOff>
      <xdr:row>0</xdr:row>
      <xdr:rowOff>0</xdr:rowOff>
    </xdr:from>
    <xdr:to>
      <xdr:col>4</xdr:col>
      <xdr:colOff>435528</xdr:colOff>
      <xdr:row>0</xdr:row>
      <xdr:rowOff>569660</xdr:rowOff>
    </xdr:to>
    <xdr:pic>
      <xdr:nvPicPr>
        <xdr:cNvPr id="4" name="Picture 3">
          <a:extLst>
            <a:ext uri="{FF2B5EF4-FFF2-40B4-BE49-F238E27FC236}">
              <a16:creationId xmlns:a16="http://schemas.microsoft.com/office/drawing/2014/main" id="{DC21D12E-CDAF-4A4D-903C-F00A04DF9B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166" y="0"/>
          <a:ext cx="2245723" cy="5696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4C1BF-2D87-4439-8D8C-3C84BD425848}">
  <sheetPr>
    <tabColor theme="8" tint="0.79998168889431442"/>
  </sheetPr>
  <dimension ref="B1:L26"/>
  <sheetViews>
    <sheetView tabSelected="1" view="pageBreakPreview" topLeftCell="A13" zoomScale="85" zoomScaleNormal="94" zoomScaleSheetLayoutView="85" zoomScalePageLayoutView="41" workbookViewId="0">
      <selection activeCell="M21" sqref="M21"/>
    </sheetView>
  </sheetViews>
  <sheetFormatPr defaultColWidth="8.90625" defaultRowHeight="12.5" x14ac:dyDescent="0.35"/>
  <cols>
    <col min="1" max="1" width="2.1796875" style="48" customWidth="1"/>
    <col min="2" max="2" width="5.90625" style="48" customWidth="1"/>
    <col min="3" max="3" width="12.453125" style="48" customWidth="1"/>
    <col min="4" max="4" width="10.90625" style="49" customWidth="1"/>
    <col min="5" max="5" width="24.08984375" style="48" customWidth="1"/>
    <col min="6" max="6" width="9.54296875" style="48" customWidth="1"/>
    <col min="7" max="7" width="12.6328125" style="48" customWidth="1"/>
    <col min="8" max="8" width="9.54296875" style="48" customWidth="1"/>
    <col min="9" max="9" width="26.453125" style="48" customWidth="1"/>
    <col min="10" max="10" width="10.453125" style="48" bestFit="1" customWidth="1"/>
    <col min="11" max="11" width="12.36328125" style="48" customWidth="1"/>
    <col min="12" max="12" width="11.81640625" style="48" bestFit="1" customWidth="1"/>
    <col min="13" max="16384" width="8.90625" style="48"/>
  </cols>
  <sheetData>
    <row r="1" spans="2:9" ht="49.75" customHeight="1" x14ac:dyDescent="0.35">
      <c r="B1" s="174"/>
      <c r="C1" s="174"/>
      <c r="D1" s="174"/>
      <c r="E1" s="174"/>
      <c r="F1" s="174"/>
      <c r="G1" s="174"/>
      <c r="H1" s="175" t="s">
        <v>42</v>
      </c>
      <c r="I1" s="175"/>
    </row>
    <row r="2" spans="2:9" ht="53.4" customHeight="1" x14ac:dyDescent="0.35">
      <c r="B2" s="146" t="s">
        <v>51</v>
      </c>
      <c r="C2" s="146"/>
      <c r="D2" s="146"/>
      <c r="E2" s="146"/>
      <c r="F2" s="146"/>
      <c r="G2" s="146"/>
      <c r="H2" s="146"/>
      <c r="I2" s="146"/>
    </row>
    <row r="3" spans="2:9" ht="18.649999999999999" customHeight="1" x14ac:dyDescent="0.35">
      <c r="B3" s="171" t="s">
        <v>52</v>
      </c>
      <c r="C3" s="171"/>
      <c r="D3" s="154" t="s">
        <v>53</v>
      </c>
      <c r="E3" s="154"/>
      <c r="F3" s="176" t="s">
        <v>43</v>
      </c>
      <c r="G3" s="176"/>
      <c r="H3" s="176" t="s">
        <v>44</v>
      </c>
      <c r="I3" s="176"/>
    </row>
    <row r="4" spans="2:9" ht="18.649999999999999" customHeight="1" x14ac:dyDescent="0.35">
      <c r="B4" s="171" t="s">
        <v>54</v>
      </c>
      <c r="C4" s="171"/>
      <c r="D4" s="154" t="s">
        <v>55</v>
      </c>
      <c r="E4" s="154"/>
      <c r="F4" s="174" t="s">
        <v>59</v>
      </c>
      <c r="G4" s="174"/>
      <c r="H4" s="178"/>
      <c r="I4" s="179"/>
    </row>
    <row r="5" spans="2:9" ht="18.649999999999999" customHeight="1" x14ac:dyDescent="0.35">
      <c r="B5" s="171" t="s">
        <v>88</v>
      </c>
      <c r="C5" s="171"/>
      <c r="D5" s="154"/>
      <c r="E5" s="154"/>
      <c r="F5" s="174"/>
      <c r="G5" s="174"/>
      <c r="H5" s="180"/>
      <c r="I5" s="181"/>
    </row>
    <row r="6" spans="2:9" ht="18.649999999999999" customHeight="1" x14ac:dyDescent="0.35">
      <c r="B6" s="171" t="s">
        <v>57</v>
      </c>
      <c r="C6" s="171"/>
      <c r="D6" s="170"/>
      <c r="E6" s="154"/>
      <c r="F6" s="182" t="s">
        <v>56</v>
      </c>
      <c r="G6" s="182"/>
      <c r="H6" s="182"/>
      <c r="I6" s="182"/>
    </row>
    <row r="7" spans="2:9" ht="18.649999999999999" customHeight="1" x14ac:dyDescent="0.35">
      <c r="B7" s="171" t="s">
        <v>58</v>
      </c>
      <c r="C7" s="171"/>
      <c r="D7" s="154"/>
      <c r="E7" s="154"/>
      <c r="F7" s="182"/>
      <c r="G7" s="182"/>
      <c r="H7" s="182"/>
      <c r="I7" s="182"/>
    </row>
    <row r="8" spans="2:9" ht="6.65" customHeight="1" x14ac:dyDescent="0.35">
      <c r="B8" s="174"/>
      <c r="C8" s="174"/>
      <c r="D8" s="174"/>
      <c r="E8" s="174"/>
      <c r="F8" s="174"/>
      <c r="G8" s="174"/>
      <c r="H8" s="174"/>
      <c r="I8" s="174"/>
    </row>
    <row r="9" spans="2:9" ht="18.649999999999999" customHeight="1" x14ac:dyDescent="0.35">
      <c r="B9" s="173" t="s">
        <v>45</v>
      </c>
      <c r="C9" s="173"/>
      <c r="D9" s="173"/>
      <c r="E9" s="173"/>
      <c r="F9" s="173"/>
      <c r="G9" s="173"/>
      <c r="H9" s="173"/>
      <c r="I9" s="173"/>
    </row>
    <row r="10" spans="2:9" ht="18.649999999999999" customHeight="1" x14ac:dyDescent="0.35">
      <c r="B10" s="171" t="s">
        <v>89</v>
      </c>
      <c r="C10" s="171"/>
      <c r="D10" s="154"/>
      <c r="E10" s="154"/>
      <c r="F10" s="154"/>
      <c r="G10" s="154"/>
      <c r="H10" s="154"/>
      <c r="I10" s="154"/>
    </row>
    <row r="11" spans="2:9" ht="18.649999999999999" customHeight="1" x14ac:dyDescent="0.35">
      <c r="B11" s="171" t="s">
        <v>74</v>
      </c>
      <c r="C11" s="171"/>
      <c r="D11" s="154"/>
      <c r="E11" s="154"/>
      <c r="F11" s="154"/>
      <c r="G11" s="154"/>
      <c r="H11" s="154"/>
      <c r="I11" s="154"/>
    </row>
    <row r="12" spans="2:9" ht="18.649999999999999" customHeight="1" x14ac:dyDescent="0.35">
      <c r="B12" s="171" t="s">
        <v>88</v>
      </c>
      <c r="C12" s="171"/>
      <c r="D12" s="154"/>
      <c r="E12" s="154"/>
      <c r="F12" s="169" t="s">
        <v>57</v>
      </c>
      <c r="G12" s="169"/>
      <c r="H12" s="170"/>
      <c r="I12" s="154"/>
    </row>
    <row r="13" spans="2:9" ht="18.649999999999999" customHeight="1" x14ac:dyDescent="0.35">
      <c r="B13" s="171" t="s">
        <v>58</v>
      </c>
      <c r="C13" s="171"/>
      <c r="D13" s="172"/>
      <c r="E13" s="154"/>
      <c r="F13" s="154"/>
      <c r="G13" s="154"/>
      <c r="H13" s="154"/>
      <c r="I13" s="154"/>
    </row>
    <row r="14" spans="2:9" ht="6.65" customHeight="1" x14ac:dyDescent="0.35">
      <c r="B14" s="174"/>
      <c r="C14" s="174"/>
      <c r="D14" s="174"/>
      <c r="E14" s="174"/>
      <c r="F14" s="174"/>
      <c r="G14" s="174"/>
      <c r="H14" s="174"/>
      <c r="I14" s="174"/>
    </row>
    <row r="15" spans="2:9" ht="18.649999999999999" customHeight="1" x14ac:dyDescent="0.35">
      <c r="B15" s="177" t="s">
        <v>46</v>
      </c>
      <c r="C15" s="177"/>
      <c r="D15" s="177"/>
      <c r="E15" s="177"/>
      <c r="F15" s="177"/>
      <c r="G15" s="177"/>
      <c r="H15" s="177"/>
      <c r="I15" s="177"/>
    </row>
    <row r="16" spans="2:9" ht="36.5" customHeight="1" x14ac:dyDescent="0.35">
      <c r="B16" s="162" t="s">
        <v>163</v>
      </c>
      <c r="C16" s="162"/>
      <c r="D16" s="162"/>
      <c r="E16" s="162"/>
      <c r="F16" s="162"/>
      <c r="G16" s="162"/>
      <c r="H16" s="162"/>
      <c r="I16" s="162"/>
    </row>
    <row r="17" spans="2:12" s="49" customFormat="1" ht="28.75" customHeight="1" x14ac:dyDescent="0.35">
      <c r="B17" s="23" t="s">
        <v>47</v>
      </c>
      <c r="C17" s="166" t="s">
        <v>107</v>
      </c>
      <c r="D17" s="167"/>
      <c r="E17" s="166" t="s">
        <v>22</v>
      </c>
      <c r="F17" s="167"/>
      <c r="G17" s="168" t="s">
        <v>19</v>
      </c>
      <c r="H17" s="168"/>
      <c r="I17" s="23" t="s">
        <v>49</v>
      </c>
    </row>
    <row r="18" spans="2:12" ht="62" customHeight="1" x14ac:dyDescent="0.35">
      <c r="B18" s="155">
        <v>1</v>
      </c>
      <c r="C18" s="148" t="s">
        <v>158</v>
      </c>
      <c r="D18" s="149"/>
      <c r="E18" s="146" t="s">
        <v>166</v>
      </c>
      <c r="F18" s="146"/>
      <c r="G18" s="147" t="s">
        <v>156</v>
      </c>
      <c r="H18" s="147"/>
      <c r="I18" s="73">
        <f>'Commercials 1 - RFID+ANPR'!M13</f>
        <v>2115600</v>
      </c>
      <c r="J18" s="86"/>
      <c r="K18" s="86"/>
    </row>
    <row r="19" spans="2:12" ht="62" customHeight="1" x14ac:dyDescent="0.35">
      <c r="B19" s="163"/>
      <c r="C19" s="164"/>
      <c r="D19" s="165"/>
      <c r="E19" s="146" t="s">
        <v>167</v>
      </c>
      <c r="F19" s="146"/>
      <c r="G19" s="147" t="s">
        <v>156</v>
      </c>
      <c r="H19" s="147"/>
      <c r="I19" s="73">
        <f ca="1">'Commercials 2 - RFID'!M14</f>
        <v>1316100</v>
      </c>
      <c r="J19" s="86"/>
      <c r="K19" s="86"/>
      <c r="L19" s="86">
        <f ca="1">I19</f>
        <v>1316100</v>
      </c>
    </row>
    <row r="20" spans="2:12" ht="41.5" customHeight="1" x14ac:dyDescent="0.35">
      <c r="B20" s="155">
        <v>2</v>
      </c>
      <c r="C20" s="148" t="s">
        <v>113</v>
      </c>
      <c r="D20" s="149"/>
      <c r="E20" s="146" t="s">
        <v>160</v>
      </c>
      <c r="F20" s="146"/>
      <c r="G20" s="147" t="s">
        <v>159</v>
      </c>
      <c r="H20" s="147"/>
      <c r="I20" s="95">
        <f>'Commercials 1 - RFID+ANPR'!L15+'Commercials 1 - RFID+ANPR'!L16</f>
        <v>16969.696969696972</v>
      </c>
      <c r="J20" s="86"/>
      <c r="K20" s="85"/>
      <c r="L20" s="142">
        <f>I20*8</f>
        <v>135757.57575757577</v>
      </c>
    </row>
    <row r="21" spans="2:12" ht="41.5" customHeight="1" x14ac:dyDescent="0.35">
      <c r="B21" s="156"/>
      <c r="C21" s="150"/>
      <c r="D21" s="151"/>
      <c r="E21" s="146" t="s">
        <v>161</v>
      </c>
      <c r="F21" s="146"/>
      <c r="G21" s="147" t="s">
        <v>156</v>
      </c>
      <c r="H21" s="147"/>
      <c r="I21" s="95">
        <f>'Commercials 1 - RFID+ANPR'!M17</f>
        <v>50000</v>
      </c>
      <c r="J21" s="86"/>
      <c r="K21" s="85"/>
      <c r="L21" s="86">
        <f>I21</f>
        <v>50000</v>
      </c>
    </row>
    <row r="22" spans="2:12" ht="41.5" customHeight="1" x14ac:dyDescent="0.35">
      <c r="B22" s="47">
        <v>3</v>
      </c>
      <c r="C22" s="157" t="s">
        <v>114</v>
      </c>
      <c r="D22" s="158"/>
      <c r="E22" s="159" t="s">
        <v>164</v>
      </c>
      <c r="F22" s="160"/>
      <c r="G22" s="147" t="s">
        <v>171</v>
      </c>
      <c r="H22" s="147"/>
      <c r="I22" s="96">
        <f>K22</f>
        <v>104444.44444444444</v>
      </c>
      <c r="J22" s="86">
        <f>'Commercials 1 - RFID+ANPR'!L20+'Commercials 1 - RFID+ANPR'!L22</f>
        <v>1253333.3333333333</v>
      </c>
      <c r="K22" s="142">
        <f>J22/12</f>
        <v>104444.44444444444</v>
      </c>
      <c r="L22" s="142">
        <f>K22*12</f>
        <v>1253333.3333333333</v>
      </c>
    </row>
    <row r="23" spans="2:12" ht="6.65" customHeight="1" x14ac:dyDescent="0.35">
      <c r="B23" s="161"/>
      <c r="C23" s="161"/>
      <c r="D23" s="161"/>
      <c r="E23" s="161"/>
      <c r="F23" s="161"/>
      <c r="G23" s="161"/>
      <c r="H23" s="161"/>
      <c r="I23" s="161"/>
      <c r="J23" s="86"/>
    </row>
    <row r="24" spans="2:12" ht="18.649999999999999" customHeight="1" x14ac:dyDescent="0.35">
      <c r="B24" s="152" t="s">
        <v>48</v>
      </c>
      <c r="C24" s="152"/>
      <c r="D24" s="152"/>
      <c r="E24" s="152"/>
      <c r="F24" s="152"/>
      <c r="G24" s="152"/>
      <c r="H24" s="152"/>
      <c r="I24" s="152"/>
    </row>
    <row r="25" spans="2:12" ht="326" customHeight="1" x14ac:dyDescent="0.35">
      <c r="B25" s="153" t="s">
        <v>169</v>
      </c>
      <c r="C25" s="153"/>
      <c r="D25" s="154"/>
      <c r="E25" s="154"/>
      <c r="F25" s="154"/>
      <c r="G25" s="154"/>
      <c r="H25" s="154"/>
      <c r="I25" s="154"/>
    </row>
    <row r="26" spans="2:12" ht="18.649999999999999" customHeight="1" x14ac:dyDescent="0.35">
      <c r="B26" s="152" t="s">
        <v>90</v>
      </c>
      <c r="C26" s="152"/>
      <c r="D26" s="152"/>
      <c r="E26" s="152"/>
      <c r="F26" s="152"/>
      <c r="G26" s="152"/>
      <c r="H26" s="152"/>
      <c r="I26" s="152"/>
    </row>
  </sheetData>
  <mergeCells count="55">
    <mergeCell ref="B14:I14"/>
    <mergeCell ref="B15:I15"/>
    <mergeCell ref="B8:I8"/>
    <mergeCell ref="B4:C4"/>
    <mergeCell ref="D4:E4"/>
    <mergeCell ref="F4:G5"/>
    <mergeCell ref="H4:I5"/>
    <mergeCell ref="B5:C5"/>
    <mergeCell ref="D5:E5"/>
    <mergeCell ref="B6:C6"/>
    <mergeCell ref="D6:E6"/>
    <mergeCell ref="F6:I7"/>
    <mergeCell ref="B7:C7"/>
    <mergeCell ref="D7:E7"/>
    <mergeCell ref="B12:C12"/>
    <mergeCell ref="D12:E12"/>
    <mergeCell ref="B1:G1"/>
    <mergeCell ref="H1:I1"/>
    <mergeCell ref="B2:I2"/>
    <mergeCell ref="B3:C3"/>
    <mergeCell ref="D3:E3"/>
    <mergeCell ref="F3:G3"/>
    <mergeCell ref="H3:I3"/>
    <mergeCell ref="F12:G12"/>
    <mergeCell ref="H12:I12"/>
    <mergeCell ref="B13:C13"/>
    <mergeCell ref="D13:I13"/>
    <mergeCell ref="B9:I9"/>
    <mergeCell ref="B10:C10"/>
    <mergeCell ref="D10:I10"/>
    <mergeCell ref="B11:C11"/>
    <mergeCell ref="D11:I11"/>
    <mergeCell ref="B16:I16"/>
    <mergeCell ref="B18:B19"/>
    <mergeCell ref="C18:D19"/>
    <mergeCell ref="E18:F18"/>
    <mergeCell ref="G18:H18"/>
    <mergeCell ref="E19:F19"/>
    <mergeCell ref="G19:H19"/>
    <mergeCell ref="C17:D17"/>
    <mergeCell ref="E17:F17"/>
    <mergeCell ref="G17:H17"/>
    <mergeCell ref="B26:I26"/>
    <mergeCell ref="C22:D22"/>
    <mergeCell ref="E22:F22"/>
    <mergeCell ref="G22:H22"/>
    <mergeCell ref="B23:I23"/>
    <mergeCell ref="E21:F21"/>
    <mergeCell ref="G21:H21"/>
    <mergeCell ref="C20:D21"/>
    <mergeCell ref="B24:I24"/>
    <mergeCell ref="B25:I25"/>
    <mergeCell ref="E20:F20"/>
    <mergeCell ref="G20:H20"/>
    <mergeCell ref="B20:B21"/>
  </mergeCells>
  <pageMargins left="0.25" right="0.25" top="0.49" bottom="0.28000000000000003" header="0.3" footer="0.3"/>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BBC1-9BB7-491B-8E07-71CCEAD648EC}">
  <dimension ref="B2:C9"/>
  <sheetViews>
    <sheetView zoomScale="190" zoomScaleNormal="190" workbookViewId="0">
      <selection activeCell="E14" sqref="E14"/>
    </sheetView>
  </sheetViews>
  <sheetFormatPr defaultRowHeight="14.5" x14ac:dyDescent="0.35"/>
  <sheetData>
    <row r="2" spans="2:3" x14ac:dyDescent="0.35">
      <c r="B2" t="s">
        <v>60</v>
      </c>
    </row>
    <row r="3" spans="2:3" x14ac:dyDescent="0.35">
      <c r="B3" t="s">
        <v>59</v>
      </c>
    </row>
    <row r="5" spans="2:3" x14ac:dyDescent="0.35">
      <c r="B5" t="s">
        <v>61</v>
      </c>
      <c r="C5" t="s">
        <v>62</v>
      </c>
    </row>
    <row r="6" spans="2:3" x14ac:dyDescent="0.35">
      <c r="B6" t="s">
        <v>63</v>
      </c>
      <c r="C6" t="s">
        <v>64</v>
      </c>
    </row>
    <row r="7" spans="2:3" x14ac:dyDescent="0.35">
      <c r="B7" t="s">
        <v>65</v>
      </c>
      <c r="C7" t="s">
        <v>66</v>
      </c>
    </row>
    <row r="8" spans="2:3" x14ac:dyDescent="0.35">
      <c r="B8" t="s">
        <v>67</v>
      </c>
      <c r="C8" t="s">
        <v>68</v>
      </c>
    </row>
    <row r="9" spans="2:3" x14ac:dyDescent="0.35">
      <c r="B9" t="s">
        <v>69</v>
      </c>
      <c r="C9"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723C-039E-4F0E-82A9-9B275A219F61}">
  <sheetPr>
    <tabColor theme="9" tint="0.39997558519241921"/>
  </sheetPr>
  <dimension ref="B1:P36"/>
  <sheetViews>
    <sheetView zoomScale="70" zoomScaleNormal="70" workbookViewId="0">
      <selection activeCell="D3" sqref="D3"/>
    </sheetView>
  </sheetViews>
  <sheetFormatPr defaultRowHeight="14.5" x14ac:dyDescent="0.35"/>
  <cols>
    <col min="1" max="1" width="3.453125" customWidth="1"/>
    <col min="2" max="2" width="25.81640625" customWidth="1"/>
    <col min="3" max="3" width="19.90625" customWidth="1"/>
    <col min="4" max="4" width="38" customWidth="1"/>
    <col min="5" max="5" width="48.36328125" customWidth="1"/>
    <col min="6" max="6" width="26.81640625" customWidth="1"/>
    <col min="7" max="8" width="18.54296875" customWidth="1"/>
    <col min="9" max="9" width="24.08984375" customWidth="1"/>
    <col min="10" max="10" width="24.36328125" customWidth="1"/>
    <col min="11" max="11" width="17.90625" customWidth="1"/>
    <col min="12" max="12" width="20.81640625" customWidth="1"/>
    <col min="13" max="13" width="24.36328125" customWidth="1"/>
    <col min="14" max="14" width="21.54296875" customWidth="1"/>
    <col min="15" max="15" width="21.54296875" style="108" customWidth="1"/>
    <col min="16" max="16" width="15.08984375" customWidth="1"/>
  </cols>
  <sheetData>
    <row r="1" spans="2:16" ht="15" thickBot="1" x14ac:dyDescent="0.4"/>
    <row r="2" spans="2:16" s="77" customFormat="1" ht="18.5" x14ac:dyDescent="0.35">
      <c r="B2" s="205" t="s">
        <v>7</v>
      </c>
      <c r="C2" s="206"/>
      <c r="D2" s="76" t="s">
        <v>129</v>
      </c>
      <c r="F2" s="78"/>
      <c r="G2" s="78"/>
      <c r="H2" s="79"/>
      <c r="I2" s="79"/>
      <c r="J2" s="79"/>
      <c r="K2" s="79"/>
      <c r="L2" s="79"/>
      <c r="M2" s="79"/>
      <c r="O2" s="109"/>
    </row>
    <row r="3" spans="2:16" s="77" customFormat="1" ht="18.5" x14ac:dyDescent="0.35">
      <c r="B3" s="203" t="s">
        <v>8</v>
      </c>
      <c r="C3" s="204"/>
      <c r="D3" s="80">
        <v>45975</v>
      </c>
      <c r="H3" s="79"/>
      <c r="I3" s="79"/>
      <c r="J3" s="79"/>
      <c r="K3" s="79"/>
      <c r="L3" s="79"/>
      <c r="M3" s="79"/>
      <c r="O3" s="109"/>
    </row>
    <row r="4" spans="2:16" s="77" customFormat="1" ht="18.5" x14ac:dyDescent="0.35">
      <c r="B4" s="203" t="s">
        <v>10</v>
      </c>
      <c r="C4" s="204"/>
      <c r="D4" s="81">
        <v>3</v>
      </c>
      <c r="F4"/>
      <c r="G4"/>
      <c r="H4"/>
      <c r="I4"/>
      <c r="J4"/>
      <c r="K4"/>
      <c r="L4"/>
      <c r="M4"/>
      <c r="N4"/>
      <c r="O4" s="108"/>
    </row>
    <row r="5" spans="2:16" s="77" customFormat="1" ht="18.5" x14ac:dyDescent="0.35">
      <c r="B5" s="203" t="s">
        <v>13</v>
      </c>
      <c r="C5" s="204"/>
      <c r="D5" s="82">
        <v>0.15</v>
      </c>
      <c r="E5"/>
      <c r="F5" s="78"/>
      <c r="G5" s="78"/>
      <c r="H5" s="79"/>
      <c r="I5" s="79"/>
      <c r="J5" s="79"/>
      <c r="K5" s="79"/>
      <c r="L5" s="79"/>
      <c r="M5" s="79"/>
      <c r="O5" s="109"/>
    </row>
    <row r="6" spans="2:16" s="77" customFormat="1" ht="18.5" x14ac:dyDescent="0.35">
      <c r="B6" s="203" t="s">
        <v>37</v>
      </c>
      <c r="C6" s="204"/>
      <c r="D6" s="121">
        <v>2.5000000000000001E-2</v>
      </c>
      <c r="E6"/>
      <c r="F6" s="78"/>
      <c r="G6" s="78"/>
      <c r="H6" s="79"/>
      <c r="I6" s="79"/>
      <c r="J6" s="79"/>
      <c r="K6" s="79"/>
      <c r="L6" s="79"/>
      <c r="M6" s="79"/>
      <c r="O6" s="109"/>
    </row>
    <row r="7" spans="2:16" s="77" customFormat="1" ht="18.5" x14ac:dyDescent="0.35">
      <c r="B7" s="203" t="s">
        <v>152</v>
      </c>
      <c r="C7" s="204"/>
      <c r="D7" s="83">
        <v>50000</v>
      </c>
      <c r="E7"/>
      <c r="F7" s="78"/>
      <c r="G7" s="78"/>
      <c r="H7" s="79"/>
      <c r="I7" s="79"/>
      <c r="J7" s="79"/>
      <c r="K7" s="79"/>
      <c r="L7"/>
      <c r="M7"/>
      <c r="O7" s="109"/>
    </row>
    <row r="8" spans="2:16" s="77" customFormat="1" ht="19" thickBot="1" x14ac:dyDescent="0.4">
      <c r="B8" s="207" t="s">
        <v>170</v>
      </c>
      <c r="C8" s="208"/>
      <c r="D8" s="84">
        <v>12000</v>
      </c>
      <c r="E8"/>
      <c r="F8" s="78"/>
      <c r="G8" s="78"/>
      <c r="H8" s="79"/>
      <c r="I8" s="79"/>
      <c r="J8" s="79"/>
      <c r="K8" s="79"/>
      <c r="L8"/>
      <c r="M8"/>
      <c r="O8" s="109"/>
    </row>
    <row r="9" spans="2:16" ht="16" thickBot="1" x14ac:dyDescent="0.4">
      <c r="B9" s="15"/>
      <c r="C9" s="15"/>
      <c r="D9" s="15"/>
      <c r="E9" s="15"/>
      <c r="F9" s="15"/>
      <c r="G9" s="15"/>
      <c r="H9" s="15"/>
      <c r="I9" s="15"/>
      <c r="J9" s="15"/>
      <c r="K9" s="75"/>
      <c r="L9" s="15"/>
      <c r="M9" s="15"/>
    </row>
    <row r="10" spans="2:16" ht="67.25" customHeight="1" thickBot="1" x14ac:dyDescent="0.4">
      <c r="B10" s="43" t="s">
        <v>30</v>
      </c>
      <c r="C10" s="44" t="s">
        <v>22</v>
      </c>
      <c r="D10" s="44"/>
      <c r="E10" s="44" t="s">
        <v>23</v>
      </c>
      <c r="F10" s="44" t="s">
        <v>19</v>
      </c>
      <c r="G10" s="44" t="s">
        <v>24</v>
      </c>
      <c r="H10" s="44" t="s">
        <v>32</v>
      </c>
      <c r="I10" s="44" t="s">
        <v>125</v>
      </c>
      <c r="J10" s="44" t="s">
        <v>118</v>
      </c>
      <c r="K10" s="44" t="s">
        <v>31</v>
      </c>
      <c r="L10" s="45" t="s">
        <v>120</v>
      </c>
      <c r="M10" s="46" t="s">
        <v>119</v>
      </c>
      <c r="N10" s="107" t="s">
        <v>112</v>
      </c>
      <c r="O10" s="110" t="s">
        <v>123</v>
      </c>
    </row>
    <row r="11" spans="2:16" ht="15.65" customHeight="1" x14ac:dyDescent="0.35">
      <c r="B11" s="195" t="s">
        <v>124</v>
      </c>
      <c r="C11" s="198" t="s">
        <v>20</v>
      </c>
      <c r="D11" s="197" t="s">
        <v>149</v>
      </c>
      <c r="E11" s="16" t="s">
        <v>148</v>
      </c>
      <c r="F11" s="17" t="s">
        <v>6</v>
      </c>
      <c r="G11" s="26">
        <f>BOQ!J36</f>
        <v>1548000</v>
      </c>
      <c r="H11" s="106">
        <v>0</v>
      </c>
      <c r="I11" s="119"/>
      <c r="J11" s="25">
        <f>IF(H11=0,G11,G11*H11)</f>
        <v>1548000</v>
      </c>
      <c r="K11" s="18">
        <v>0.25</v>
      </c>
      <c r="L11" s="105">
        <f>G11/(1-K11)</f>
        <v>2064000</v>
      </c>
      <c r="M11" s="30">
        <f>J11/(1-K11)</f>
        <v>2064000</v>
      </c>
      <c r="N11" s="30">
        <f>M11-J11</f>
        <v>516000</v>
      </c>
      <c r="O11" s="111">
        <f t="shared" ref="O11:O27" si="0">N11/M11</f>
        <v>0.25</v>
      </c>
      <c r="P11" s="120" t="e">
        <f>M11/(M11+#REF!)</f>
        <v>#REF!</v>
      </c>
    </row>
    <row r="12" spans="2:16" ht="15.5" x14ac:dyDescent="0.35">
      <c r="B12" s="195"/>
      <c r="C12" s="198"/>
      <c r="D12" s="197"/>
      <c r="E12" s="16" t="s">
        <v>37</v>
      </c>
      <c r="F12" s="17" t="s">
        <v>6</v>
      </c>
      <c r="G12" s="26">
        <f>$D$6*G11</f>
        <v>38700</v>
      </c>
      <c r="H12" s="106">
        <v>0</v>
      </c>
      <c r="I12" s="119"/>
      <c r="J12" s="25">
        <f>IF(H12=0,G12,G12*H12)</f>
        <v>38700</v>
      </c>
      <c r="K12" s="18">
        <v>0.25</v>
      </c>
      <c r="L12" s="105">
        <f>G12/(1-K12)</f>
        <v>51600</v>
      </c>
      <c r="M12" s="30">
        <f>J12/(1-K12)</f>
        <v>51600</v>
      </c>
      <c r="N12" s="30">
        <f>M12-J12</f>
        <v>12900</v>
      </c>
      <c r="O12" s="111">
        <f t="shared" si="0"/>
        <v>0.25</v>
      </c>
    </row>
    <row r="13" spans="2:16" ht="15.5" x14ac:dyDescent="0.35">
      <c r="B13" s="195"/>
      <c r="C13" s="198"/>
      <c r="D13" s="198"/>
      <c r="E13" s="199" t="s">
        <v>20</v>
      </c>
      <c r="F13" s="200"/>
      <c r="G13" s="200"/>
      <c r="H13" s="201"/>
      <c r="I13" s="99"/>
      <c r="J13" s="50">
        <f>SUM(J11:J12)</f>
        <v>1586700</v>
      </c>
      <c r="K13" s="93"/>
      <c r="L13" s="50"/>
      <c r="M13" s="50">
        <f>SUM(M11:M12)</f>
        <v>2115600</v>
      </c>
      <c r="N13" s="50">
        <f>SUM(N11:N12)</f>
        <v>528900</v>
      </c>
      <c r="O13" s="112">
        <f t="shared" si="0"/>
        <v>0.25</v>
      </c>
    </row>
    <row r="14" spans="2:16" ht="16.75" customHeight="1" x14ac:dyDescent="0.35">
      <c r="B14" s="209"/>
      <c r="C14" s="202"/>
      <c r="D14" s="191" t="s">
        <v>11</v>
      </c>
      <c r="E14" s="192"/>
      <c r="F14" s="192"/>
      <c r="G14" s="192"/>
      <c r="H14" s="193"/>
      <c r="I14" s="100"/>
      <c r="J14" s="27">
        <f>J13</f>
        <v>1586700</v>
      </c>
      <c r="K14" s="94"/>
      <c r="L14" s="27"/>
      <c r="M14" s="27">
        <f>M13</f>
        <v>2115600</v>
      </c>
      <c r="N14" s="27">
        <f>N13</f>
        <v>528900</v>
      </c>
      <c r="O14" s="113">
        <f t="shared" si="0"/>
        <v>0.25</v>
      </c>
    </row>
    <row r="15" spans="2:16" ht="15.5" x14ac:dyDescent="0.35">
      <c r="B15" s="209"/>
      <c r="C15" s="202" t="s">
        <v>36</v>
      </c>
      <c r="D15" s="74" t="s">
        <v>146</v>
      </c>
      <c r="E15" s="19" t="s">
        <v>150</v>
      </c>
      <c r="F15" s="19" t="s">
        <v>6</v>
      </c>
      <c r="G15" s="26">
        <f>'Manpower-PM Cost'!I9</f>
        <v>7727.2727272727279</v>
      </c>
      <c r="H15" s="106">
        <v>8</v>
      </c>
      <c r="I15" s="119"/>
      <c r="J15" s="25">
        <f>IF(H15=0,G15,G15*H15)</f>
        <v>61818.181818181823</v>
      </c>
      <c r="K15" s="18">
        <v>0.25</v>
      </c>
      <c r="L15" s="105">
        <f>G15/(1-K15)</f>
        <v>10303.030303030304</v>
      </c>
      <c r="M15" s="30">
        <f t="shared" ref="M15:M16" si="1">J15/(1-K15)</f>
        <v>82424.242424242431</v>
      </c>
      <c r="N15" s="30">
        <f>M15-J15</f>
        <v>20606.060606060608</v>
      </c>
      <c r="O15" s="111">
        <f t="shared" si="0"/>
        <v>0.25</v>
      </c>
    </row>
    <row r="16" spans="2:16" ht="15.5" x14ac:dyDescent="0.35">
      <c r="B16" s="209"/>
      <c r="C16" s="202"/>
      <c r="D16" s="74" t="s">
        <v>100</v>
      </c>
      <c r="E16" s="19" t="s">
        <v>121</v>
      </c>
      <c r="F16" s="19" t="s">
        <v>6</v>
      </c>
      <c r="G16" s="26">
        <f>'Manpower-PM Cost'!J24</f>
        <v>5000</v>
      </c>
      <c r="H16" s="106">
        <v>8</v>
      </c>
      <c r="I16" s="119"/>
      <c r="J16" s="25">
        <f>IF(H16=0,G16,G16*H16)</f>
        <v>40000</v>
      </c>
      <c r="K16" s="18">
        <v>0.25</v>
      </c>
      <c r="L16" s="105">
        <f>G16/(1-K16)</f>
        <v>6666.666666666667</v>
      </c>
      <c r="M16" s="30">
        <f t="shared" si="1"/>
        <v>53333.333333333336</v>
      </c>
      <c r="N16" s="30">
        <f>M16-J16</f>
        <v>13333.333333333336</v>
      </c>
      <c r="O16" s="111">
        <f t="shared" si="0"/>
        <v>0.25000000000000006</v>
      </c>
    </row>
    <row r="17" spans="2:15" ht="15.5" x14ac:dyDescent="0.35">
      <c r="B17" s="209"/>
      <c r="C17" s="202"/>
      <c r="D17" s="103" t="s">
        <v>35</v>
      </c>
      <c r="E17" s="3" t="s">
        <v>151</v>
      </c>
      <c r="F17" s="3" t="s">
        <v>6</v>
      </c>
      <c r="G17" s="26">
        <f>$D$7</f>
        <v>50000</v>
      </c>
      <c r="H17" s="106">
        <v>1</v>
      </c>
      <c r="I17" s="119"/>
      <c r="J17" s="25">
        <f>IF(H17=0,G17,G17*H17)</f>
        <v>50000</v>
      </c>
      <c r="K17" s="18">
        <v>0</v>
      </c>
      <c r="L17" s="105">
        <f>G17/(1-K17)</f>
        <v>50000</v>
      </c>
      <c r="M17" s="30">
        <f>J17/(1-K17)</f>
        <v>50000</v>
      </c>
      <c r="N17" s="30">
        <f>M17-J17</f>
        <v>0</v>
      </c>
      <c r="O17" s="111">
        <f t="shared" si="0"/>
        <v>0</v>
      </c>
    </row>
    <row r="18" spans="2:15" ht="15.5" x14ac:dyDescent="0.35">
      <c r="B18" s="209"/>
      <c r="C18" s="202"/>
      <c r="D18" s="191" t="s">
        <v>29</v>
      </c>
      <c r="E18" s="192"/>
      <c r="F18" s="192"/>
      <c r="G18" s="192"/>
      <c r="H18" s="193"/>
      <c r="I18" s="100"/>
      <c r="J18" s="27">
        <f>SUM(J15:J17)</f>
        <v>151818.18181818182</v>
      </c>
      <c r="K18" s="20"/>
      <c r="L18" s="27">
        <f>SUM(L15:L17)</f>
        <v>66969.696969696975</v>
      </c>
      <c r="M18" s="31">
        <f>SUM(M15:M17)</f>
        <v>185757.57575757577</v>
      </c>
      <c r="N18" s="31">
        <f>SUM(N15:N17)</f>
        <v>33939.393939393944</v>
      </c>
      <c r="O18" s="114">
        <f t="shared" si="0"/>
        <v>0.18270799347471453</v>
      </c>
    </row>
    <row r="19" spans="2:15" ht="19.25" customHeight="1" x14ac:dyDescent="0.35">
      <c r="B19" s="209"/>
      <c r="C19" s="185" t="s">
        <v>18</v>
      </c>
      <c r="D19" s="186"/>
      <c r="E19" s="186"/>
      <c r="F19" s="186"/>
      <c r="G19" s="186"/>
      <c r="H19" s="187"/>
      <c r="I19" s="101"/>
      <c r="J19" s="28">
        <f>J14+J18</f>
        <v>1738518.1818181819</v>
      </c>
      <c r="K19" s="14"/>
      <c r="L19" s="28">
        <f>L14+L18</f>
        <v>66969.696969696975</v>
      </c>
      <c r="M19" s="28">
        <f>M14+M18</f>
        <v>2301357.5757575757</v>
      </c>
      <c r="N19" s="28">
        <f>N14+N18</f>
        <v>562839.39393939392</v>
      </c>
      <c r="O19" s="115">
        <f t="shared" si="0"/>
        <v>0.24456842338119267</v>
      </c>
    </row>
    <row r="20" spans="2:15" ht="15.5" x14ac:dyDescent="0.35">
      <c r="B20" s="194" t="s">
        <v>40</v>
      </c>
      <c r="C20" s="196" t="s">
        <v>25</v>
      </c>
      <c r="D20" s="74" t="s">
        <v>122</v>
      </c>
      <c r="E20" s="3" t="s">
        <v>106</v>
      </c>
      <c r="F20" s="3" t="s">
        <v>21</v>
      </c>
      <c r="G20" s="26">
        <f>'Manpower-PM Cost'!U9+'Manpower-PM Cost'!V24</f>
        <v>76000</v>
      </c>
      <c r="H20" s="87"/>
      <c r="I20" s="104">
        <f>$D$4</f>
        <v>3</v>
      </c>
      <c r="J20" s="25">
        <f>IF(H20=0,G20*I20,G20*H20*I20)</f>
        <v>228000</v>
      </c>
      <c r="K20" s="18">
        <v>0.25</v>
      </c>
      <c r="L20" s="105">
        <f>G20/(1-K20)</f>
        <v>101333.33333333333</v>
      </c>
      <c r="M20" s="30">
        <f>J20/(1-K20)</f>
        <v>304000</v>
      </c>
      <c r="N20" s="30">
        <f t="shared" ref="N20:N25" si="2">M20*K20</f>
        <v>76000</v>
      </c>
      <c r="O20" s="111">
        <f t="shared" si="0"/>
        <v>0.25</v>
      </c>
    </row>
    <row r="21" spans="2:15" ht="15.5" x14ac:dyDescent="0.35">
      <c r="B21" s="194"/>
      <c r="C21" s="197"/>
      <c r="D21" s="191" t="s">
        <v>93</v>
      </c>
      <c r="E21" s="192"/>
      <c r="F21" s="192"/>
      <c r="G21" s="192"/>
      <c r="H21" s="193"/>
      <c r="I21" s="100"/>
      <c r="J21" s="27">
        <f>SUM(J20:J20)</f>
        <v>228000</v>
      </c>
      <c r="K21" s="20"/>
      <c r="L21" s="27">
        <f>SUM(L20:L20)</f>
        <v>101333.33333333333</v>
      </c>
      <c r="M21" s="27">
        <f>SUM(M20:M20)</f>
        <v>304000</v>
      </c>
      <c r="N21" s="27">
        <f>SUM(N20)</f>
        <v>76000</v>
      </c>
      <c r="O21" s="113">
        <f t="shared" si="0"/>
        <v>0.25</v>
      </c>
    </row>
    <row r="22" spans="2:15" ht="15.5" x14ac:dyDescent="0.35">
      <c r="B22" s="194"/>
      <c r="C22" s="197"/>
      <c r="D22" s="35" t="s">
        <v>12</v>
      </c>
      <c r="E22" s="3" t="s">
        <v>155</v>
      </c>
      <c r="F22" s="3" t="s">
        <v>21</v>
      </c>
      <c r="G22" s="26">
        <f>D8*12*8</f>
        <v>1152000</v>
      </c>
      <c r="H22" s="87"/>
      <c r="I22" s="104">
        <v>3</v>
      </c>
      <c r="J22" s="25">
        <f>IF(H22=0,G22*I22,G22*H22*I22)</f>
        <v>3456000</v>
      </c>
      <c r="K22" s="18">
        <v>0</v>
      </c>
      <c r="L22" s="105">
        <f>G22/(1-K22)</f>
        <v>1152000</v>
      </c>
      <c r="M22" s="30">
        <f>J22/(1-K22)</f>
        <v>3456000</v>
      </c>
      <c r="N22" s="30">
        <f>M22*0.5</f>
        <v>1728000</v>
      </c>
      <c r="O22" s="111">
        <f t="shared" si="0"/>
        <v>0.5</v>
      </c>
    </row>
    <row r="23" spans="2:15" ht="15.5" x14ac:dyDescent="0.35">
      <c r="B23" s="194"/>
      <c r="C23" s="198"/>
      <c r="D23" s="191" t="s">
        <v>94</v>
      </c>
      <c r="E23" s="192"/>
      <c r="F23" s="192"/>
      <c r="G23" s="192"/>
      <c r="H23" s="193"/>
      <c r="I23" s="100"/>
      <c r="J23" s="27">
        <f>SUM(J22)</f>
        <v>3456000</v>
      </c>
      <c r="K23" s="20"/>
      <c r="L23" s="27">
        <f>SUM(L22)</f>
        <v>1152000</v>
      </c>
      <c r="M23" s="27">
        <f>SUM(M22)</f>
        <v>3456000</v>
      </c>
      <c r="N23" s="27">
        <f>SUM(N22)</f>
        <v>1728000</v>
      </c>
      <c r="O23" s="113">
        <f t="shared" si="0"/>
        <v>0.5</v>
      </c>
    </row>
    <row r="24" spans="2:15" ht="19.25" customHeight="1" x14ac:dyDescent="0.35">
      <c r="B24" s="195"/>
      <c r="C24" s="185" t="s">
        <v>40</v>
      </c>
      <c r="D24" s="186"/>
      <c r="E24" s="186"/>
      <c r="F24" s="186"/>
      <c r="G24" s="186"/>
      <c r="H24" s="187"/>
      <c r="I24" s="101"/>
      <c r="J24" s="28">
        <f>J21+J23</f>
        <v>3684000</v>
      </c>
      <c r="K24" s="14"/>
      <c r="L24" s="28">
        <f>L21+L23</f>
        <v>1253333.3333333333</v>
      </c>
      <c r="M24" s="28">
        <f>M21+M23</f>
        <v>3760000</v>
      </c>
      <c r="N24" s="28">
        <f>N21+N23</f>
        <v>1804000</v>
      </c>
      <c r="O24" s="115">
        <f t="shared" si="0"/>
        <v>0.47978723404255319</v>
      </c>
    </row>
    <row r="25" spans="2:15" ht="15.5" x14ac:dyDescent="0.35">
      <c r="B25" s="183" t="s">
        <v>41</v>
      </c>
      <c r="C25" s="122" t="s">
        <v>41</v>
      </c>
      <c r="D25" s="123" t="s">
        <v>95</v>
      </c>
      <c r="E25" s="17" t="s">
        <v>157</v>
      </c>
      <c r="F25" s="17" t="s">
        <v>21</v>
      </c>
      <c r="G25" s="25">
        <f>G11*$D$5</f>
        <v>232200</v>
      </c>
      <c r="H25" s="104">
        <f>Master!$B$9</f>
        <v>2</v>
      </c>
      <c r="I25" s="104">
        <f>$D$4-1</f>
        <v>2</v>
      </c>
      <c r="J25" s="25">
        <f>IF(H25=0,G25*I25,G25*H25*I25)</f>
        <v>928800</v>
      </c>
      <c r="K25" s="18">
        <v>0.25</v>
      </c>
      <c r="L25" s="105">
        <f>G25/(1-K25)</f>
        <v>309600</v>
      </c>
      <c r="M25" s="30">
        <f>J25/(1-K25)</f>
        <v>1238400</v>
      </c>
      <c r="N25" s="30">
        <f t="shared" si="2"/>
        <v>309600</v>
      </c>
      <c r="O25" s="111">
        <f t="shared" si="0"/>
        <v>0.25</v>
      </c>
    </row>
    <row r="26" spans="2:15" ht="19.25" customHeight="1" thickBot="1" x14ac:dyDescent="0.4">
      <c r="B26" s="184"/>
      <c r="C26" s="185" t="s">
        <v>71</v>
      </c>
      <c r="D26" s="186"/>
      <c r="E26" s="186"/>
      <c r="F26" s="186"/>
      <c r="G26" s="186"/>
      <c r="H26" s="187"/>
      <c r="I26" s="101"/>
      <c r="J26" s="28">
        <f>SUM(J25:J25)</f>
        <v>928800</v>
      </c>
      <c r="K26" s="14"/>
      <c r="L26" s="28">
        <f>SUM(L25:L25)</f>
        <v>309600</v>
      </c>
      <c r="M26" s="32">
        <f>SUM(M25:M25)</f>
        <v>1238400</v>
      </c>
      <c r="N26" s="32">
        <f>SUM(N25:N25)</f>
        <v>309600</v>
      </c>
      <c r="O26" s="116">
        <f t="shared" si="0"/>
        <v>0.25</v>
      </c>
    </row>
    <row r="27" spans="2:15" ht="23.4" customHeight="1" thickBot="1" x14ac:dyDescent="0.4">
      <c r="B27" s="188" t="s">
        <v>73</v>
      </c>
      <c r="C27" s="189"/>
      <c r="D27" s="189"/>
      <c r="E27" s="189"/>
      <c r="F27" s="189"/>
      <c r="G27" s="189"/>
      <c r="H27" s="190"/>
      <c r="I27" s="102"/>
      <c r="J27" s="29">
        <f>J19+J24+J26</f>
        <v>6351318.1818181816</v>
      </c>
      <c r="K27" s="22"/>
      <c r="L27" s="33"/>
      <c r="M27" s="29">
        <f>M19+M24+M26</f>
        <v>7299757.5757575762</v>
      </c>
      <c r="N27" s="117">
        <f>N19+N24+N26</f>
        <v>2676439.393939394</v>
      </c>
      <c r="O27" s="118">
        <f t="shared" si="0"/>
        <v>0.36664770934692725</v>
      </c>
    </row>
    <row r="28" spans="2:15" x14ac:dyDescent="0.35">
      <c r="K28" s="21"/>
      <c r="L28" s="21"/>
    </row>
    <row r="29" spans="2:15" x14ac:dyDescent="0.35">
      <c r="L29" s="85"/>
    </row>
    <row r="30" spans="2:15" x14ac:dyDescent="0.35">
      <c r="O30"/>
    </row>
    <row r="31" spans="2:15" x14ac:dyDescent="0.35">
      <c r="O31"/>
    </row>
    <row r="32" spans="2:15" x14ac:dyDescent="0.35">
      <c r="O32"/>
    </row>
    <row r="33" spans="15:15" x14ac:dyDescent="0.35">
      <c r="O33"/>
    </row>
    <row r="34" spans="15:15" x14ac:dyDescent="0.35">
      <c r="O34"/>
    </row>
    <row r="35" spans="15:15" x14ac:dyDescent="0.35">
      <c r="O35"/>
    </row>
    <row r="36" spans="15:15" x14ac:dyDescent="0.35">
      <c r="O36"/>
    </row>
  </sheetData>
  <mergeCells count="23">
    <mergeCell ref="E13:H13"/>
    <mergeCell ref="D14:H14"/>
    <mergeCell ref="C15:C18"/>
    <mergeCell ref="B6:C6"/>
    <mergeCell ref="B2:C2"/>
    <mergeCell ref="B3:C3"/>
    <mergeCell ref="B4:C4"/>
    <mergeCell ref="B5:C5"/>
    <mergeCell ref="B7:C7"/>
    <mergeCell ref="B8:C8"/>
    <mergeCell ref="B11:B19"/>
    <mergeCell ref="C11:C14"/>
    <mergeCell ref="D11:D13"/>
    <mergeCell ref="B25:B26"/>
    <mergeCell ref="C26:H26"/>
    <mergeCell ref="B27:H27"/>
    <mergeCell ref="D18:H18"/>
    <mergeCell ref="C19:H19"/>
    <mergeCell ref="B20:B24"/>
    <mergeCell ref="C20:C23"/>
    <mergeCell ref="D21:H21"/>
    <mergeCell ref="D23:H23"/>
    <mergeCell ref="C24:H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A8EF-309D-492B-A46E-B10BC5E44BE8}">
  <sheetPr>
    <tabColor theme="9" tint="0.39997558519241921"/>
  </sheetPr>
  <dimension ref="B1:P36"/>
  <sheetViews>
    <sheetView zoomScale="70" zoomScaleNormal="70" workbookViewId="0">
      <selection activeCell="D3" sqref="D3"/>
    </sheetView>
  </sheetViews>
  <sheetFormatPr defaultRowHeight="14.5" x14ac:dyDescent="0.35"/>
  <cols>
    <col min="1" max="1" width="3.453125" customWidth="1"/>
    <col min="2" max="2" width="25.81640625" customWidth="1"/>
    <col min="3" max="3" width="19.90625" customWidth="1"/>
    <col min="4" max="4" width="38" customWidth="1"/>
    <col min="5" max="5" width="48.36328125" customWidth="1"/>
    <col min="6" max="6" width="26.81640625" customWidth="1"/>
    <col min="7" max="8" width="18.54296875" customWidth="1"/>
    <col min="9" max="9" width="24.08984375" customWidth="1"/>
    <col min="10" max="10" width="24.36328125" customWidth="1"/>
    <col min="11" max="11" width="17.90625" customWidth="1"/>
    <col min="12" max="12" width="20.81640625" customWidth="1"/>
    <col min="13" max="13" width="24.36328125" customWidth="1"/>
    <col min="14" max="14" width="21.54296875" customWidth="1"/>
    <col min="15" max="15" width="21.54296875" style="108" customWidth="1"/>
    <col min="16" max="16" width="15.08984375" customWidth="1"/>
  </cols>
  <sheetData>
    <row r="1" spans="2:16" ht="15" thickBot="1" x14ac:dyDescent="0.4"/>
    <row r="2" spans="2:16" s="77" customFormat="1" ht="18.5" x14ac:dyDescent="0.35">
      <c r="B2" s="205" t="s">
        <v>7</v>
      </c>
      <c r="C2" s="206"/>
      <c r="D2" s="76" t="s">
        <v>129</v>
      </c>
      <c r="F2" s="78"/>
      <c r="G2" s="78"/>
      <c r="H2" s="79"/>
      <c r="I2" s="79"/>
      <c r="J2" s="79"/>
      <c r="K2" s="79"/>
      <c r="L2" s="79"/>
      <c r="M2" s="79"/>
      <c r="O2" s="109"/>
    </row>
    <row r="3" spans="2:16" s="77" customFormat="1" ht="18.5" x14ac:dyDescent="0.35">
      <c r="B3" s="203" t="s">
        <v>8</v>
      </c>
      <c r="C3" s="204"/>
      <c r="D3" s="80">
        <v>45975</v>
      </c>
      <c r="H3" s="79"/>
      <c r="I3" s="79"/>
      <c r="J3" s="79"/>
      <c r="K3" s="79"/>
      <c r="L3" s="79"/>
      <c r="M3" s="79"/>
      <c r="O3" s="109"/>
    </row>
    <row r="4" spans="2:16" s="77" customFormat="1" ht="18.5" x14ac:dyDescent="0.35">
      <c r="B4" s="203" t="s">
        <v>10</v>
      </c>
      <c r="C4" s="204"/>
      <c r="D4" s="81">
        <v>3</v>
      </c>
      <c r="F4"/>
      <c r="G4"/>
      <c r="H4"/>
      <c r="I4"/>
      <c r="J4"/>
      <c r="K4"/>
      <c r="L4"/>
      <c r="M4"/>
      <c r="N4"/>
      <c r="O4" s="108"/>
    </row>
    <row r="5" spans="2:16" s="77" customFormat="1" ht="18.5" x14ac:dyDescent="0.35">
      <c r="B5" s="203" t="s">
        <v>13</v>
      </c>
      <c r="C5" s="204"/>
      <c r="D5" s="82">
        <v>0.15</v>
      </c>
      <c r="E5"/>
      <c r="F5" s="78"/>
      <c r="G5" s="78"/>
      <c r="H5" s="79"/>
      <c r="I5" s="79"/>
      <c r="J5" s="79"/>
      <c r="K5" s="79"/>
      <c r="L5" s="79"/>
      <c r="M5" s="79"/>
      <c r="O5" s="109"/>
    </row>
    <row r="6" spans="2:16" s="77" customFormat="1" ht="18.5" x14ac:dyDescent="0.35">
      <c r="B6" s="203" t="s">
        <v>37</v>
      </c>
      <c r="C6" s="204"/>
      <c r="D6" s="121">
        <v>2.5000000000000001E-2</v>
      </c>
      <c r="E6"/>
      <c r="F6" s="78"/>
      <c r="G6" s="78"/>
      <c r="H6" s="79"/>
      <c r="I6" s="79"/>
      <c r="J6" s="79"/>
      <c r="K6" s="79"/>
      <c r="L6" s="79"/>
      <c r="M6" s="79"/>
      <c r="O6" s="109"/>
    </row>
    <row r="7" spans="2:16" s="77" customFormat="1" ht="18.5" x14ac:dyDescent="0.35">
      <c r="B7" s="203" t="s">
        <v>152</v>
      </c>
      <c r="C7" s="204"/>
      <c r="D7" s="83">
        <v>50000</v>
      </c>
      <c r="E7"/>
      <c r="F7" s="78"/>
      <c r="G7" s="78"/>
      <c r="H7" s="79"/>
      <c r="I7" s="79"/>
      <c r="J7" s="79"/>
      <c r="K7" s="79"/>
      <c r="L7"/>
      <c r="M7"/>
      <c r="O7" s="109"/>
    </row>
    <row r="8" spans="2:16" s="77" customFormat="1" ht="19" thickBot="1" x14ac:dyDescent="0.4">
      <c r="B8" s="207" t="s">
        <v>170</v>
      </c>
      <c r="C8" s="208"/>
      <c r="D8" s="84">
        <v>12000</v>
      </c>
      <c r="E8"/>
      <c r="F8" s="78"/>
      <c r="G8" s="78"/>
      <c r="H8" s="79"/>
      <c r="I8" s="79"/>
      <c r="J8" s="79"/>
      <c r="K8" s="79"/>
      <c r="L8"/>
      <c r="M8"/>
      <c r="O8" s="109"/>
    </row>
    <row r="9" spans="2:16" ht="16" thickBot="1" x14ac:dyDescent="0.4">
      <c r="B9" s="15"/>
      <c r="C9" s="15"/>
      <c r="D9" s="15"/>
      <c r="E9" s="15"/>
      <c r="F9" s="15"/>
      <c r="G9" s="15"/>
      <c r="H9" s="15"/>
      <c r="I9" s="15"/>
      <c r="J9" s="15"/>
      <c r="K9" s="75"/>
      <c r="L9" s="15"/>
      <c r="M9" s="15"/>
    </row>
    <row r="10" spans="2:16" ht="67.25" customHeight="1" thickBot="1" x14ac:dyDescent="0.4">
      <c r="B10" s="43" t="s">
        <v>30</v>
      </c>
      <c r="C10" s="44" t="s">
        <v>22</v>
      </c>
      <c r="D10" s="44"/>
      <c r="E10" s="44" t="s">
        <v>23</v>
      </c>
      <c r="F10" s="44" t="s">
        <v>19</v>
      </c>
      <c r="G10" s="44" t="s">
        <v>24</v>
      </c>
      <c r="H10" s="44" t="s">
        <v>32</v>
      </c>
      <c r="I10" s="44" t="s">
        <v>125</v>
      </c>
      <c r="J10" s="44" t="s">
        <v>118</v>
      </c>
      <c r="K10" s="44" t="s">
        <v>31</v>
      </c>
      <c r="L10" s="45" t="s">
        <v>120</v>
      </c>
      <c r="M10" s="46" t="s">
        <v>119</v>
      </c>
      <c r="N10" s="107" t="s">
        <v>112</v>
      </c>
      <c r="O10" s="110" t="s">
        <v>123</v>
      </c>
    </row>
    <row r="11" spans="2:16" ht="15.65" customHeight="1" x14ac:dyDescent="0.35">
      <c r="B11" s="195" t="s">
        <v>124</v>
      </c>
      <c r="C11" s="198" t="s">
        <v>20</v>
      </c>
      <c r="D11" s="197" t="s">
        <v>149</v>
      </c>
      <c r="E11" s="16" t="s">
        <v>168</v>
      </c>
      <c r="F11" s="17" t="s">
        <v>6</v>
      </c>
      <c r="G11" s="26">
        <f ca="1">'Total Hardware'!K8</f>
        <v>963000</v>
      </c>
      <c r="H11" s="106">
        <v>0</v>
      </c>
      <c r="I11" s="119"/>
      <c r="J11" s="25">
        <f>BOQ!N36</f>
        <v>963000</v>
      </c>
      <c r="K11" s="18">
        <v>0.25</v>
      </c>
      <c r="L11" s="105">
        <f ca="1">G11/(1-K11)</f>
        <v>1284000</v>
      </c>
      <c r="M11" s="30">
        <f>J11/(1-K11)</f>
        <v>1284000</v>
      </c>
      <c r="N11" s="30">
        <f>M11-J11</f>
        <v>321000</v>
      </c>
      <c r="O11" s="111">
        <f t="shared" ref="O11:O27" si="0">N11/M11</f>
        <v>0.25</v>
      </c>
      <c r="P11" s="120" t="e">
        <f>M11/(M11+#REF!)</f>
        <v>#REF!</v>
      </c>
    </row>
    <row r="12" spans="2:16" ht="15.5" x14ac:dyDescent="0.35">
      <c r="B12" s="195"/>
      <c r="C12" s="198"/>
      <c r="D12" s="197"/>
      <c r="E12" s="16" t="s">
        <v>37</v>
      </c>
      <c r="F12" s="17" t="s">
        <v>6</v>
      </c>
      <c r="G12" s="26">
        <f ca="1">$D$6*G11</f>
        <v>24075</v>
      </c>
      <c r="H12" s="106">
        <v>0</v>
      </c>
      <c r="I12" s="119"/>
      <c r="J12" s="25">
        <f ca="1">IF(H12=0,G12,G12*H12)</f>
        <v>24075</v>
      </c>
      <c r="K12" s="18">
        <v>0.25</v>
      </c>
      <c r="L12" s="105">
        <f ca="1">G12/(1-K12)</f>
        <v>32100</v>
      </c>
      <c r="M12" s="30">
        <f ca="1">J12/(1-K12)</f>
        <v>32100</v>
      </c>
      <c r="N12" s="30">
        <f ca="1">M12-J12</f>
        <v>8025</v>
      </c>
      <c r="O12" s="111">
        <f t="shared" ca="1" si="0"/>
        <v>0.25</v>
      </c>
    </row>
    <row r="13" spans="2:16" ht="15.5" x14ac:dyDescent="0.35">
      <c r="B13" s="195"/>
      <c r="C13" s="198"/>
      <c r="D13" s="198"/>
      <c r="E13" s="199" t="s">
        <v>20</v>
      </c>
      <c r="F13" s="200"/>
      <c r="G13" s="200"/>
      <c r="H13" s="201"/>
      <c r="I13" s="99"/>
      <c r="J13" s="50">
        <f ca="1">SUM(J11:J12)</f>
        <v>987075</v>
      </c>
      <c r="K13" s="93"/>
      <c r="L13" s="50"/>
      <c r="M13" s="50">
        <f ca="1">SUM(M11:M12)</f>
        <v>1316100</v>
      </c>
      <c r="N13" s="50">
        <f ca="1">SUM(N11:N12)</f>
        <v>329025</v>
      </c>
      <c r="O13" s="112">
        <f t="shared" ca="1" si="0"/>
        <v>0.25</v>
      </c>
    </row>
    <row r="14" spans="2:16" ht="16.75" customHeight="1" x14ac:dyDescent="0.35">
      <c r="B14" s="209"/>
      <c r="C14" s="202"/>
      <c r="D14" s="191" t="s">
        <v>11</v>
      </c>
      <c r="E14" s="192"/>
      <c r="F14" s="192"/>
      <c r="G14" s="192"/>
      <c r="H14" s="193"/>
      <c r="I14" s="100"/>
      <c r="J14" s="27">
        <f ca="1">J13</f>
        <v>987075</v>
      </c>
      <c r="K14" s="94"/>
      <c r="L14" s="27"/>
      <c r="M14" s="27">
        <f ca="1">M13</f>
        <v>1316100</v>
      </c>
      <c r="N14" s="27">
        <f ca="1">N13</f>
        <v>329025</v>
      </c>
      <c r="O14" s="113">
        <f t="shared" ca="1" si="0"/>
        <v>0.25</v>
      </c>
    </row>
    <row r="15" spans="2:16" ht="15.5" x14ac:dyDescent="0.35">
      <c r="B15" s="209"/>
      <c r="C15" s="202" t="s">
        <v>36</v>
      </c>
      <c r="D15" s="74" t="s">
        <v>146</v>
      </c>
      <c r="E15" s="19" t="s">
        <v>150</v>
      </c>
      <c r="F15" s="19" t="s">
        <v>6</v>
      </c>
      <c r="G15" s="26">
        <f>'Manpower-PM Cost'!I9</f>
        <v>7727.2727272727279</v>
      </c>
      <c r="H15" s="106">
        <v>8</v>
      </c>
      <c r="I15" s="119"/>
      <c r="J15" s="25">
        <f>IF(H15=0,G15,G15*H15)</f>
        <v>61818.181818181823</v>
      </c>
      <c r="K15" s="18">
        <v>0.25</v>
      </c>
      <c r="L15" s="105">
        <f>G15/(1-K15)</f>
        <v>10303.030303030304</v>
      </c>
      <c r="M15" s="30">
        <f t="shared" ref="M15:M16" si="1">J15/(1-K15)</f>
        <v>82424.242424242431</v>
      </c>
      <c r="N15" s="30">
        <f>M15-J15</f>
        <v>20606.060606060608</v>
      </c>
      <c r="O15" s="111">
        <f t="shared" si="0"/>
        <v>0.25</v>
      </c>
    </row>
    <row r="16" spans="2:16" ht="15.5" x14ac:dyDescent="0.35">
      <c r="B16" s="209"/>
      <c r="C16" s="202"/>
      <c r="D16" s="74" t="s">
        <v>100</v>
      </c>
      <c r="E16" s="19" t="s">
        <v>121</v>
      </c>
      <c r="F16" s="19" t="s">
        <v>6</v>
      </c>
      <c r="G16" s="26">
        <f>'Manpower-PM Cost'!J24</f>
        <v>5000</v>
      </c>
      <c r="H16" s="106">
        <v>8</v>
      </c>
      <c r="I16" s="119"/>
      <c r="J16" s="25">
        <f>IF(H16=0,G16,G16*H16)</f>
        <v>40000</v>
      </c>
      <c r="K16" s="18">
        <v>0.25</v>
      </c>
      <c r="L16" s="105">
        <f>G16/(1-K16)</f>
        <v>6666.666666666667</v>
      </c>
      <c r="M16" s="30">
        <f t="shared" si="1"/>
        <v>53333.333333333336</v>
      </c>
      <c r="N16" s="30">
        <f>M16-J16</f>
        <v>13333.333333333336</v>
      </c>
      <c r="O16" s="111">
        <f t="shared" si="0"/>
        <v>0.25000000000000006</v>
      </c>
    </row>
    <row r="17" spans="2:15" ht="15.5" x14ac:dyDescent="0.35">
      <c r="B17" s="209"/>
      <c r="C17" s="202"/>
      <c r="D17" s="103" t="s">
        <v>35</v>
      </c>
      <c r="E17" s="3" t="s">
        <v>151</v>
      </c>
      <c r="F17" s="3" t="s">
        <v>6</v>
      </c>
      <c r="G17" s="26">
        <f>$D$7</f>
        <v>50000</v>
      </c>
      <c r="H17" s="106">
        <v>1</v>
      </c>
      <c r="I17" s="119"/>
      <c r="J17" s="25">
        <f>IF(H17=0,G17,G17*H17)</f>
        <v>50000</v>
      </c>
      <c r="K17" s="18">
        <v>0</v>
      </c>
      <c r="L17" s="105">
        <f>G17/(1-K17)</f>
        <v>50000</v>
      </c>
      <c r="M17" s="30">
        <f>J17/(1-K17)</f>
        <v>50000</v>
      </c>
      <c r="N17" s="30">
        <f>M17-J17</f>
        <v>0</v>
      </c>
      <c r="O17" s="111">
        <f t="shared" si="0"/>
        <v>0</v>
      </c>
    </row>
    <row r="18" spans="2:15" ht="15.5" x14ac:dyDescent="0.35">
      <c r="B18" s="209"/>
      <c r="C18" s="202"/>
      <c r="D18" s="191" t="s">
        <v>29</v>
      </c>
      <c r="E18" s="192"/>
      <c r="F18" s="192"/>
      <c r="G18" s="192"/>
      <c r="H18" s="193"/>
      <c r="I18" s="100"/>
      <c r="J18" s="27">
        <f>SUM(J15:J17)</f>
        <v>151818.18181818182</v>
      </c>
      <c r="K18" s="20"/>
      <c r="L18" s="27">
        <f>SUM(L15:L17)</f>
        <v>66969.696969696975</v>
      </c>
      <c r="M18" s="31">
        <f>SUM(M15:M17)</f>
        <v>185757.57575757577</v>
      </c>
      <c r="N18" s="31">
        <f>SUM(N15:N17)</f>
        <v>33939.393939393944</v>
      </c>
      <c r="O18" s="114">
        <f t="shared" si="0"/>
        <v>0.18270799347471453</v>
      </c>
    </row>
    <row r="19" spans="2:15" ht="19.25" customHeight="1" x14ac:dyDescent="0.35">
      <c r="B19" s="209"/>
      <c r="C19" s="185" t="s">
        <v>18</v>
      </c>
      <c r="D19" s="186"/>
      <c r="E19" s="186"/>
      <c r="F19" s="186"/>
      <c r="G19" s="186"/>
      <c r="H19" s="187"/>
      <c r="I19" s="101"/>
      <c r="J19" s="28">
        <f ca="1">J14+J18</f>
        <v>1138893.1818181819</v>
      </c>
      <c r="K19" s="14"/>
      <c r="L19" s="28">
        <f>L14+L18</f>
        <v>66969.696969696975</v>
      </c>
      <c r="M19" s="28">
        <f ca="1">M14+M18</f>
        <v>1501857.5757575757</v>
      </c>
      <c r="N19" s="28">
        <f ca="1">N14+N18</f>
        <v>362964.39393939392</v>
      </c>
      <c r="O19" s="115">
        <f t="shared" ca="1" si="0"/>
        <v>0.24167697376783903</v>
      </c>
    </row>
    <row r="20" spans="2:15" ht="15.5" x14ac:dyDescent="0.35">
      <c r="B20" s="194" t="s">
        <v>40</v>
      </c>
      <c r="C20" s="196" t="s">
        <v>25</v>
      </c>
      <c r="D20" s="74" t="s">
        <v>122</v>
      </c>
      <c r="E20" s="3" t="s">
        <v>106</v>
      </c>
      <c r="F20" s="3" t="s">
        <v>21</v>
      </c>
      <c r="G20" s="26">
        <f>'Manpower-PM Cost'!U9+'Manpower-PM Cost'!V24</f>
        <v>76000</v>
      </c>
      <c r="H20" s="87"/>
      <c r="I20" s="104">
        <f>$D$4</f>
        <v>3</v>
      </c>
      <c r="J20" s="25">
        <f>IF(H20=0,G20*I20,G20*H20*I20)</f>
        <v>228000</v>
      </c>
      <c r="K20" s="18">
        <v>0.25</v>
      </c>
      <c r="L20" s="105">
        <f>G20/(1-K20)</f>
        <v>101333.33333333333</v>
      </c>
      <c r="M20" s="30">
        <f>J20/(1-K20)</f>
        <v>304000</v>
      </c>
      <c r="N20" s="30">
        <f t="shared" ref="N20:N25" si="2">M20*K20</f>
        <v>76000</v>
      </c>
      <c r="O20" s="111">
        <f t="shared" si="0"/>
        <v>0.25</v>
      </c>
    </row>
    <row r="21" spans="2:15" ht="15.5" x14ac:dyDescent="0.35">
      <c r="B21" s="194"/>
      <c r="C21" s="197"/>
      <c r="D21" s="191" t="s">
        <v>93</v>
      </c>
      <c r="E21" s="192"/>
      <c r="F21" s="192"/>
      <c r="G21" s="192"/>
      <c r="H21" s="193"/>
      <c r="I21" s="100"/>
      <c r="J21" s="27">
        <f>SUM(J20:J20)</f>
        <v>228000</v>
      </c>
      <c r="K21" s="20"/>
      <c r="L21" s="27">
        <f>SUM(L20:L20)</f>
        <v>101333.33333333333</v>
      </c>
      <c r="M21" s="27">
        <f>SUM(M20:M20)</f>
        <v>304000</v>
      </c>
      <c r="N21" s="27">
        <f>SUM(N20)</f>
        <v>76000</v>
      </c>
      <c r="O21" s="113">
        <f t="shared" si="0"/>
        <v>0.25</v>
      </c>
    </row>
    <row r="22" spans="2:15" ht="15.5" x14ac:dyDescent="0.35">
      <c r="B22" s="194"/>
      <c r="C22" s="197"/>
      <c r="D22" s="35" t="s">
        <v>12</v>
      </c>
      <c r="E22" s="3" t="s">
        <v>155</v>
      </c>
      <c r="F22" s="3" t="s">
        <v>21</v>
      </c>
      <c r="G22" s="26">
        <f>D8*12*8</f>
        <v>1152000</v>
      </c>
      <c r="H22" s="87"/>
      <c r="I22" s="104">
        <v>3</v>
      </c>
      <c r="J22" s="25">
        <f>IF(H22=0,G22*I22,G22*H22*I22)</f>
        <v>3456000</v>
      </c>
      <c r="K22" s="18">
        <v>0</v>
      </c>
      <c r="L22" s="105">
        <f>G22/(1-K22)</f>
        <v>1152000</v>
      </c>
      <c r="M22" s="30">
        <f>J22/(1-K22)</f>
        <v>3456000</v>
      </c>
      <c r="N22" s="30">
        <f>M22*0.5</f>
        <v>1728000</v>
      </c>
      <c r="O22" s="111">
        <f t="shared" si="0"/>
        <v>0.5</v>
      </c>
    </row>
    <row r="23" spans="2:15" ht="15.5" x14ac:dyDescent="0.35">
      <c r="B23" s="194"/>
      <c r="C23" s="198"/>
      <c r="D23" s="191" t="s">
        <v>94</v>
      </c>
      <c r="E23" s="192"/>
      <c r="F23" s="192"/>
      <c r="G23" s="192"/>
      <c r="H23" s="193"/>
      <c r="I23" s="100"/>
      <c r="J23" s="27">
        <f>SUM(J22)</f>
        <v>3456000</v>
      </c>
      <c r="K23" s="20"/>
      <c r="L23" s="27">
        <f>SUM(L22)</f>
        <v>1152000</v>
      </c>
      <c r="M23" s="27">
        <f>SUM(M22)</f>
        <v>3456000</v>
      </c>
      <c r="N23" s="27">
        <f>SUM(N22)</f>
        <v>1728000</v>
      </c>
      <c r="O23" s="113">
        <f t="shared" si="0"/>
        <v>0.5</v>
      </c>
    </row>
    <row r="24" spans="2:15" ht="19.25" customHeight="1" x14ac:dyDescent="0.35">
      <c r="B24" s="195"/>
      <c r="C24" s="185" t="s">
        <v>40</v>
      </c>
      <c r="D24" s="186"/>
      <c r="E24" s="186"/>
      <c r="F24" s="186"/>
      <c r="G24" s="186"/>
      <c r="H24" s="187"/>
      <c r="I24" s="101"/>
      <c r="J24" s="28">
        <f>J21+J23</f>
        <v>3684000</v>
      </c>
      <c r="K24" s="14"/>
      <c r="L24" s="28">
        <f>L21+L23</f>
        <v>1253333.3333333333</v>
      </c>
      <c r="M24" s="28">
        <f>M21+M23</f>
        <v>3760000</v>
      </c>
      <c r="N24" s="28">
        <f>N21+N23</f>
        <v>1804000</v>
      </c>
      <c r="O24" s="115">
        <f t="shared" si="0"/>
        <v>0.47978723404255319</v>
      </c>
    </row>
    <row r="25" spans="2:15" ht="15.5" x14ac:dyDescent="0.35">
      <c r="B25" s="183" t="s">
        <v>41</v>
      </c>
      <c r="C25" s="122" t="s">
        <v>41</v>
      </c>
      <c r="D25" s="123" t="s">
        <v>95</v>
      </c>
      <c r="E25" s="17" t="s">
        <v>157</v>
      </c>
      <c r="F25" s="17" t="s">
        <v>21</v>
      </c>
      <c r="G25" s="25">
        <f ca="1">G11*$D$5</f>
        <v>144450</v>
      </c>
      <c r="H25" s="104">
        <f>Master!$B$9</f>
        <v>2</v>
      </c>
      <c r="I25" s="104">
        <f>$D$4-1</f>
        <v>2</v>
      </c>
      <c r="J25" s="25">
        <f ca="1">IF(H25=0,G25*I25,G25*H25*I25)</f>
        <v>577800</v>
      </c>
      <c r="K25" s="18">
        <v>0.25</v>
      </c>
      <c r="L25" s="105">
        <f ca="1">G25/(1-K25)</f>
        <v>192600</v>
      </c>
      <c r="M25" s="30">
        <f ca="1">J25/(1-K25)</f>
        <v>770400</v>
      </c>
      <c r="N25" s="30">
        <f t="shared" ca="1" si="2"/>
        <v>192600</v>
      </c>
      <c r="O25" s="111">
        <f t="shared" ca="1" si="0"/>
        <v>0.25</v>
      </c>
    </row>
    <row r="26" spans="2:15" ht="19.25" customHeight="1" thickBot="1" x14ac:dyDescent="0.4">
      <c r="B26" s="184"/>
      <c r="C26" s="185" t="s">
        <v>71</v>
      </c>
      <c r="D26" s="186"/>
      <c r="E26" s="186"/>
      <c r="F26" s="186"/>
      <c r="G26" s="186"/>
      <c r="H26" s="187"/>
      <c r="I26" s="101"/>
      <c r="J26" s="28">
        <f ca="1">SUM(J25:J25)</f>
        <v>577800</v>
      </c>
      <c r="K26" s="14"/>
      <c r="L26" s="28">
        <f ca="1">SUM(L25:L25)</f>
        <v>192600</v>
      </c>
      <c r="M26" s="32">
        <f ca="1">SUM(M25:M25)</f>
        <v>770400</v>
      </c>
      <c r="N26" s="32">
        <f ca="1">SUM(N25:N25)</f>
        <v>192600</v>
      </c>
      <c r="O26" s="116">
        <f t="shared" ca="1" si="0"/>
        <v>0.25</v>
      </c>
    </row>
    <row r="27" spans="2:15" ht="23.4" customHeight="1" thickBot="1" x14ac:dyDescent="0.4">
      <c r="B27" s="188" t="s">
        <v>73</v>
      </c>
      <c r="C27" s="189"/>
      <c r="D27" s="189"/>
      <c r="E27" s="189"/>
      <c r="F27" s="189"/>
      <c r="G27" s="189"/>
      <c r="H27" s="190"/>
      <c r="I27" s="102"/>
      <c r="J27" s="29">
        <f ca="1">J19+J24+J26</f>
        <v>5400693.1818181816</v>
      </c>
      <c r="K27" s="22"/>
      <c r="L27" s="33"/>
      <c r="M27" s="29">
        <f ca="1">M19+M24+M26</f>
        <v>6032257.5757575762</v>
      </c>
      <c r="N27" s="117">
        <f ca="1">N19+N24+N26</f>
        <v>2359564.393939394</v>
      </c>
      <c r="O27" s="118">
        <f t="shared" ca="1" si="0"/>
        <v>0.39115776544788244</v>
      </c>
    </row>
    <row r="28" spans="2:15" x14ac:dyDescent="0.35">
      <c r="K28" s="21"/>
      <c r="L28" s="21"/>
    </row>
    <row r="29" spans="2:15" x14ac:dyDescent="0.35">
      <c r="L29" s="85"/>
    </row>
    <row r="30" spans="2:15" x14ac:dyDescent="0.35">
      <c r="O30"/>
    </row>
    <row r="31" spans="2:15" x14ac:dyDescent="0.35">
      <c r="O31"/>
    </row>
    <row r="32" spans="2:15" x14ac:dyDescent="0.35">
      <c r="O32"/>
    </row>
    <row r="33" spans="15:15" x14ac:dyDescent="0.35">
      <c r="O33"/>
    </row>
    <row r="34" spans="15:15" x14ac:dyDescent="0.35">
      <c r="O34"/>
    </row>
    <row r="35" spans="15:15" x14ac:dyDescent="0.35">
      <c r="O35"/>
    </row>
    <row r="36" spans="15:15" x14ac:dyDescent="0.35">
      <c r="O36"/>
    </row>
  </sheetData>
  <mergeCells count="23">
    <mergeCell ref="B7:C7"/>
    <mergeCell ref="B2:C2"/>
    <mergeCell ref="B3:C3"/>
    <mergeCell ref="B4:C4"/>
    <mergeCell ref="B5:C5"/>
    <mergeCell ref="B6:C6"/>
    <mergeCell ref="B8:C8"/>
    <mergeCell ref="B11:B19"/>
    <mergeCell ref="C11:C14"/>
    <mergeCell ref="D11:D13"/>
    <mergeCell ref="E13:H13"/>
    <mergeCell ref="D14:H14"/>
    <mergeCell ref="C15:C18"/>
    <mergeCell ref="D18:H18"/>
    <mergeCell ref="C19:H19"/>
    <mergeCell ref="B27:H27"/>
    <mergeCell ref="B20:B24"/>
    <mergeCell ref="C20:C23"/>
    <mergeCell ref="D21:H21"/>
    <mergeCell ref="D23:H23"/>
    <mergeCell ref="C24:H24"/>
    <mergeCell ref="B25:B26"/>
    <mergeCell ref="C26:H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1BFC-C586-47E8-9853-07F73EF9CB38}">
  <sheetPr>
    <tabColor theme="8" tint="0.79998168889431442"/>
  </sheetPr>
  <dimension ref="B1:W35"/>
  <sheetViews>
    <sheetView topLeftCell="K5" zoomScale="105" zoomScaleNormal="115" workbookViewId="0">
      <selection activeCell="I9" sqref="I9"/>
    </sheetView>
  </sheetViews>
  <sheetFormatPr defaultColWidth="8.90625" defaultRowHeight="15.5" x14ac:dyDescent="0.35"/>
  <cols>
    <col min="1" max="1" width="2.81640625" style="15" customWidth="1"/>
    <col min="2" max="2" width="3.54296875" style="15" customWidth="1"/>
    <col min="3" max="3" width="35.81640625" style="15" customWidth="1"/>
    <col min="4" max="4" width="22.54296875" style="15" customWidth="1"/>
    <col min="5" max="5" width="15.1796875" style="15" customWidth="1"/>
    <col min="6" max="6" width="12.6328125" style="15" customWidth="1"/>
    <col min="7" max="7" width="16.1796875" style="15" customWidth="1"/>
    <col min="8" max="8" width="15.1796875" style="15" customWidth="1"/>
    <col min="9" max="10" width="15" style="15" customWidth="1"/>
    <col min="11" max="11" width="3.54296875" style="15" customWidth="1"/>
    <col min="12" max="13" width="2.81640625" style="15" customWidth="1"/>
    <col min="14" max="14" width="3.54296875" style="15" customWidth="1"/>
    <col min="15" max="16" width="22.54296875" style="15" customWidth="1"/>
    <col min="17" max="18" width="12.6328125" style="15" customWidth="1"/>
    <col min="19" max="19" width="16.1796875" style="15" customWidth="1"/>
    <col min="20" max="20" width="12.6328125" style="15" customWidth="1"/>
    <col min="21" max="22" width="15" style="15" customWidth="1"/>
    <col min="23" max="23" width="3.54296875" style="15" customWidth="1"/>
    <col min="24" max="24" width="2.81640625" style="15" customWidth="1"/>
    <col min="25" max="16384" width="8.90625" style="15"/>
  </cols>
  <sheetData>
    <row r="1" spans="2:23" ht="16" thickBot="1" x14ac:dyDescent="0.4"/>
    <row r="2" spans="2:23" x14ac:dyDescent="0.35">
      <c r="B2" s="214" t="s">
        <v>115</v>
      </c>
      <c r="C2" s="215"/>
      <c r="D2" s="215"/>
      <c r="E2" s="215"/>
      <c r="F2" s="215"/>
      <c r="G2" s="215"/>
      <c r="H2" s="215"/>
      <c r="I2" s="215"/>
      <c r="J2" s="215"/>
      <c r="K2" s="216"/>
      <c r="N2" s="214" t="s">
        <v>101</v>
      </c>
      <c r="O2" s="215"/>
      <c r="P2" s="215"/>
      <c r="Q2" s="215"/>
      <c r="R2" s="215"/>
      <c r="S2" s="215"/>
      <c r="T2" s="215"/>
      <c r="U2" s="215"/>
      <c r="V2" s="215"/>
      <c r="W2" s="216"/>
    </row>
    <row r="3" spans="2:23" x14ac:dyDescent="0.35">
      <c r="B3" s="62"/>
      <c r="K3" s="63"/>
      <c r="N3" s="62"/>
      <c r="W3" s="63"/>
    </row>
    <row r="4" spans="2:23" ht="27" customHeight="1" x14ac:dyDescent="0.35">
      <c r="B4" s="62"/>
      <c r="C4" s="217" t="s">
        <v>36</v>
      </c>
      <c r="D4" s="217"/>
      <c r="E4" s="217"/>
      <c r="F4" s="217"/>
      <c r="G4" s="217"/>
      <c r="H4" s="217"/>
      <c r="I4" s="217"/>
      <c r="J4"/>
      <c r="K4" s="63"/>
      <c r="N4" s="62"/>
      <c r="O4" s="210" t="s">
        <v>103</v>
      </c>
      <c r="P4" s="211"/>
      <c r="Q4" s="211"/>
      <c r="R4" s="211"/>
      <c r="S4" s="211"/>
      <c r="T4" s="211"/>
      <c r="U4" s="218"/>
      <c r="V4" s="90"/>
      <c r="W4" s="63"/>
    </row>
    <row r="5" spans="2:23" ht="27" customHeight="1" x14ac:dyDescent="0.35">
      <c r="B5" s="62"/>
      <c r="C5" s="212" t="s">
        <v>146</v>
      </c>
      <c r="D5" s="212"/>
      <c r="E5" s="212"/>
      <c r="F5" s="212"/>
      <c r="G5" s="212"/>
      <c r="H5" s="212"/>
      <c r="I5" s="212"/>
      <c r="J5"/>
      <c r="K5" s="63"/>
      <c r="N5" s="62"/>
      <c r="O5" s="212" t="s">
        <v>102</v>
      </c>
      <c r="P5" s="212"/>
      <c r="Q5" s="212"/>
      <c r="R5" s="212"/>
      <c r="S5" s="212"/>
      <c r="T5" s="212"/>
      <c r="U5" s="212"/>
      <c r="V5" s="90"/>
      <c r="W5" s="63"/>
    </row>
    <row r="6" spans="2:23" ht="46.5" x14ac:dyDescent="0.35">
      <c r="B6" s="62"/>
      <c r="C6" s="5" t="s">
        <v>3</v>
      </c>
      <c r="D6" s="5" t="s">
        <v>19</v>
      </c>
      <c r="E6" s="5" t="s">
        <v>15</v>
      </c>
      <c r="F6" s="5" t="s">
        <v>16</v>
      </c>
      <c r="G6" s="5" t="s">
        <v>75</v>
      </c>
      <c r="H6" s="5" t="s">
        <v>17</v>
      </c>
      <c r="I6" s="5" t="s">
        <v>1</v>
      </c>
      <c r="J6"/>
      <c r="K6" s="63"/>
      <c r="N6" s="62"/>
      <c r="O6" s="5" t="s">
        <v>3</v>
      </c>
      <c r="P6" s="5" t="s">
        <v>19</v>
      </c>
      <c r="Q6" s="5" t="s">
        <v>15</v>
      </c>
      <c r="R6" s="5" t="s">
        <v>16</v>
      </c>
      <c r="S6" s="5" t="s">
        <v>75</v>
      </c>
      <c r="T6" s="5" t="s">
        <v>17</v>
      </c>
      <c r="U6" s="5" t="s">
        <v>1</v>
      </c>
      <c r="V6" s="91"/>
      <c r="W6" s="63"/>
    </row>
    <row r="7" spans="2:23" x14ac:dyDescent="0.35">
      <c r="B7" s="62"/>
      <c r="C7" s="40" t="s">
        <v>116</v>
      </c>
      <c r="D7" s="40" t="s">
        <v>83</v>
      </c>
      <c r="E7" s="6">
        <v>1</v>
      </c>
      <c r="F7" s="6">
        <v>1</v>
      </c>
      <c r="G7" s="24">
        <v>25000</v>
      </c>
      <c r="H7" s="141">
        <f>2/22</f>
        <v>9.0909090909090912E-2</v>
      </c>
      <c r="I7" s="24">
        <f>PRODUCT(E7:H7)</f>
        <v>2272.727272727273</v>
      </c>
      <c r="J7"/>
      <c r="K7" s="63"/>
      <c r="N7" s="62"/>
      <c r="O7" s="40" t="s">
        <v>162</v>
      </c>
      <c r="P7" s="40" t="s">
        <v>96</v>
      </c>
      <c r="Q7" s="6">
        <v>0.25</v>
      </c>
      <c r="R7" s="6">
        <v>0.5</v>
      </c>
      <c r="S7" s="24">
        <v>40000</v>
      </c>
      <c r="T7" s="6">
        <v>12</v>
      </c>
      <c r="U7" s="59">
        <f>PRODUCT(Q7:T7)</f>
        <v>60000</v>
      </c>
      <c r="V7"/>
      <c r="W7" s="63"/>
    </row>
    <row r="8" spans="2:23" x14ac:dyDescent="0.35">
      <c r="B8" s="62"/>
      <c r="C8" s="40" t="s">
        <v>117</v>
      </c>
      <c r="D8" s="40" t="s">
        <v>96</v>
      </c>
      <c r="E8" s="6">
        <v>1</v>
      </c>
      <c r="F8" s="6">
        <v>1</v>
      </c>
      <c r="G8" s="24">
        <v>60000</v>
      </c>
      <c r="H8" s="141">
        <f>2/22</f>
        <v>9.0909090909090912E-2</v>
      </c>
      <c r="I8" s="24">
        <f>PRODUCT(E8:H8)</f>
        <v>5454.545454545455</v>
      </c>
      <c r="J8"/>
      <c r="K8" s="63"/>
      <c r="N8" s="62"/>
      <c r="O8" s="40" t="s">
        <v>153</v>
      </c>
      <c r="P8" s="40" t="s">
        <v>96</v>
      </c>
      <c r="Q8" s="6">
        <v>0</v>
      </c>
      <c r="R8" s="6">
        <v>0</v>
      </c>
      <c r="S8" s="24">
        <v>0</v>
      </c>
      <c r="T8" s="6">
        <v>0</v>
      </c>
      <c r="U8" s="59">
        <f>PRODUCT(Q8:T8)</f>
        <v>0</v>
      </c>
      <c r="V8"/>
      <c r="W8" s="63"/>
    </row>
    <row r="9" spans="2:23" x14ac:dyDescent="0.35">
      <c r="B9" s="62"/>
      <c r="C9" s="40"/>
      <c r="D9" s="40"/>
      <c r="E9" s="51">
        <f>SUMPRODUCT(E7:E7,F7:F7)</f>
        <v>1</v>
      </c>
      <c r="F9" s="6"/>
      <c r="G9" s="6"/>
      <c r="H9" s="41" t="s">
        <v>1</v>
      </c>
      <c r="I9" s="42">
        <f>SUM(I7:I8)</f>
        <v>7727.2727272727279</v>
      </c>
      <c r="J9"/>
      <c r="K9" s="63"/>
      <c r="N9" s="62"/>
      <c r="O9" s="40"/>
      <c r="P9" s="40"/>
      <c r="Q9" s="51">
        <f>SUMPRODUCT(Q7:Q7,R7:R7)</f>
        <v>0.125</v>
      </c>
      <c r="R9" s="40"/>
      <c r="S9" s="40"/>
      <c r="T9" s="41" t="s">
        <v>1</v>
      </c>
      <c r="U9" s="60">
        <f>SUM(U7:U8)</f>
        <v>60000</v>
      </c>
      <c r="V9"/>
      <c r="W9" s="63"/>
    </row>
    <row r="10" spans="2:23" x14ac:dyDescent="0.35">
      <c r="B10" s="62"/>
      <c r="K10" s="63"/>
      <c r="L10" s="65"/>
      <c r="N10" s="62"/>
      <c r="W10" s="63"/>
    </row>
    <row r="11" spans="2:23" hidden="1" x14ac:dyDescent="0.35">
      <c r="B11" s="62"/>
      <c r="K11" s="63"/>
      <c r="L11" s="65"/>
      <c r="N11" s="62"/>
      <c r="W11" s="63"/>
    </row>
    <row r="12" spans="2:23" hidden="1" x14ac:dyDescent="0.35">
      <c r="B12" s="62"/>
      <c r="C12" s="52" t="s">
        <v>76</v>
      </c>
      <c r="D12" s="52"/>
      <c r="E12" s="52" t="s">
        <v>32</v>
      </c>
      <c r="F12" s="52" t="s">
        <v>77</v>
      </c>
      <c r="G12" s="52" t="s">
        <v>78</v>
      </c>
      <c r="K12" s="63"/>
      <c r="L12" s="66" t="s">
        <v>79</v>
      </c>
      <c r="N12" s="62"/>
      <c r="W12" s="63"/>
    </row>
    <row r="13" spans="2:23" hidden="1" x14ac:dyDescent="0.35">
      <c r="B13" s="62"/>
      <c r="C13" s="40" t="s">
        <v>80</v>
      </c>
      <c r="D13" s="40"/>
      <c r="E13" s="40">
        <v>47</v>
      </c>
      <c r="F13" s="40">
        <v>6</v>
      </c>
      <c r="G13" s="40">
        <f>ROUND(E13/F13,0)</f>
        <v>8</v>
      </c>
      <c r="K13" s="63"/>
      <c r="L13" s="67" t="s">
        <v>80</v>
      </c>
      <c r="N13" s="62"/>
      <c r="W13" s="63"/>
    </row>
    <row r="14" spans="2:23" hidden="1" x14ac:dyDescent="0.35">
      <c r="B14" s="62"/>
      <c r="C14" s="40" t="s">
        <v>81</v>
      </c>
      <c r="D14" s="40"/>
      <c r="E14" s="40">
        <v>40</v>
      </c>
      <c r="F14" s="40">
        <v>7</v>
      </c>
      <c r="G14" s="40">
        <f>ROUND(E14/F14,0)</f>
        <v>6</v>
      </c>
      <c r="K14" s="63"/>
      <c r="L14" s="67" t="s">
        <v>81</v>
      </c>
      <c r="N14" s="62"/>
      <c r="W14" s="63"/>
    </row>
    <row r="15" spans="2:23" hidden="1" x14ac:dyDescent="0.35">
      <c r="B15" s="62"/>
      <c r="C15" s="40" t="s">
        <v>82</v>
      </c>
      <c r="D15" s="40"/>
      <c r="E15" s="40">
        <v>810</v>
      </c>
      <c r="F15" s="53">
        <v>120</v>
      </c>
      <c r="G15" s="53">
        <f>ROUND(E15/F15,0)</f>
        <v>7</v>
      </c>
      <c r="K15" s="63"/>
      <c r="L15" s="67" t="s">
        <v>82</v>
      </c>
      <c r="N15" s="62"/>
      <c r="W15" s="63"/>
    </row>
    <row r="16" spans="2:23" hidden="1" x14ac:dyDescent="0.35">
      <c r="B16" s="62"/>
      <c r="F16" s="54" t="s">
        <v>83</v>
      </c>
      <c r="G16" s="55">
        <f>SUM(G13:G15)</f>
        <v>21</v>
      </c>
      <c r="K16" s="63"/>
      <c r="L16" s="65"/>
      <c r="N16" s="62"/>
      <c r="W16" s="63"/>
    </row>
    <row r="17" spans="2:23" hidden="1" x14ac:dyDescent="0.35">
      <c r="B17" s="62"/>
      <c r="F17" s="54" t="s">
        <v>84</v>
      </c>
      <c r="G17" s="56">
        <f>ROUND(G16/8,0)</f>
        <v>3</v>
      </c>
      <c r="K17" s="63"/>
      <c r="L17" s="65"/>
      <c r="N17" s="62"/>
      <c r="W17" s="63"/>
    </row>
    <row r="18" spans="2:23" hidden="1" x14ac:dyDescent="0.35">
      <c r="B18" s="62"/>
      <c r="F18" s="57" t="s">
        <v>1</v>
      </c>
      <c r="G18" s="58">
        <f>G16+G17</f>
        <v>24</v>
      </c>
      <c r="K18" s="63"/>
      <c r="L18" s="65"/>
      <c r="N18" s="62"/>
      <c r="W18" s="63"/>
    </row>
    <row r="19" spans="2:23" x14ac:dyDescent="0.35">
      <c r="B19" s="62"/>
      <c r="C19" s="213" t="s">
        <v>99</v>
      </c>
      <c r="D19" s="213"/>
      <c r="E19" s="213"/>
      <c r="F19" s="213"/>
      <c r="G19" s="213"/>
      <c r="H19" s="213"/>
      <c r="I19" s="213"/>
      <c r="J19" s="213"/>
      <c r="K19" s="63"/>
      <c r="N19" s="88"/>
      <c r="O19" s="210" t="s">
        <v>104</v>
      </c>
      <c r="P19" s="211"/>
      <c r="Q19" s="211"/>
      <c r="R19" s="211"/>
      <c r="S19" s="211"/>
      <c r="T19" s="211"/>
      <c r="U19" s="211"/>
      <c r="V19" s="211"/>
      <c r="W19" s="89"/>
    </row>
    <row r="20" spans="2:23" ht="27" customHeight="1" x14ac:dyDescent="0.35">
      <c r="B20" s="62"/>
      <c r="C20" s="212" t="s">
        <v>147</v>
      </c>
      <c r="D20" s="212"/>
      <c r="E20" s="212"/>
      <c r="F20" s="212"/>
      <c r="G20" s="212"/>
      <c r="H20" s="212"/>
      <c r="I20" s="212"/>
      <c r="J20" s="212"/>
      <c r="K20" s="63"/>
      <c r="N20" s="62"/>
      <c r="O20" s="212" t="s">
        <v>105</v>
      </c>
      <c r="P20" s="212"/>
      <c r="Q20" s="212"/>
      <c r="R20" s="212"/>
      <c r="S20" s="212"/>
      <c r="T20" s="212"/>
      <c r="U20" s="212"/>
      <c r="V20" s="212"/>
      <c r="W20" s="63"/>
    </row>
    <row r="21" spans="2:23" ht="27" customHeight="1" x14ac:dyDescent="0.35">
      <c r="B21" s="62"/>
      <c r="C21" s="39" t="s">
        <v>3</v>
      </c>
      <c r="D21" s="5" t="s">
        <v>19</v>
      </c>
      <c r="E21" s="5" t="s">
        <v>98</v>
      </c>
      <c r="F21" s="5" t="s">
        <v>39</v>
      </c>
      <c r="G21" s="5" t="s">
        <v>9</v>
      </c>
      <c r="H21" s="5" t="s">
        <v>5</v>
      </c>
      <c r="I21" s="5" t="s">
        <v>97</v>
      </c>
      <c r="J21" s="5" t="s">
        <v>1</v>
      </c>
      <c r="K21" s="63"/>
      <c r="N21" s="62"/>
      <c r="O21" s="39" t="s">
        <v>3</v>
      </c>
      <c r="P21" s="5" t="s">
        <v>19</v>
      </c>
      <c r="Q21" s="5" t="s">
        <v>4</v>
      </c>
      <c r="R21" s="5" t="s">
        <v>39</v>
      </c>
      <c r="S21" s="5" t="s">
        <v>9</v>
      </c>
      <c r="T21" s="5" t="s">
        <v>5</v>
      </c>
      <c r="U21" s="5" t="s">
        <v>85</v>
      </c>
      <c r="V21" s="5" t="s">
        <v>1</v>
      </c>
      <c r="W21" s="63"/>
    </row>
    <row r="22" spans="2:23" x14ac:dyDescent="0.35">
      <c r="B22" s="62"/>
      <c r="C22" s="40" t="s">
        <v>116</v>
      </c>
      <c r="D22" s="40" t="s">
        <v>83</v>
      </c>
      <c r="E22" s="61">
        <v>750</v>
      </c>
      <c r="F22" s="61">
        <f>750*2</f>
        <v>1500</v>
      </c>
      <c r="G22" s="61">
        <v>1000</v>
      </c>
      <c r="H22" s="36">
        <f>2</f>
        <v>2</v>
      </c>
      <c r="I22" s="36">
        <v>1</v>
      </c>
      <c r="J22" s="59">
        <f>(I22*H22*E22)+(F22*I22)+(G22*H22*I22)</f>
        <v>5000</v>
      </c>
      <c r="K22" s="63"/>
      <c r="N22" s="62"/>
      <c r="O22" s="40" t="s">
        <v>86</v>
      </c>
      <c r="P22" s="40" t="s">
        <v>21</v>
      </c>
      <c r="Q22" s="61">
        <v>0</v>
      </c>
      <c r="R22" s="61">
        <v>0</v>
      </c>
      <c r="S22" s="61">
        <v>0</v>
      </c>
      <c r="T22" s="36">
        <v>0</v>
      </c>
      <c r="U22" s="36">
        <v>0</v>
      </c>
      <c r="V22" s="59">
        <f t="shared" ref="V22:V23" si="0">(U22*T22*Q22)+(R22*U22)+(S22*T22*U22)</f>
        <v>0</v>
      </c>
      <c r="W22" s="63"/>
    </row>
    <row r="23" spans="2:23" x14ac:dyDescent="0.35">
      <c r="B23" s="62"/>
      <c r="C23" s="40" t="s">
        <v>117</v>
      </c>
      <c r="D23" s="40" t="s">
        <v>96</v>
      </c>
      <c r="E23" s="61">
        <v>0</v>
      </c>
      <c r="F23" s="61">
        <v>0</v>
      </c>
      <c r="G23" s="61">
        <v>0</v>
      </c>
      <c r="H23" s="36">
        <v>0</v>
      </c>
      <c r="I23" s="36">
        <v>0</v>
      </c>
      <c r="J23" s="59">
        <f>(I23*H23*E23)+(F23*I23)+(G23*H23*I23)</f>
        <v>0</v>
      </c>
      <c r="K23" s="63"/>
      <c r="N23" s="62"/>
      <c r="O23" s="40" t="s">
        <v>154</v>
      </c>
      <c r="P23" s="40" t="s">
        <v>21</v>
      </c>
      <c r="Q23" s="61">
        <v>1000</v>
      </c>
      <c r="R23" s="61">
        <v>1500</v>
      </c>
      <c r="S23" s="61">
        <v>1500</v>
      </c>
      <c r="T23" s="36">
        <v>1</v>
      </c>
      <c r="U23" s="36">
        <v>4</v>
      </c>
      <c r="V23" s="59">
        <f t="shared" si="0"/>
        <v>16000</v>
      </c>
      <c r="W23" s="63"/>
    </row>
    <row r="24" spans="2:23" x14ac:dyDescent="0.35">
      <c r="B24" s="62"/>
      <c r="C24" s="40"/>
      <c r="D24" s="40"/>
      <c r="E24" s="40"/>
      <c r="F24" s="40"/>
      <c r="G24" s="64"/>
      <c r="H24" s="40"/>
      <c r="I24" s="41" t="s">
        <v>1</v>
      </c>
      <c r="J24" s="60">
        <f>SUM(J22:J23)</f>
        <v>5000</v>
      </c>
      <c r="K24" s="63"/>
      <c r="N24" s="62"/>
      <c r="O24" s="40"/>
      <c r="P24" s="40"/>
      <c r="Q24" s="40"/>
      <c r="R24" s="40"/>
      <c r="S24" s="64"/>
      <c r="T24" s="40"/>
      <c r="U24" s="41" t="s">
        <v>1</v>
      </c>
      <c r="V24" s="60">
        <f>SUM(V22:V23)</f>
        <v>16000</v>
      </c>
      <c r="W24" s="63"/>
    </row>
    <row r="25" spans="2:23" ht="16.75" customHeight="1" x14ac:dyDescent="0.35">
      <c r="B25" s="62"/>
      <c r="K25" s="63"/>
      <c r="N25" s="62"/>
      <c r="W25" s="63"/>
    </row>
    <row r="26" spans="2:23" ht="16.75" customHeight="1" x14ac:dyDescent="0.35">
      <c r="B26" s="62"/>
      <c r="K26" s="63"/>
      <c r="N26" s="62"/>
      <c r="S26" s="15" t="s">
        <v>87</v>
      </c>
      <c r="W26" s="63"/>
    </row>
    <row r="27" spans="2:23" ht="16" thickBot="1" x14ac:dyDescent="0.4">
      <c r="B27" s="68"/>
      <c r="C27" s="69"/>
      <c r="D27" s="69"/>
      <c r="E27" s="69"/>
      <c r="F27" s="69"/>
      <c r="G27" s="69"/>
      <c r="H27" s="69"/>
      <c r="I27" s="69"/>
      <c r="J27" s="69"/>
      <c r="K27" s="70"/>
      <c r="N27" s="68"/>
      <c r="O27" s="69"/>
      <c r="P27" s="69"/>
      <c r="Q27" s="69"/>
      <c r="R27" s="69"/>
      <c r="S27" s="69"/>
      <c r="T27" s="69"/>
      <c r="U27" s="69"/>
      <c r="V27" s="69"/>
      <c r="W27" s="70"/>
    </row>
    <row r="29" spans="2:23" x14ac:dyDescent="0.35">
      <c r="H29" s="92"/>
      <c r="J29" s="92"/>
    </row>
    <row r="32" spans="2:23" x14ac:dyDescent="0.35">
      <c r="C32" s="71"/>
      <c r="D32" s="71"/>
    </row>
    <row r="33" spans="3:5" x14ac:dyDescent="0.35">
      <c r="C33" s="72"/>
      <c r="D33" s="72"/>
      <c r="E33" s="72"/>
    </row>
    <row r="34" spans="3:5" x14ac:dyDescent="0.35">
      <c r="E34" s="72"/>
    </row>
    <row r="35" spans="3:5" x14ac:dyDescent="0.35">
      <c r="E35" s="72"/>
    </row>
  </sheetData>
  <mergeCells count="10">
    <mergeCell ref="O19:V19"/>
    <mergeCell ref="O20:V20"/>
    <mergeCell ref="C20:J20"/>
    <mergeCell ref="C19:J19"/>
    <mergeCell ref="B2:K2"/>
    <mergeCell ref="C5:I5"/>
    <mergeCell ref="O5:U5"/>
    <mergeCell ref="N2:W2"/>
    <mergeCell ref="C4:I4"/>
    <mergeCell ref="O4:U4"/>
  </mergeCells>
  <phoneticPr fontId="16" type="noConversion"/>
  <conditionalFormatting sqref="G7:G8 I7:I9 J22:J23 V22:V23">
    <cfRule type="cellIs" dxfId="12" priority="47" operator="equal">
      <formula>0</formula>
    </cfRule>
  </conditionalFormatting>
  <conditionalFormatting sqref="U9">
    <cfRule type="cellIs" dxfId="11" priority="43" operator="equal">
      <formula>0</formula>
    </cfRule>
  </conditionalFormatting>
  <conditionalFormatting sqref="J24">
    <cfRule type="cellIs" dxfId="10" priority="8" operator="equal">
      <formula>0</formula>
    </cfRule>
  </conditionalFormatting>
  <conditionalFormatting sqref="V24">
    <cfRule type="cellIs" dxfId="9" priority="6" operator="equal">
      <formula>0</formula>
    </cfRule>
  </conditionalFormatting>
  <conditionalFormatting sqref="U7:U8">
    <cfRule type="cellIs" dxfId="8" priority="2" operator="equal">
      <formula>0</formula>
    </cfRule>
  </conditionalFormatting>
  <conditionalFormatting sqref="S7:S8">
    <cfRule type="cellIs" dxfId="7" priority="1" operator="equal">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134A-6370-48E5-9BCF-833A682B00EF}">
  <sheetPr>
    <tabColor theme="8" tint="0.79998168889431442"/>
  </sheetPr>
  <dimension ref="A2:O11"/>
  <sheetViews>
    <sheetView zoomScale="70" zoomScaleNormal="70" workbookViewId="0">
      <selection activeCell="K8" sqref="K8"/>
    </sheetView>
  </sheetViews>
  <sheetFormatPr defaultRowHeight="14.5" x14ac:dyDescent="0.35"/>
  <cols>
    <col min="2" max="2" width="49.1796875" customWidth="1"/>
    <col min="3" max="3" width="11.1796875" customWidth="1"/>
    <col min="4" max="4" width="9.6328125" customWidth="1"/>
    <col min="5" max="5" width="15.08984375" customWidth="1"/>
    <col min="6" max="6" width="9.6328125" customWidth="1"/>
    <col min="7" max="8" width="15.08984375" customWidth="1"/>
    <col min="9" max="10" width="9.6328125" customWidth="1"/>
    <col min="11" max="11" width="15.08984375" customWidth="1"/>
    <col min="12" max="12" width="9.6328125" customWidth="1"/>
    <col min="13" max="14" width="15.08984375" customWidth="1"/>
    <col min="15" max="15" width="9.6328125" customWidth="1"/>
  </cols>
  <sheetData>
    <row r="2" spans="1:15" ht="25" customHeight="1" x14ac:dyDescent="0.35">
      <c r="A2" s="126"/>
      <c r="B2" s="126"/>
      <c r="C2" s="126"/>
      <c r="D2" s="219" t="s">
        <v>142</v>
      </c>
      <c r="E2" s="219"/>
      <c r="F2" s="219"/>
      <c r="G2" s="219"/>
      <c r="H2" s="219"/>
      <c r="I2" s="219"/>
      <c r="J2" s="220" t="s">
        <v>143</v>
      </c>
      <c r="K2" s="220"/>
      <c r="L2" s="220"/>
      <c r="M2" s="220"/>
      <c r="N2" s="220"/>
      <c r="O2" s="220"/>
    </row>
    <row r="3" spans="1:15" ht="62.4" customHeight="1" x14ac:dyDescent="0.35">
      <c r="A3" s="37" t="s">
        <v>28</v>
      </c>
      <c r="B3" s="38" t="s">
        <v>0</v>
      </c>
      <c r="C3" s="38" t="s">
        <v>14</v>
      </c>
      <c r="D3" s="133" t="s">
        <v>32</v>
      </c>
      <c r="E3" s="133" t="s">
        <v>126</v>
      </c>
      <c r="F3" s="133" t="s">
        <v>50</v>
      </c>
      <c r="G3" s="133" t="s">
        <v>127</v>
      </c>
      <c r="H3" s="133" t="s">
        <v>128</v>
      </c>
      <c r="I3" s="133" t="s">
        <v>111</v>
      </c>
      <c r="J3" s="124" t="s">
        <v>32</v>
      </c>
      <c r="K3" s="124" t="s">
        <v>126</v>
      </c>
      <c r="L3" s="124" t="s">
        <v>50</v>
      </c>
      <c r="M3" s="124" t="s">
        <v>127</v>
      </c>
      <c r="N3" s="124" t="s">
        <v>128</v>
      </c>
      <c r="O3" s="124" t="s">
        <v>111</v>
      </c>
    </row>
    <row r="4" spans="1:15" ht="15.5" x14ac:dyDescent="0.35">
      <c r="A4" s="4">
        <v>1</v>
      </c>
      <c r="B4" s="2" t="s">
        <v>2</v>
      </c>
      <c r="C4" s="34">
        <f>VLOOKUP($B4,Master!$A$3:$B$6,2,FALSE)</f>
        <v>33000</v>
      </c>
      <c r="D4" s="134">
        <f ca="1">SUMIF(BOQ!$D$4:$I$35,'Total Hardware'!$B4,BOQ!$H$4:$H$35)</f>
        <v>18</v>
      </c>
      <c r="E4" s="34">
        <f t="shared" ref="E4:E7" ca="1" si="0">D4*$C4</f>
        <v>594000</v>
      </c>
      <c r="F4" s="51">
        <v>2</v>
      </c>
      <c r="G4" s="34">
        <f t="shared" ref="G4:G7" si="1">F4*$C4</f>
        <v>66000</v>
      </c>
      <c r="H4" s="34">
        <f ca="1">E4+G4</f>
        <v>660000</v>
      </c>
      <c r="I4" s="135">
        <f t="shared" ref="I4:I7" ca="1" si="2">D4+F4</f>
        <v>20</v>
      </c>
      <c r="J4" s="134">
        <f ca="1">SUMIF(BOQ!$D$4:$N$35,'Total Hardware'!$B4,BOQ!$M$4:$M$35)</f>
        <v>18</v>
      </c>
      <c r="K4" s="34">
        <f t="shared" ref="K4:K7" ca="1" si="3">J4*$C4</f>
        <v>594000</v>
      </c>
      <c r="L4" s="51">
        <v>2</v>
      </c>
      <c r="M4" s="34">
        <f t="shared" ref="M4:M7" si="4">L4*$C4</f>
        <v>66000</v>
      </c>
      <c r="N4" s="34">
        <f ca="1">K4+M4</f>
        <v>660000</v>
      </c>
      <c r="O4" s="135">
        <f t="shared" ref="O4:O7" ca="1" si="5">J4+L4</f>
        <v>20</v>
      </c>
    </row>
    <row r="5" spans="1:15" ht="15.5" x14ac:dyDescent="0.35">
      <c r="A5" s="4">
        <v>2</v>
      </c>
      <c r="B5" s="2" t="s">
        <v>92</v>
      </c>
      <c r="C5" s="34">
        <f>VLOOKUP($B5,Master!$A$3:$B$6,2,FALSE)</f>
        <v>65000</v>
      </c>
      <c r="D5" s="134">
        <f ca="1">SUMIF(BOQ!$D$4:$I$35,'Total Hardware'!$B5,BOQ!$H$4:$H$35)</f>
        <v>9</v>
      </c>
      <c r="E5" s="34">
        <f t="shared" ca="1" si="0"/>
        <v>585000</v>
      </c>
      <c r="F5" s="51">
        <v>1</v>
      </c>
      <c r="G5" s="34">
        <f t="shared" si="1"/>
        <v>65000</v>
      </c>
      <c r="H5" s="34">
        <f ca="1">E5+G5</f>
        <v>650000</v>
      </c>
      <c r="I5" s="135">
        <f t="shared" ca="1" si="2"/>
        <v>10</v>
      </c>
      <c r="J5" s="134">
        <f ca="1">SUMIF(BOQ!$D$4:$N$35,'Total Hardware'!$B5,BOQ!$M$4:$M$35)</f>
        <v>0</v>
      </c>
      <c r="K5" s="34">
        <f t="shared" ca="1" si="3"/>
        <v>0</v>
      </c>
      <c r="L5" s="51">
        <v>0</v>
      </c>
      <c r="M5" s="34">
        <f t="shared" si="4"/>
        <v>0</v>
      </c>
      <c r="N5" s="34">
        <f ca="1">K5+M5</f>
        <v>0</v>
      </c>
      <c r="O5" s="135">
        <f t="shared" ca="1" si="5"/>
        <v>0</v>
      </c>
    </row>
    <row r="6" spans="1:15" ht="15.5" x14ac:dyDescent="0.35">
      <c r="A6" s="4">
        <v>3</v>
      </c>
      <c r="B6" s="2" t="s">
        <v>165</v>
      </c>
      <c r="C6" s="34">
        <f>VLOOKUP($B6,Master!$A$3:$B$6,2,FALSE)</f>
        <v>41000</v>
      </c>
      <c r="D6" s="134">
        <f ca="1">SUMIF(BOQ!$D$4:$I$35,'Total Hardware'!$B6,BOQ!$H$4:$H$35)</f>
        <v>9</v>
      </c>
      <c r="E6" s="34">
        <f t="shared" ref="E6" ca="1" si="6">D6*$C6</f>
        <v>369000</v>
      </c>
      <c r="F6" s="51">
        <v>0</v>
      </c>
      <c r="G6" s="34">
        <f t="shared" ref="G6" si="7">F6*$C6</f>
        <v>0</v>
      </c>
      <c r="H6" s="34">
        <f ca="1">E6+G6</f>
        <v>369000</v>
      </c>
      <c r="I6" s="135">
        <f t="shared" ref="I6" ca="1" si="8">D6+F6</f>
        <v>9</v>
      </c>
      <c r="J6" s="134">
        <f ca="1">SUMIF(BOQ!$D$4:$N$35,'Total Hardware'!$B6,BOQ!$M$4:$M$35)</f>
        <v>9</v>
      </c>
      <c r="K6" s="34">
        <f t="shared" ref="K6" ca="1" si="9">J6*$C6</f>
        <v>369000</v>
      </c>
      <c r="L6" s="51">
        <v>0</v>
      </c>
      <c r="M6" s="34">
        <f t="shared" ref="M6" si="10">L6*$C6</f>
        <v>0</v>
      </c>
      <c r="N6" s="34">
        <f ca="1">K6+M6</f>
        <v>369000</v>
      </c>
      <c r="O6" s="135">
        <f t="shared" ref="O6" ca="1" si="11">J6+L6</f>
        <v>9</v>
      </c>
    </row>
    <row r="7" spans="1:15" ht="15.5" x14ac:dyDescent="0.35">
      <c r="A7" s="4">
        <v>4</v>
      </c>
      <c r="B7" s="2" t="s">
        <v>91</v>
      </c>
      <c r="C7" s="34">
        <f>VLOOKUP($B7,Master!$A$3:$B$6,2,FALSE)</f>
        <v>12000</v>
      </c>
      <c r="D7" s="134">
        <f ca="1">SUMIF(BOQ!$D$4:$I$35,'Total Hardware'!$B7,BOQ!$H$4:$H$35)</f>
        <v>0</v>
      </c>
      <c r="E7" s="34">
        <f t="shared" ca="1" si="0"/>
        <v>0</v>
      </c>
      <c r="F7" s="51">
        <v>0</v>
      </c>
      <c r="G7" s="34">
        <f t="shared" si="1"/>
        <v>0</v>
      </c>
      <c r="H7" s="34">
        <f ca="1">E7+G7</f>
        <v>0</v>
      </c>
      <c r="I7" s="135">
        <f t="shared" ca="1" si="2"/>
        <v>0</v>
      </c>
      <c r="J7" s="134">
        <f ca="1">SUMIF(BOQ!$D$4:$N$35,'Total Hardware'!$B7,BOQ!$M$4:$M$35)</f>
        <v>0</v>
      </c>
      <c r="K7" s="34">
        <f t="shared" ca="1" si="3"/>
        <v>0</v>
      </c>
      <c r="L7" s="51">
        <v>0</v>
      </c>
      <c r="M7" s="34">
        <f t="shared" si="4"/>
        <v>0</v>
      </c>
      <c r="N7" s="34">
        <f ca="1">K7+M7</f>
        <v>0</v>
      </c>
      <c r="O7" s="135">
        <f t="shared" ca="1" si="5"/>
        <v>0</v>
      </c>
    </row>
    <row r="8" spans="1:15" ht="15.5" x14ac:dyDescent="0.35">
      <c r="A8" s="11"/>
      <c r="B8" s="10" t="s">
        <v>1</v>
      </c>
      <c r="C8" s="136"/>
      <c r="D8" s="137">
        <f t="shared" ref="D8:O8" ca="1" si="12">SUM(D4:D7)</f>
        <v>36</v>
      </c>
      <c r="E8" s="138">
        <f t="shared" ca="1" si="12"/>
        <v>1548000</v>
      </c>
      <c r="F8" s="139">
        <f t="shared" si="12"/>
        <v>3</v>
      </c>
      <c r="G8" s="138">
        <f t="shared" si="12"/>
        <v>131000</v>
      </c>
      <c r="H8" s="138">
        <f t="shared" ca="1" si="12"/>
        <v>1679000</v>
      </c>
      <c r="I8" s="140">
        <f t="shared" ca="1" si="12"/>
        <v>39</v>
      </c>
      <c r="J8" s="137">
        <f t="shared" ca="1" si="12"/>
        <v>27</v>
      </c>
      <c r="K8" s="138">
        <f t="shared" ca="1" si="12"/>
        <v>963000</v>
      </c>
      <c r="L8" s="139">
        <f t="shared" si="12"/>
        <v>2</v>
      </c>
      <c r="M8" s="138">
        <f t="shared" si="12"/>
        <v>66000</v>
      </c>
      <c r="N8" s="138">
        <f t="shared" ca="1" si="12"/>
        <v>1029000</v>
      </c>
      <c r="O8" s="140">
        <f t="shared" ca="1" si="12"/>
        <v>29</v>
      </c>
    </row>
    <row r="10" spans="1:15" ht="31" x14ac:dyDescent="0.7">
      <c r="B10" s="12" t="s">
        <v>72</v>
      </c>
      <c r="E10" s="85"/>
      <c r="K10" s="85"/>
    </row>
    <row r="11" spans="1:15" ht="31" x14ac:dyDescent="0.7">
      <c r="B11" s="13" t="s">
        <v>38</v>
      </c>
    </row>
  </sheetData>
  <mergeCells count="2">
    <mergeCell ref="D2:I2"/>
    <mergeCell ref="J2:O2"/>
  </mergeCells>
  <conditionalFormatting sqref="B7">
    <cfRule type="duplicateValues" dxfId="6" priority="9"/>
  </conditionalFormatting>
  <conditionalFormatting sqref="B5">
    <cfRule type="duplicateValues" dxfId="5" priority="5"/>
  </conditionalFormatting>
  <conditionalFormatting sqref="B4">
    <cfRule type="duplicateValues" dxfId="4" priority="3"/>
  </conditionalFormatting>
  <conditionalFormatting sqref="B6">
    <cfRule type="duplicateValues" dxfId="3" priority="1"/>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2B6A4C0-104F-4D4D-88F1-B8DA85ADD3B9}">
          <x14:formula1>
            <xm:f>Master!$A$3:$A$6</xm:f>
          </x14:formula1>
          <xm:sqref>B5:B6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4D6A-4F79-4B32-A47C-435C29F4DF4D}">
  <sheetPr>
    <tabColor theme="7" tint="0.79998168889431442"/>
  </sheetPr>
  <dimension ref="A2:O36"/>
  <sheetViews>
    <sheetView zoomScale="90" zoomScaleNormal="85" workbookViewId="0">
      <pane xSplit="4" ySplit="3" topLeftCell="E7" activePane="bottomRight" state="frozen"/>
      <selection activeCell="B28" sqref="B28:I28"/>
      <selection pane="topRight" activeCell="B28" sqref="B28:I28"/>
      <selection pane="bottomLeft" activeCell="B28" sqref="B28:I28"/>
      <selection pane="bottomRight" activeCell="M6" sqref="M6"/>
    </sheetView>
  </sheetViews>
  <sheetFormatPr defaultColWidth="37.453125" defaultRowHeight="14.5" x14ac:dyDescent="0.35"/>
  <cols>
    <col min="1" max="1" width="5.36328125" customWidth="1"/>
    <col min="2" max="2" width="20.36328125" customWidth="1"/>
    <col min="3" max="3" width="9.54296875" customWidth="1"/>
    <col min="4" max="4" width="16.08984375" style="1" customWidth="1"/>
    <col min="5" max="5" width="14.7265625" customWidth="1"/>
    <col min="6" max="8" width="10.1796875" customWidth="1"/>
    <col min="9" max="10" width="14.7265625" customWidth="1"/>
    <col min="11" max="13" width="10.1796875" customWidth="1"/>
    <col min="14" max="15" width="14.7265625" customWidth="1"/>
  </cols>
  <sheetData>
    <row r="2" spans="1:15" ht="24" customHeight="1" x14ac:dyDescent="0.35">
      <c r="A2" s="126"/>
      <c r="B2" s="126"/>
      <c r="C2" s="126"/>
      <c r="D2" s="127"/>
      <c r="E2" s="126"/>
      <c r="F2" s="226" t="s">
        <v>142</v>
      </c>
      <c r="G2" s="226"/>
      <c r="H2" s="226"/>
      <c r="I2" s="226"/>
      <c r="J2" s="226"/>
      <c r="K2" s="224" t="s">
        <v>143</v>
      </c>
      <c r="L2" s="224"/>
      <c r="M2" s="224"/>
      <c r="N2" s="224"/>
      <c r="O2" s="224"/>
    </row>
    <row r="3" spans="1:15" ht="67" customHeight="1" x14ac:dyDescent="0.35">
      <c r="A3" s="128" t="s">
        <v>145</v>
      </c>
      <c r="B3" s="128" t="s">
        <v>138</v>
      </c>
      <c r="C3" s="128" t="s">
        <v>33</v>
      </c>
      <c r="D3" s="128" t="s">
        <v>0</v>
      </c>
      <c r="E3" s="128" t="s">
        <v>14</v>
      </c>
      <c r="F3" s="132" t="s">
        <v>34</v>
      </c>
      <c r="G3" s="132" t="s">
        <v>110</v>
      </c>
      <c r="H3" s="132" t="s">
        <v>109</v>
      </c>
      <c r="I3" s="132" t="s">
        <v>1</v>
      </c>
      <c r="J3" s="132" t="s">
        <v>144</v>
      </c>
      <c r="K3" s="131" t="s">
        <v>34</v>
      </c>
      <c r="L3" s="131" t="s">
        <v>110</v>
      </c>
      <c r="M3" s="131" t="s">
        <v>109</v>
      </c>
      <c r="N3" s="131" t="s">
        <v>1</v>
      </c>
      <c r="O3" s="131" t="s">
        <v>144</v>
      </c>
    </row>
    <row r="4" spans="1:15" ht="15.5" x14ac:dyDescent="0.35">
      <c r="A4" s="221">
        <v>1</v>
      </c>
      <c r="B4" s="143" t="s">
        <v>130</v>
      </c>
      <c r="C4" s="97" t="s">
        <v>140</v>
      </c>
      <c r="D4" s="2" t="s">
        <v>2</v>
      </c>
      <c r="E4" s="24">
        <f>VLOOKUP(D4,Master!$A$3:$B$6,2,0)</f>
        <v>33000</v>
      </c>
      <c r="F4" s="98">
        <v>1</v>
      </c>
      <c r="G4" s="98">
        <f>VLOOKUP($B4,Master!$A$9:$B$16,2,FALSE)</f>
        <v>2</v>
      </c>
      <c r="H4" s="98">
        <f t="shared" ref="H4:H19" si="0">F4*G4</f>
        <v>2</v>
      </c>
      <c r="I4" s="125">
        <f t="shared" ref="I4:I35" si="1">H4*$E4</f>
        <v>66000</v>
      </c>
      <c r="J4" s="225">
        <f>SUM(I4:I7)</f>
        <v>344000</v>
      </c>
      <c r="K4" s="98">
        <v>1</v>
      </c>
      <c r="L4" s="98">
        <f>VLOOKUP($B4,Master!$A$9:$B$16,2,FALSE)</f>
        <v>2</v>
      </c>
      <c r="M4" s="98">
        <f t="shared" ref="M4:M35" si="2">K4*L4</f>
        <v>2</v>
      </c>
      <c r="N4" s="125">
        <f t="shared" ref="N4:N35" si="3">M4*$E4</f>
        <v>66000</v>
      </c>
      <c r="O4" s="225">
        <f>SUM(N4:N7)</f>
        <v>214000</v>
      </c>
    </row>
    <row r="5" spans="1:15" ht="15.5" x14ac:dyDescent="0.35">
      <c r="A5" s="222"/>
      <c r="B5" s="144" t="s">
        <v>130</v>
      </c>
      <c r="C5" s="97" t="s">
        <v>140</v>
      </c>
      <c r="D5" s="2" t="s">
        <v>92</v>
      </c>
      <c r="E5" s="24">
        <f>VLOOKUP(D5,Master!$A$3:$B$6,2,0)</f>
        <v>65000</v>
      </c>
      <c r="F5" s="98">
        <v>1</v>
      </c>
      <c r="G5" s="98">
        <f>VLOOKUP($B5,Master!$A$9:$B$16,2,FALSE)</f>
        <v>2</v>
      </c>
      <c r="H5" s="98">
        <f t="shared" ref="H5:H7" si="4">F5*G5</f>
        <v>2</v>
      </c>
      <c r="I5" s="125">
        <f t="shared" si="1"/>
        <v>130000</v>
      </c>
      <c r="J5" s="225"/>
      <c r="K5" s="98">
        <v>0</v>
      </c>
      <c r="L5" s="98">
        <f>VLOOKUP($B5,Master!$A$9:$B$16,2,FALSE)</f>
        <v>2</v>
      </c>
      <c r="M5" s="98">
        <f t="shared" si="2"/>
        <v>0</v>
      </c>
      <c r="N5" s="125">
        <f t="shared" si="3"/>
        <v>0</v>
      </c>
      <c r="O5" s="225"/>
    </row>
    <row r="6" spans="1:15" ht="15.5" x14ac:dyDescent="0.35">
      <c r="A6" s="222"/>
      <c r="B6" s="144" t="s">
        <v>130</v>
      </c>
      <c r="C6" s="97" t="s">
        <v>140</v>
      </c>
      <c r="D6" s="2" t="s">
        <v>165</v>
      </c>
      <c r="E6" s="24">
        <f>VLOOKUP(D6,Master!$A$3:$B$6,2,0)</f>
        <v>41000</v>
      </c>
      <c r="F6" s="98">
        <v>1</v>
      </c>
      <c r="G6" s="98">
        <f>VLOOKUP($B6,Master!$A$9:$B$16,2,FALSE)</f>
        <v>2</v>
      </c>
      <c r="H6" s="98">
        <f t="shared" si="4"/>
        <v>2</v>
      </c>
      <c r="I6" s="125">
        <f t="shared" si="1"/>
        <v>82000</v>
      </c>
      <c r="J6" s="225"/>
      <c r="K6" s="98">
        <v>1</v>
      </c>
      <c r="L6" s="98">
        <f>VLOOKUP($B6,Master!$A$9:$B$16,2,FALSE)</f>
        <v>2</v>
      </c>
      <c r="M6" s="98">
        <f t="shared" si="2"/>
        <v>2</v>
      </c>
      <c r="N6" s="125">
        <f t="shared" si="3"/>
        <v>82000</v>
      </c>
      <c r="O6" s="225"/>
    </row>
    <row r="7" spans="1:15" ht="15.5" x14ac:dyDescent="0.35">
      <c r="A7" s="223"/>
      <c r="B7" s="145" t="s">
        <v>130</v>
      </c>
      <c r="C7" s="97" t="s">
        <v>141</v>
      </c>
      <c r="D7" s="2" t="s">
        <v>2</v>
      </c>
      <c r="E7" s="24">
        <f>VLOOKUP(D7,Master!$A$3:$B$6,2,0)</f>
        <v>33000</v>
      </c>
      <c r="F7" s="98">
        <v>1</v>
      </c>
      <c r="G7" s="98">
        <f>VLOOKUP($B7,Master!$A$9:$B$16,2,FALSE)</f>
        <v>2</v>
      </c>
      <c r="H7" s="98">
        <f t="shared" si="4"/>
        <v>2</v>
      </c>
      <c r="I7" s="125">
        <f t="shared" si="1"/>
        <v>66000</v>
      </c>
      <c r="J7" s="225"/>
      <c r="K7" s="98">
        <v>1</v>
      </c>
      <c r="L7" s="98">
        <f>VLOOKUP($B7,Master!$A$9:$B$16,2,FALSE)</f>
        <v>2</v>
      </c>
      <c r="M7" s="98">
        <f t="shared" si="2"/>
        <v>2</v>
      </c>
      <c r="N7" s="125">
        <f t="shared" si="3"/>
        <v>66000</v>
      </c>
      <c r="O7" s="225"/>
    </row>
    <row r="8" spans="1:15" ht="15.5" x14ac:dyDescent="0.35">
      <c r="A8" s="221">
        <v>2</v>
      </c>
      <c r="B8" s="143" t="s">
        <v>131</v>
      </c>
      <c r="C8" s="97" t="s">
        <v>140</v>
      </c>
      <c r="D8" s="2" t="s">
        <v>2</v>
      </c>
      <c r="E8" s="24">
        <f>VLOOKUP(D8,Master!$A$3:$B$6,2,0)</f>
        <v>33000</v>
      </c>
      <c r="F8" s="98">
        <v>1</v>
      </c>
      <c r="G8" s="98">
        <f>VLOOKUP($B8,Master!$A$9:$B$16,2,FALSE)</f>
        <v>1</v>
      </c>
      <c r="H8" s="98">
        <f t="shared" si="0"/>
        <v>1</v>
      </c>
      <c r="I8" s="125">
        <f t="shared" si="1"/>
        <v>33000</v>
      </c>
      <c r="J8" s="225">
        <f t="shared" ref="J8" si="5">SUM(I8:I11)</f>
        <v>172000</v>
      </c>
      <c r="K8" s="98">
        <v>1</v>
      </c>
      <c r="L8" s="98">
        <f>VLOOKUP($B8,Master!$A$9:$B$16,2,FALSE)</f>
        <v>1</v>
      </c>
      <c r="M8" s="98">
        <f t="shared" si="2"/>
        <v>1</v>
      </c>
      <c r="N8" s="125">
        <f t="shared" si="3"/>
        <v>33000</v>
      </c>
      <c r="O8" s="225">
        <f t="shared" ref="O8" si="6">SUM(N8:N11)</f>
        <v>107000</v>
      </c>
    </row>
    <row r="9" spans="1:15" ht="15.5" x14ac:dyDescent="0.35">
      <c r="A9" s="222"/>
      <c r="B9" s="144" t="s">
        <v>131</v>
      </c>
      <c r="C9" s="97" t="s">
        <v>140</v>
      </c>
      <c r="D9" s="2" t="s">
        <v>92</v>
      </c>
      <c r="E9" s="24">
        <f>VLOOKUP(D9,Master!$A$3:$B$6,2,0)</f>
        <v>65000</v>
      </c>
      <c r="F9" s="98">
        <v>1</v>
      </c>
      <c r="G9" s="98">
        <f>VLOOKUP($B9,Master!$A$9:$B$16,2,FALSE)</f>
        <v>1</v>
      </c>
      <c r="H9" s="98">
        <f t="shared" si="0"/>
        <v>1</v>
      </c>
      <c r="I9" s="125">
        <f t="shared" si="1"/>
        <v>65000</v>
      </c>
      <c r="J9" s="225"/>
      <c r="K9" s="98">
        <v>0</v>
      </c>
      <c r="L9" s="98">
        <f>VLOOKUP($B9,Master!$A$9:$B$16,2,FALSE)</f>
        <v>1</v>
      </c>
      <c r="M9" s="98">
        <f t="shared" si="2"/>
        <v>0</v>
      </c>
      <c r="N9" s="125">
        <f t="shared" si="3"/>
        <v>0</v>
      </c>
      <c r="O9" s="225"/>
    </row>
    <row r="10" spans="1:15" ht="15.5" x14ac:dyDescent="0.35">
      <c r="A10" s="222"/>
      <c r="B10" s="144" t="s">
        <v>131</v>
      </c>
      <c r="C10" s="97" t="s">
        <v>140</v>
      </c>
      <c r="D10" s="2" t="s">
        <v>165</v>
      </c>
      <c r="E10" s="24">
        <f>VLOOKUP(D10,Master!$A$3:$B$6,2,0)</f>
        <v>41000</v>
      </c>
      <c r="F10" s="98">
        <v>1</v>
      </c>
      <c r="G10" s="98">
        <f>VLOOKUP($B10,Master!$A$9:$B$16,2,FALSE)</f>
        <v>1</v>
      </c>
      <c r="H10" s="98">
        <f t="shared" si="0"/>
        <v>1</v>
      </c>
      <c r="I10" s="125">
        <f t="shared" ref="I10" si="7">H10*$E10</f>
        <v>41000</v>
      </c>
      <c r="J10" s="225"/>
      <c r="K10" s="98">
        <v>1</v>
      </c>
      <c r="L10" s="98">
        <f>VLOOKUP($B10,Master!$A$9:$B$16,2,FALSE)</f>
        <v>1</v>
      </c>
      <c r="M10" s="98">
        <f t="shared" ref="M10" si="8">K10*L10</f>
        <v>1</v>
      </c>
      <c r="N10" s="125">
        <f t="shared" ref="N10" si="9">M10*$E10</f>
        <v>41000</v>
      </c>
      <c r="O10" s="225"/>
    </row>
    <row r="11" spans="1:15" ht="15.5" x14ac:dyDescent="0.35">
      <c r="A11" s="223"/>
      <c r="B11" s="145" t="s">
        <v>131</v>
      </c>
      <c r="C11" s="97" t="s">
        <v>141</v>
      </c>
      <c r="D11" s="2" t="s">
        <v>2</v>
      </c>
      <c r="E11" s="24">
        <f>VLOOKUP(D11,Master!$A$3:$B$6,2,0)</f>
        <v>33000</v>
      </c>
      <c r="F11" s="98">
        <v>1</v>
      </c>
      <c r="G11" s="98">
        <f>VLOOKUP($B11,Master!$A$9:$B$16,2,FALSE)</f>
        <v>1</v>
      </c>
      <c r="H11" s="98">
        <f t="shared" si="0"/>
        <v>1</v>
      </c>
      <c r="I11" s="125">
        <f t="shared" si="1"/>
        <v>33000</v>
      </c>
      <c r="J11" s="225"/>
      <c r="K11" s="98">
        <v>1</v>
      </c>
      <c r="L11" s="98">
        <f>VLOOKUP($B11,Master!$A$9:$B$16,2,FALSE)</f>
        <v>1</v>
      </c>
      <c r="M11" s="98">
        <f t="shared" si="2"/>
        <v>1</v>
      </c>
      <c r="N11" s="125">
        <f t="shared" si="3"/>
        <v>33000</v>
      </c>
      <c r="O11" s="225"/>
    </row>
    <row r="12" spans="1:15" ht="15.5" x14ac:dyDescent="0.35">
      <c r="A12" s="221">
        <v>3</v>
      </c>
      <c r="B12" s="143" t="s">
        <v>132</v>
      </c>
      <c r="C12" s="97" t="s">
        <v>140</v>
      </c>
      <c r="D12" s="2" t="s">
        <v>2</v>
      </c>
      <c r="E12" s="24">
        <f>VLOOKUP(D12,Master!$A$3:$B$6,2,0)</f>
        <v>33000</v>
      </c>
      <c r="F12" s="98">
        <v>1</v>
      </c>
      <c r="G12" s="98">
        <f>VLOOKUP($B12,Master!$A$9:$B$16,2,FALSE)</f>
        <v>1</v>
      </c>
      <c r="H12" s="98">
        <f t="shared" si="0"/>
        <v>1</v>
      </c>
      <c r="I12" s="125">
        <f t="shared" si="1"/>
        <v>33000</v>
      </c>
      <c r="J12" s="225">
        <f t="shared" ref="J12" si="10">SUM(I12:I15)</f>
        <v>172000</v>
      </c>
      <c r="K12" s="98">
        <v>1</v>
      </c>
      <c r="L12" s="98">
        <f>VLOOKUP($B12,Master!$A$9:$B$16,2,FALSE)</f>
        <v>1</v>
      </c>
      <c r="M12" s="98">
        <f t="shared" si="2"/>
        <v>1</v>
      </c>
      <c r="N12" s="125">
        <f t="shared" si="3"/>
        <v>33000</v>
      </c>
      <c r="O12" s="225">
        <f t="shared" ref="O12" si="11">SUM(N12:N15)</f>
        <v>107000</v>
      </c>
    </row>
    <row r="13" spans="1:15" ht="15.5" x14ac:dyDescent="0.35">
      <c r="A13" s="222"/>
      <c r="B13" s="144" t="s">
        <v>132</v>
      </c>
      <c r="C13" s="97" t="s">
        <v>140</v>
      </c>
      <c r="D13" s="2" t="s">
        <v>92</v>
      </c>
      <c r="E13" s="24">
        <f>VLOOKUP(D13,Master!$A$3:$B$6,2,0)</f>
        <v>65000</v>
      </c>
      <c r="F13" s="98">
        <v>1</v>
      </c>
      <c r="G13" s="98">
        <f>VLOOKUP($B13,Master!$A$9:$B$16,2,FALSE)</f>
        <v>1</v>
      </c>
      <c r="H13" s="98">
        <f t="shared" si="0"/>
        <v>1</v>
      </c>
      <c r="I13" s="125">
        <f t="shared" si="1"/>
        <v>65000</v>
      </c>
      <c r="J13" s="225"/>
      <c r="K13" s="98">
        <v>0</v>
      </c>
      <c r="L13" s="98">
        <f>VLOOKUP($B13,Master!$A$9:$B$16,2,FALSE)</f>
        <v>1</v>
      </c>
      <c r="M13" s="98">
        <f t="shared" si="2"/>
        <v>0</v>
      </c>
      <c r="N13" s="125">
        <f t="shared" si="3"/>
        <v>0</v>
      </c>
      <c r="O13" s="225"/>
    </row>
    <row r="14" spans="1:15" ht="15.5" x14ac:dyDescent="0.35">
      <c r="A14" s="222"/>
      <c r="B14" s="144" t="s">
        <v>132</v>
      </c>
      <c r="C14" s="97" t="s">
        <v>140</v>
      </c>
      <c r="D14" s="2" t="s">
        <v>165</v>
      </c>
      <c r="E14" s="24">
        <f>VLOOKUP(D14,Master!$A$3:$B$6,2,0)</f>
        <v>41000</v>
      </c>
      <c r="F14" s="98">
        <v>1</v>
      </c>
      <c r="G14" s="98">
        <f>VLOOKUP($B14,Master!$A$9:$B$16,2,FALSE)</f>
        <v>1</v>
      </c>
      <c r="H14" s="98">
        <f t="shared" ref="H14" si="12">F14*G14</f>
        <v>1</v>
      </c>
      <c r="I14" s="125">
        <f t="shared" si="1"/>
        <v>41000</v>
      </c>
      <c r="J14" s="225"/>
      <c r="K14" s="98">
        <v>1</v>
      </c>
      <c r="L14" s="98">
        <f>VLOOKUP($B14,Master!$A$9:$B$16,2,FALSE)</f>
        <v>1</v>
      </c>
      <c r="M14" s="98">
        <f t="shared" si="2"/>
        <v>1</v>
      </c>
      <c r="N14" s="125">
        <f t="shared" si="3"/>
        <v>41000</v>
      </c>
      <c r="O14" s="225"/>
    </row>
    <row r="15" spans="1:15" ht="15.5" x14ac:dyDescent="0.35">
      <c r="A15" s="223"/>
      <c r="B15" s="145" t="s">
        <v>132</v>
      </c>
      <c r="C15" s="97" t="s">
        <v>141</v>
      </c>
      <c r="D15" s="2" t="s">
        <v>2</v>
      </c>
      <c r="E15" s="24">
        <f>VLOOKUP(D15,Master!$A$3:$B$6,2,0)</f>
        <v>33000</v>
      </c>
      <c r="F15" s="98">
        <v>1</v>
      </c>
      <c r="G15" s="98">
        <f>VLOOKUP($B15,Master!$A$9:$B$16,2,FALSE)</f>
        <v>1</v>
      </c>
      <c r="H15" s="98">
        <f t="shared" si="0"/>
        <v>1</v>
      </c>
      <c r="I15" s="125">
        <f t="shared" si="1"/>
        <v>33000</v>
      </c>
      <c r="J15" s="225"/>
      <c r="K15" s="98">
        <v>1</v>
      </c>
      <c r="L15" s="98">
        <f>VLOOKUP($B15,Master!$A$9:$B$16,2,FALSE)</f>
        <v>1</v>
      </c>
      <c r="M15" s="98">
        <f t="shared" si="2"/>
        <v>1</v>
      </c>
      <c r="N15" s="125">
        <f t="shared" si="3"/>
        <v>33000</v>
      </c>
      <c r="O15" s="225"/>
    </row>
    <row r="16" spans="1:15" ht="15.5" x14ac:dyDescent="0.35">
      <c r="A16" s="221">
        <v>4</v>
      </c>
      <c r="B16" s="143" t="s">
        <v>133</v>
      </c>
      <c r="C16" s="97" t="s">
        <v>140</v>
      </c>
      <c r="D16" s="2" t="s">
        <v>2</v>
      </c>
      <c r="E16" s="24">
        <f>VLOOKUP(D16,Master!$A$3:$B$6,2,0)</f>
        <v>33000</v>
      </c>
      <c r="F16" s="98">
        <v>1</v>
      </c>
      <c r="G16" s="98">
        <f>VLOOKUP($B16,Master!$A$9:$B$16,2,FALSE)</f>
        <v>1</v>
      </c>
      <c r="H16" s="98">
        <f t="shared" si="0"/>
        <v>1</v>
      </c>
      <c r="I16" s="125">
        <f t="shared" si="1"/>
        <v>33000</v>
      </c>
      <c r="J16" s="225">
        <f t="shared" ref="J16" si="13">SUM(I16:I19)</f>
        <v>172000</v>
      </c>
      <c r="K16" s="98">
        <v>1</v>
      </c>
      <c r="L16" s="98">
        <f>VLOOKUP($B16,Master!$A$9:$B$16,2,FALSE)</f>
        <v>1</v>
      </c>
      <c r="M16" s="98">
        <f t="shared" si="2"/>
        <v>1</v>
      </c>
      <c r="N16" s="125">
        <f t="shared" si="3"/>
        <v>33000</v>
      </c>
      <c r="O16" s="225">
        <f t="shared" ref="O16" si="14">SUM(N16:N19)</f>
        <v>107000</v>
      </c>
    </row>
    <row r="17" spans="1:15" ht="15.5" x14ac:dyDescent="0.35">
      <c r="A17" s="222"/>
      <c r="B17" s="144" t="s">
        <v>133</v>
      </c>
      <c r="C17" s="97" t="s">
        <v>140</v>
      </c>
      <c r="D17" s="2" t="s">
        <v>92</v>
      </c>
      <c r="E17" s="24">
        <f>VLOOKUP(D17,Master!$A$3:$B$6,2,0)</f>
        <v>65000</v>
      </c>
      <c r="F17" s="98">
        <v>1</v>
      </c>
      <c r="G17" s="98">
        <f>VLOOKUP($B17,Master!$A$9:$B$16,2,FALSE)</f>
        <v>1</v>
      </c>
      <c r="H17" s="98">
        <f t="shared" si="0"/>
        <v>1</v>
      </c>
      <c r="I17" s="125">
        <f t="shared" si="1"/>
        <v>65000</v>
      </c>
      <c r="J17" s="225"/>
      <c r="K17" s="98">
        <v>0</v>
      </c>
      <c r="L17" s="98">
        <f>VLOOKUP($B17,Master!$A$9:$B$16,2,FALSE)</f>
        <v>1</v>
      </c>
      <c r="M17" s="98">
        <f t="shared" si="2"/>
        <v>0</v>
      </c>
      <c r="N17" s="125">
        <f t="shared" si="3"/>
        <v>0</v>
      </c>
      <c r="O17" s="225"/>
    </row>
    <row r="18" spans="1:15" ht="15.5" x14ac:dyDescent="0.35">
      <c r="A18" s="222"/>
      <c r="B18" s="144" t="s">
        <v>133</v>
      </c>
      <c r="C18" s="97" t="s">
        <v>140</v>
      </c>
      <c r="D18" s="2" t="s">
        <v>165</v>
      </c>
      <c r="E18" s="24">
        <f>VLOOKUP(D18,Master!$A$3:$B$6,2,0)</f>
        <v>41000</v>
      </c>
      <c r="F18" s="98">
        <v>1</v>
      </c>
      <c r="G18" s="98">
        <f>VLOOKUP($B18,Master!$A$9:$B$16,2,FALSE)</f>
        <v>1</v>
      </c>
      <c r="H18" s="98">
        <f t="shared" si="0"/>
        <v>1</v>
      </c>
      <c r="I18" s="125">
        <f t="shared" ref="I18" si="15">H18*$E18</f>
        <v>41000</v>
      </c>
      <c r="J18" s="225"/>
      <c r="K18" s="98">
        <v>1</v>
      </c>
      <c r="L18" s="98">
        <f>VLOOKUP($B18,Master!$A$9:$B$16,2,FALSE)</f>
        <v>1</v>
      </c>
      <c r="M18" s="98">
        <f t="shared" ref="M18" si="16">K18*L18</f>
        <v>1</v>
      </c>
      <c r="N18" s="125">
        <f t="shared" ref="N18" si="17">M18*$E18</f>
        <v>41000</v>
      </c>
      <c r="O18" s="225"/>
    </row>
    <row r="19" spans="1:15" ht="15.5" x14ac:dyDescent="0.35">
      <c r="A19" s="223"/>
      <c r="B19" s="145" t="s">
        <v>133</v>
      </c>
      <c r="C19" s="97" t="s">
        <v>141</v>
      </c>
      <c r="D19" s="2" t="s">
        <v>2</v>
      </c>
      <c r="E19" s="24">
        <f>VLOOKUP(D19,Master!$A$3:$B$6,2,0)</f>
        <v>33000</v>
      </c>
      <c r="F19" s="98">
        <v>1</v>
      </c>
      <c r="G19" s="98">
        <f>VLOOKUP($B19,Master!$A$9:$B$16,2,FALSE)</f>
        <v>1</v>
      </c>
      <c r="H19" s="98">
        <f t="shared" si="0"/>
        <v>1</v>
      </c>
      <c r="I19" s="125">
        <f t="shared" si="1"/>
        <v>33000</v>
      </c>
      <c r="J19" s="225"/>
      <c r="K19" s="98">
        <v>1</v>
      </c>
      <c r="L19" s="98">
        <f>VLOOKUP($B19,Master!$A$9:$B$16,2,FALSE)</f>
        <v>1</v>
      </c>
      <c r="M19" s="98">
        <f t="shared" si="2"/>
        <v>1</v>
      </c>
      <c r="N19" s="125">
        <f t="shared" si="3"/>
        <v>33000</v>
      </c>
      <c r="O19" s="225"/>
    </row>
    <row r="20" spans="1:15" ht="15.5" x14ac:dyDescent="0.35">
      <c r="A20" s="221">
        <v>5</v>
      </c>
      <c r="B20" s="143" t="s">
        <v>134</v>
      </c>
      <c r="C20" s="97" t="s">
        <v>140</v>
      </c>
      <c r="D20" s="2" t="s">
        <v>2</v>
      </c>
      <c r="E20" s="24">
        <f>VLOOKUP(D20,Master!$A$3:$B$6,2,0)</f>
        <v>33000</v>
      </c>
      <c r="F20" s="98">
        <v>1</v>
      </c>
      <c r="G20" s="98">
        <f>VLOOKUP($B20,Master!$A$9:$B$16,2,FALSE)</f>
        <v>1</v>
      </c>
      <c r="H20" s="98">
        <f t="shared" ref="H20:H35" si="18">F20*G20</f>
        <v>1</v>
      </c>
      <c r="I20" s="125">
        <f t="shared" si="1"/>
        <v>33000</v>
      </c>
      <c r="J20" s="225">
        <f t="shared" ref="J20" si="19">SUM(I20:I23)</f>
        <v>172000</v>
      </c>
      <c r="K20" s="98">
        <v>1</v>
      </c>
      <c r="L20" s="98">
        <f>VLOOKUP($B20,Master!$A$9:$B$16,2,FALSE)</f>
        <v>1</v>
      </c>
      <c r="M20" s="98">
        <f t="shared" si="2"/>
        <v>1</v>
      </c>
      <c r="N20" s="125">
        <f t="shared" si="3"/>
        <v>33000</v>
      </c>
      <c r="O20" s="225">
        <f t="shared" ref="O20" si="20">SUM(N20:N23)</f>
        <v>107000</v>
      </c>
    </row>
    <row r="21" spans="1:15" ht="15.5" x14ac:dyDescent="0.35">
      <c r="A21" s="222"/>
      <c r="B21" s="144" t="s">
        <v>134</v>
      </c>
      <c r="C21" s="97" t="s">
        <v>140</v>
      </c>
      <c r="D21" s="2" t="s">
        <v>92</v>
      </c>
      <c r="E21" s="24">
        <f>VLOOKUP(D21,Master!$A$3:$B$6,2,0)</f>
        <v>65000</v>
      </c>
      <c r="F21" s="98">
        <v>1</v>
      </c>
      <c r="G21" s="98">
        <f>VLOOKUP($B21,Master!$A$9:$B$16,2,FALSE)</f>
        <v>1</v>
      </c>
      <c r="H21" s="98">
        <f t="shared" si="18"/>
        <v>1</v>
      </c>
      <c r="I21" s="125">
        <f t="shared" si="1"/>
        <v>65000</v>
      </c>
      <c r="J21" s="225"/>
      <c r="K21" s="98">
        <v>0</v>
      </c>
      <c r="L21" s="98">
        <f>VLOOKUP($B21,Master!$A$9:$B$16,2,FALSE)</f>
        <v>1</v>
      </c>
      <c r="M21" s="98">
        <f t="shared" si="2"/>
        <v>0</v>
      </c>
      <c r="N21" s="125">
        <f t="shared" si="3"/>
        <v>0</v>
      </c>
      <c r="O21" s="225"/>
    </row>
    <row r="22" spans="1:15" ht="15.5" x14ac:dyDescent="0.35">
      <c r="A22" s="222"/>
      <c r="B22" s="144" t="s">
        <v>134</v>
      </c>
      <c r="C22" s="97" t="s">
        <v>140</v>
      </c>
      <c r="D22" s="2" t="s">
        <v>165</v>
      </c>
      <c r="E22" s="24">
        <f>VLOOKUP(D22,Master!$A$3:$B$6,2,0)</f>
        <v>41000</v>
      </c>
      <c r="F22" s="98">
        <v>1</v>
      </c>
      <c r="G22" s="98">
        <f>VLOOKUP($B22,Master!$A$9:$B$16,2,FALSE)</f>
        <v>1</v>
      </c>
      <c r="H22" s="98">
        <f t="shared" si="18"/>
        <v>1</v>
      </c>
      <c r="I22" s="125">
        <f t="shared" si="1"/>
        <v>41000</v>
      </c>
      <c r="J22" s="225"/>
      <c r="K22" s="98">
        <v>1</v>
      </c>
      <c r="L22" s="98">
        <f>VLOOKUP($B22,Master!$A$9:$B$16,2,FALSE)</f>
        <v>1</v>
      </c>
      <c r="M22" s="98">
        <f t="shared" si="2"/>
        <v>1</v>
      </c>
      <c r="N22" s="125">
        <f t="shared" si="3"/>
        <v>41000</v>
      </c>
      <c r="O22" s="225"/>
    </row>
    <row r="23" spans="1:15" ht="15.5" x14ac:dyDescent="0.35">
      <c r="A23" s="223"/>
      <c r="B23" s="145" t="s">
        <v>134</v>
      </c>
      <c r="C23" s="97" t="s">
        <v>141</v>
      </c>
      <c r="D23" s="2" t="s">
        <v>2</v>
      </c>
      <c r="E23" s="24">
        <f>VLOOKUP(D23,Master!$A$3:$B$6,2,0)</f>
        <v>33000</v>
      </c>
      <c r="F23" s="98">
        <v>1</v>
      </c>
      <c r="G23" s="98">
        <f>VLOOKUP($B23,Master!$A$9:$B$16,2,FALSE)</f>
        <v>1</v>
      </c>
      <c r="H23" s="98">
        <f t="shared" si="18"/>
        <v>1</v>
      </c>
      <c r="I23" s="125">
        <f t="shared" si="1"/>
        <v>33000</v>
      </c>
      <c r="J23" s="225"/>
      <c r="K23" s="98">
        <v>1</v>
      </c>
      <c r="L23" s="98">
        <f>VLOOKUP($B23,Master!$A$9:$B$16,2,FALSE)</f>
        <v>1</v>
      </c>
      <c r="M23" s="98">
        <f t="shared" si="2"/>
        <v>1</v>
      </c>
      <c r="N23" s="125">
        <f t="shared" si="3"/>
        <v>33000</v>
      </c>
      <c r="O23" s="225"/>
    </row>
    <row r="24" spans="1:15" ht="15.5" x14ac:dyDescent="0.35">
      <c r="A24" s="221">
        <v>6</v>
      </c>
      <c r="B24" s="143" t="s">
        <v>135</v>
      </c>
      <c r="C24" s="97" t="s">
        <v>140</v>
      </c>
      <c r="D24" s="2" t="s">
        <v>2</v>
      </c>
      <c r="E24" s="24">
        <f>VLOOKUP(D24,Master!$A$3:$B$6,2,0)</f>
        <v>33000</v>
      </c>
      <c r="F24" s="98">
        <v>1</v>
      </c>
      <c r="G24" s="98">
        <f>VLOOKUP($B24,Master!$A$9:$B$16,2,FALSE)</f>
        <v>1</v>
      </c>
      <c r="H24" s="98">
        <f t="shared" si="18"/>
        <v>1</v>
      </c>
      <c r="I24" s="125">
        <f t="shared" si="1"/>
        <v>33000</v>
      </c>
      <c r="J24" s="225">
        <f t="shared" ref="J24" si="21">SUM(I24:I27)</f>
        <v>172000</v>
      </c>
      <c r="K24" s="98">
        <v>1</v>
      </c>
      <c r="L24" s="98">
        <f>VLOOKUP($B24,Master!$A$9:$B$16,2,FALSE)</f>
        <v>1</v>
      </c>
      <c r="M24" s="98">
        <f t="shared" si="2"/>
        <v>1</v>
      </c>
      <c r="N24" s="125">
        <f t="shared" si="3"/>
        <v>33000</v>
      </c>
      <c r="O24" s="225">
        <f t="shared" ref="O24" si="22">SUM(N24:N27)</f>
        <v>107000</v>
      </c>
    </row>
    <row r="25" spans="1:15" ht="15.5" x14ac:dyDescent="0.35">
      <c r="A25" s="222"/>
      <c r="B25" s="144" t="s">
        <v>135</v>
      </c>
      <c r="C25" s="97" t="s">
        <v>140</v>
      </c>
      <c r="D25" s="2" t="s">
        <v>92</v>
      </c>
      <c r="E25" s="24">
        <f>VLOOKUP(D25,Master!$A$3:$B$6,2,0)</f>
        <v>65000</v>
      </c>
      <c r="F25" s="98">
        <v>1</v>
      </c>
      <c r="G25" s="98">
        <f>VLOOKUP($B25,Master!$A$9:$B$16,2,FALSE)</f>
        <v>1</v>
      </c>
      <c r="H25" s="98">
        <f t="shared" si="18"/>
        <v>1</v>
      </c>
      <c r="I25" s="125">
        <f t="shared" si="1"/>
        <v>65000</v>
      </c>
      <c r="J25" s="225"/>
      <c r="K25" s="98">
        <v>0</v>
      </c>
      <c r="L25" s="98">
        <f>VLOOKUP($B25,Master!$A$9:$B$16,2,FALSE)</f>
        <v>1</v>
      </c>
      <c r="M25" s="98">
        <f t="shared" si="2"/>
        <v>0</v>
      </c>
      <c r="N25" s="125">
        <f t="shared" si="3"/>
        <v>0</v>
      </c>
      <c r="O25" s="225"/>
    </row>
    <row r="26" spans="1:15" ht="15.5" x14ac:dyDescent="0.35">
      <c r="A26" s="222"/>
      <c r="B26" s="144" t="s">
        <v>135</v>
      </c>
      <c r="C26" s="97" t="s">
        <v>140</v>
      </c>
      <c r="D26" s="2" t="s">
        <v>165</v>
      </c>
      <c r="E26" s="24">
        <f>VLOOKUP(D26,Master!$A$3:$B$6,2,0)</f>
        <v>41000</v>
      </c>
      <c r="F26" s="98">
        <v>1</v>
      </c>
      <c r="G26" s="98">
        <f>VLOOKUP($B26,Master!$A$9:$B$16,2,FALSE)</f>
        <v>1</v>
      </c>
      <c r="H26" s="98">
        <f t="shared" ref="H26" si="23">F26*G26</f>
        <v>1</v>
      </c>
      <c r="I26" s="125">
        <f t="shared" ref="I26" si="24">H26*$E26</f>
        <v>41000</v>
      </c>
      <c r="J26" s="225"/>
      <c r="K26" s="98">
        <v>1</v>
      </c>
      <c r="L26" s="98">
        <f>VLOOKUP($B26,Master!$A$9:$B$16,2,FALSE)</f>
        <v>1</v>
      </c>
      <c r="M26" s="98">
        <f t="shared" ref="M26" si="25">K26*L26</f>
        <v>1</v>
      </c>
      <c r="N26" s="125">
        <f t="shared" ref="N26" si="26">M26*$E26</f>
        <v>41000</v>
      </c>
      <c r="O26" s="225"/>
    </row>
    <row r="27" spans="1:15" ht="15.5" x14ac:dyDescent="0.35">
      <c r="A27" s="223"/>
      <c r="B27" s="145" t="s">
        <v>135</v>
      </c>
      <c r="C27" s="97" t="s">
        <v>141</v>
      </c>
      <c r="D27" s="2" t="s">
        <v>2</v>
      </c>
      <c r="E27" s="24">
        <f>VLOOKUP(D27,Master!$A$3:$B$6,2,0)</f>
        <v>33000</v>
      </c>
      <c r="F27" s="98">
        <v>1</v>
      </c>
      <c r="G27" s="98">
        <f>VLOOKUP($B27,Master!$A$9:$B$16,2,FALSE)</f>
        <v>1</v>
      </c>
      <c r="H27" s="98">
        <f t="shared" si="18"/>
        <v>1</v>
      </c>
      <c r="I27" s="125">
        <f t="shared" si="1"/>
        <v>33000</v>
      </c>
      <c r="J27" s="225"/>
      <c r="K27" s="98">
        <v>1</v>
      </c>
      <c r="L27" s="98">
        <f>VLOOKUP($B27,Master!$A$9:$B$16,2,FALSE)</f>
        <v>1</v>
      </c>
      <c r="M27" s="98">
        <f t="shared" si="2"/>
        <v>1</v>
      </c>
      <c r="N27" s="125">
        <f t="shared" si="3"/>
        <v>33000</v>
      </c>
      <c r="O27" s="225"/>
    </row>
    <row r="28" spans="1:15" ht="15.5" x14ac:dyDescent="0.35">
      <c r="A28" s="221">
        <v>7</v>
      </c>
      <c r="B28" s="143" t="s">
        <v>136</v>
      </c>
      <c r="C28" s="97" t="s">
        <v>140</v>
      </c>
      <c r="D28" s="2" t="s">
        <v>2</v>
      </c>
      <c r="E28" s="24">
        <f>VLOOKUP(D28,Master!$A$3:$B$6,2,0)</f>
        <v>33000</v>
      </c>
      <c r="F28" s="98">
        <v>1</v>
      </c>
      <c r="G28" s="98">
        <f>VLOOKUP($B28,Master!$A$9:$B$16,2,FALSE)</f>
        <v>1</v>
      </c>
      <c r="H28" s="98">
        <f t="shared" si="18"/>
        <v>1</v>
      </c>
      <c r="I28" s="125">
        <f t="shared" si="1"/>
        <v>33000</v>
      </c>
      <c r="J28" s="225">
        <f t="shared" ref="J28" si="27">SUM(I28:I31)</f>
        <v>172000</v>
      </c>
      <c r="K28" s="98">
        <v>1</v>
      </c>
      <c r="L28" s="98">
        <f>VLOOKUP($B28,Master!$A$9:$B$16,2,FALSE)</f>
        <v>1</v>
      </c>
      <c r="M28" s="98">
        <f t="shared" si="2"/>
        <v>1</v>
      </c>
      <c r="N28" s="125">
        <f t="shared" si="3"/>
        <v>33000</v>
      </c>
      <c r="O28" s="225">
        <f t="shared" ref="O28" si="28">SUM(N28:N31)</f>
        <v>107000</v>
      </c>
    </row>
    <row r="29" spans="1:15" ht="15.5" x14ac:dyDescent="0.35">
      <c r="A29" s="222"/>
      <c r="B29" s="144" t="s">
        <v>136</v>
      </c>
      <c r="C29" s="97" t="s">
        <v>140</v>
      </c>
      <c r="D29" s="2" t="s">
        <v>92</v>
      </c>
      <c r="E29" s="24">
        <f>VLOOKUP(D29,Master!$A$3:$B$6,2,0)</f>
        <v>65000</v>
      </c>
      <c r="F29" s="98">
        <v>1</v>
      </c>
      <c r="G29" s="98">
        <f>VLOOKUP($B29,Master!$A$9:$B$16,2,FALSE)</f>
        <v>1</v>
      </c>
      <c r="H29" s="98">
        <f t="shared" si="18"/>
        <v>1</v>
      </c>
      <c r="I29" s="125">
        <f t="shared" si="1"/>
        <v>65000</v>
      </c>
      <c r="J29" s="225"/>
      <c r="K29" s="98">
        <v>0</v>
      </c>
      <c r="L29" s="98">
        <f>VLOOKUP($B29,Master!$A$9:$B$16,2,FALSE)</f>
        <v>1</v>
      </c>
      <c r="M29" s="98">
        <f t="shared" si="2"/>
        <v>0</v>
      </c>
      <c r="N29" s="125">
        <f t="shared" si="3"/>
        <v>0</v>
      </c>
      <c r="O29" s="225"/>
    </row>
    <row r="30" spans="1:15" ht="15.5" x14ac:dyDescent="0.35">
      <c r="A30" s="222"/>
      <c r="B30" s="144" t="s">
        <v>136</v>
      </c>
      <c r="C30" s="97" t="s">
        <v>140</v>
      </c>
      <c r="D30" s="2" t="s">
        <v>165</v>
      </c>
      <c r="E30" s="24">
        <f>VLOOKUP(D30,Master!$A$3:$B$6,2,0)</f>
        <v>41000</v>
      </c>
      <c r="F30" s="98">
        <v>1</v>
      </c>
      <c r="G30" s="98">
        <f>VLOOKUP($B30,Master!$A$9:$B$16,2,FALSE)</f>
        <v>1</v>
      </c>
      <c r="H30" s="98">
        <f t="shared" si="18"/>
        <v>1</v>
      </c>
      <c r="I30" s="125">
        <f t="shared" si="1"/>
        <v>41000</v>
      </c>
      <c r="J30" s="225"/>
      <c r="K30" s="98">
        <v>1</v>
      </c>
      <c r="L30" s="98">
        <f>VLOOKUP($B30,Master!$A$9:$B$16,2,FALSE)</f>
        <v>1</v>
      </c>
      <c r="M30" s="98">
        <f t="shared" si="2"/>
        <v>1</v>
      </c>
      <c r="N30" s="125">
        <f t="shared" si="3"/>
        <v>41000</v>
      </c>
      <c r="O30" s="225"/>
    </row>
    <row r="31" spans="1:15" ht="15.5" x14ac:dyDescent="0.35">
      <c r="A31" s="223"/>
      <c r="B31" s="145" t="s">
        <v>136</v>
      </c>
      <c r="C31" s="97" t="s">
        <v>141</v>
      </c>
      <c r="D31" s="2" t="s">
        <v>2</v>
      </c>
      <c r="E31" s="24">
        <f>VLOOKUP(D31,Master!$A$3:$B$6,2,0)</f>
        <v>33000</v>
      </c>
      <c r="F31" s="98">
        <v>1</v>
      </c>
      <c r="G31" s="98">
        <f>VLOOKUP($B31,Master!$A$9:$B$16,2,FALSE)</f>
        <v>1</v>
      </c>
      <c r="H31" s="98">
        <f t="shared" si="18"/>
        <v>1</v>
      </c>
      <c r="I31" s="125">
        <f t="shared" si="1"/>
        <v>33000</v>
      </c>
      <c r="J31" s="225"/>
      <c r="K31" s="98">
        <v>1</v>
      </c>
      <c r="L31" s="98">
        <f>VLOOKUP($B31,Master!$A$9:$B$16,2,FALSE)</f>
        <v>1</v>
      </c>
      <c r="M31" s="98">
        <f t="shared" si="2"/>
        <v>1</v>
      </c>
      <c r="N31" s="125">
        <f t="shared" si="3"/>
        <v>33000</v>
      </c>
      <c r="O31" s="225"/>
    </row>
    <row r="32" spans="1:15" ht="15.5" x14ac:dyDescent="0.35">
      <c r="A32" s="221">
        <v>8</v>
      </c>
      <c r="B32" s="143" t="s">
        <v>137</v>
      </c>
      <c r="C32" s="97" t="s">
        <v>140</v>
      </c>
      <c r="D32" s="2" t="s">
        <v>2</v>
      </c>
      <c r="E32" s="24">
        <f>VLOOKUP(D32,Master!$A$3:$B$6,2,0)</f>
        <v>33000</v>
      </c>
      <c r="F32" s="98">
        <v>1</v>
      </c>
      <c r="G32" s="98">
        <f>VLOOKUP($B32,Master!$A$9:$B$16,2,FALSE)</f>
        <v>1</v>
      </c>
      <c r="H32" s="98">
        <f t="shared" si="18"/>
        <v>1</v>
      </c>
      <c r="I32" s="125">
        <f t="shared" si="1"/>
        <v>33000</v>
      </c>
      <c r="J32" s="225">
        <f t="shared" ref="J32" si="29">SUM(I32:I35)</f>
        <v>172000</v>
      </c>
      <c r="K32" s="98">
        <v>1</v>
      </c>
      <c r="L32" s="98">
        <f>VLOOKUP($B32,Master!$A$9:$B$16,2,FALSE)</f>
        <v>1</v>
      </c>
      <c r="M32" s="98">
        <f t="shared" si="2"/>
        <v>1</v>
      </c>
      <c r="N32" s="125">
        <f t="shared" si="3"/>
        <v>33000</v>
      </c>
      <c r="O32" s="225">
        <f t="shared" ref="O32" si="30">SUM(N32:N35)</f>
        <v>107000</v>
      </c>
    </row>
    <row r="33" spans="1:15" ht="15.5" x14ac:dyDescent="0.35">
      <c r="A33" s="222"/>
      <c r="B33" s="144" t="s">
        <v>137</v>
      </c>
      <c r="C33" s="97" t="s">
        <v>140</v>
      </c>
      <c r="D33" s="2" t="s">
        <v>92</v>
      </c>
      <c r="E33" s="24">
        <f>VLOOKUP(D33,Master!$A$3:$B$6,2,0)</f>
        <v>65000</v>
      </c>
      <c r="F33" s="98">
        <v>1</v>
      </c>
      <c r="G33" s="98">
        <f>VLOOKUP($B33,Master!$A$9:$B$16,2,FALSE)</f>
        <v>1</v>
      </c>
      <c r="H33" s="98">
        <f t="shared" si="18"/>
        <v>1</v>
      </c>
      <c r="I33" s="125">
        <f t="shared" si="1"/>
        <v>65000</v>
      </c>
      <c r="J33" s="225"/>
      <c r="K33" s="98">
        <v>0</v>
      </c>
      <c r="L33" s="98">
        <f>VLOOKUP($B33,Master!$A$9:$B$16,2,FALSE)</f>
        <v>1</v>
      </c>
      <c r="M33" s="98">
        <f t="shared" si="2"/>
        <v>0</v>
      </c>
      <c r="N33" s="125">
        <f t="shared" si="3"/>
        <v>0</v>
      </c>
      <c r="O33" s="225"/>
    </row>
    <row r="34" spans="1:15" ht="15.5" x14ac:dyDescent="0.35">
      <c r="A34" s="222"/>
      <c r="B34" s="144" t="s">
        <v>137</v>
      </c>
      <c r="C34" s="97" t="s">
        <v>140</v>
      </c>
      <c r="D34" s="2" t="s">
        <v>165</v>
      </c>
      <c r="E34" s="24">
        <f>VLOOKUP(D34,Master!$A$3:$B$6,2,0)</f>
        <v>41000</v>
      </c>
      <c r="F34" s="98">
        <v>1</v>
      </c>
      <c r="G34" s="98">
        <f>VLOOKUP($B34,Master!$A$9:$B$16,2,FALSE)</f>
        <v>1</v>
      </c>
      <c r="H34" s="98">
        <f t="shared" ref="H34" si="31">F34*G34</f>
        <v>1</v>
      </c>
      <c r="I34" s="125">
        <f t="shared" ref="I34" si="32">H34*$E34</f>
        <v>41000</v>
      </c>
      <c r="J34" s="225"/>
      <c r="K34" s="98">
        <v>1</v>
      </c>
      <c r="L34" s="98">
        <f>VLOOKUP($B34,Master!$A$9:$B$16,2,FALSE)</f>
        <v>1</v>
      </c>
      <c r="M34" s="98">
        <f t="shared" ref="M34" si="33">K34*L34</f>
        <v>1</v>
      </c>
      <c r="N34" s="125">
        <f t="shared" ref="N34" si="34">M34*$E34</f>
        <v>41000</v>
      </c>
      <c r="O34" s="225"/>
    </row>
    <row r="35" spans="1:15" ht="15.5" x14ac:dyDescent="0.35">
      <c r="A35" s="223"/>
      <c r="B35" s="145" t="s">
        <v>137</v>
      </c>
      <c r="C35" s="97" t="s">
        <v>141</v>
      </c>
      <c r="D35" s="2" t="s">
        <v>2</v>
      </c>
      <c r="E35" s="24">
        <f>VLOOKUP(D35,Master!$A$3:$B$6,2,0)</f>
        <v>33000</v>
      </c>
      <c r="F35" s="98">
        <v>1</v>
      </c>
      <c r="G35" s="98">
        <f>VLOOKUP($B35,Master!$A$9:$B$16,2,FALSE)</f>
        <v>1</v>
      </c>
      <c r="H35" s="98">
        <f t="shared" si="18"/>
        <v>1</v>
      </c>
      <c r="I35" s="125">
        <f t="shared" si="1"/>
        <v>33000</v>
      </c>
      <c r="J35" s="225"/>
      <c r="K35" s="98">
        <v>1</v>
      </c>
      <c r="L35" s="98">
        <f>VLOOKUP($B35,Master!$A$9:$B$16,2,FALSE)</f>
        <v>1</v>
      </c>
      <c r="M35" s="98">
        <f t="shared" si="2"/>
        <v>1</v>
      </c>
      <c r="N35" s="125">
        <f t="shared" si="3"/>
        <v>33000</v>
      </c>
      <c r="O35" s="225"/>
    </row>
    <row r="36" spans="1:15" ht="15.5" x14ac:dyDescent="0.35">
      <c r="A36" s="129"/>
      <c r="B36" s="129"/>
      <c r="C36" s="129"/>
      <c r="D36" s="129"/>
      <c r="E36" s="129"/>
      <c r="F36" s="129"/>
      <c r="G36" s="129"/>
      <c r="H36" s="129">
        <f>SUM(H4:H35)</f>
        <v>36</v>
      </c>
      <c r="I36" s="130">
        <f>SUM(I4:I35)</f>
        <v>1548000</v>
      </c>
      <c r="J36" s="130">
        <f>SUM(J4:J35)</f>
        <v>1548000</v>
      </c>
      <c r="K36" s="129"/>
      <c r="L36" s="129"/>
      <c r="M36" s="129">
        <f>SUM(M4:M35)</f>
        <v>27</v>
      </c>
      <c r="N36" s="130">
        <f>SUM(N4:N35)</f>
        <v>963000</v>
      </c>
      <c r="O36" s="130">
        <f>SUM(O4:O35)</f>
        <v>963000</v>
      </c>
    </row>
  </sheetData>
  <autoFilter ref="A3:I36" xr:uid="{BA814D6A-4F79-4B32-A47C-435C29F4DF4D}"/>
  <mergeCells count="26">
    <mergeCell ref="J32:J35"/>
    <mergeCell ref="O20:O23"/>
    <mergeCell ref="J4:J7"/>
    <mergeCell ref="J8:J11"/>
    <mergeCell ref="J12:J15"/>
    <mergeCell ref="O32:O35"/>
    <mergeCell ref="J20:J23"/>
    <mergeCell ref="O24:O27"/>
    <mergeCell ref="O28:O31"/>
    <mergeCell ref="K2:O2"/>
    <mergeCell ref="J24:J27"/>
    <mergeCell ref="J28:J31"/>
    <mergeCell ref="O4:O7"/>
    <mergeCell ref="O8:O11"/>
    <mergeCell ref="O12:O15"/>
    <mergeCell ref="O16:O19"/>
    <mergeCell ref="F2:J2"/>
    <mergeCell ref="J16:J19"/>
    <mergeCell ref="A24:A27"/>
    <mergeCell ref="A28:A31"/>
    <mergeCell ref="A32:A35"/>
    <mergeCell ref="A4:A7"/>
    <mergeCell ref="A8:A11"/>
    <mergeCell ref="A12:A15"/>
    <mergeCell ref="A16:A19"/>
    <mergeCell ref="A20:A23"/>
  </mergeCells>
  <phoneticPr fontId="16"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10C6EA74-B753-4BCF-93A1-C730985A6328}">
          <x14:formula1>
            <xm:f>Master!$A$9:$A$16</xm:f>
          </x14:formula1>
          <xm:sqref>B4:B35</xm:sqref>
        </x14:dataValidation>
        <x14:dataValidation type="list" allowBlank="1" showInputMessage="1" showErrorMessage="1" xr:uid="{46A5CEF3-63E2-48DC-AA6C-02894D95B7BF}">
          <x14:formula1>
            <xm:f>Master!$A$3:$A$6</xm:f>
          </x14:formula1>
          <xm:sqref>D4:D35</xm:sqref>
        </x14:dataValidation>
        <x14:dataValidation type="list" allowBlank="1" showInputMessage="1" showErrorMessage="1" xr:uid="{A86BA05F-D0D3-4960-8836-CFB82EC3208E}">
          <x14:formula1>
            <xm:f>Master!$A$19:$A$20</xm:f>
          </x14:formula1>
          <xm:sqref>C4:C35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983C-9A10-4CF1-9660-69B075583600}">
  <sheetPr>
    <tabColor theme="5" tint="0.39997558519241921"/>
  </sheetPr>
  <dimension ref="A2:B20"/>
  <sheetViews>
    <sheetView zoomScale="130" zoomScaleNormal="130" workbookViewId="0">
      <selection activeCell="B4" sqref="B4"/>
    </sheetView>
  </sheetViews>
  <sheetFormatPr defaultRowHeight="14.5" x14ac:dyDescent="0.35"/>
  <cols>
    <col min="1" max="2" width="43.08984375" customWidth="1"/>
    <col min="3" max="3" width="32.08984375" customWidth="1"/>
    <col min="5" max="5" width="20.54296875" customWidth="1"/>
    <col min="11" max="11" width="30.453125" bestFit="1" customWidth="1"/>
  </cols>
  <sheetData>
    <row r="2" spans="1:2" x14ac:dyDescent="0.35">
      <c r="A2" s="8" t="s">
        <v>26</v>
      </c>
      <c r="B2" s="8" t="s">
        <v>27</v>
      </c>
    </row>
    <row r="3" spans="1:2" ht="15.5" x14ac:dyDescent="0.35">
      <c r="A3" s="2" t="s">
        <v>2</v>
      </c>
      <c r="B3" s="24">
        <v>33000</v>
      </c>
    </row>
    <row r="4" spans="1:2" ht="15.5" x14ac:dyDescent="0.35">
      <c r="A4" s="2" t="s">
        <v>92</v>
      </c>
      <c r="B4" s="24">
        <v>65000</v>
      </c>
    </row>
    <row r="5" spans="1:2" ht="15.5" x14ac:dyDescent="0.35">
      <c r="A5" s="2" t="s">
        <v>165</v>
      </c>
      <c r="B5" s="24">
        <v>41000</v>
      </c>
    </row>
    <row r="6" spans="1:2" ht="15.5" x14ac:dyDescent="0.35">
      <c r="A6" s="2" t="s">
        <v>91</v>
      </c>
      <c r="B6" s="24">
        <v>12000</v>
      </c>
    </row>
    <row r="8" spans="1:2" x14ac:dyDescent="0.35">
      <c r="A8" s="7" t="s">
        <v>139</v>
      </c>
      <c r="B8" s="7" t="s">
        <v>108</v>
      </c>
    </row>
    <row r="9" spans="1:2" x14ac:dyDescent="0.35">
      <c r="A9" s="9" t="s">
        <v>130</v>
      </c>
      <c r="B9" s="9">
        <v>2</v>
      </c>
    </row>
    <row r="10" spans="1:2" x14ac:dyDescent="0.35">
      <c r="A10" s="9" t="s">
        <v>131</v>
      </c>
      <c r="B10" s="9">
        <v>1</v>
      </c>
    </row>
    <row r="11" spans="1:2" x14ac:dyDescent="0.35">
      <c r="A11" s="9" t="s">
        <v>132</v>
      </c>
      <c r="B11" s="9">
        <v>1</v>
      </c>
    </row>
    <row r="12" spans="1:2" x14ac:dyDescent="0.35">
      <c r="A12" s="9" t="s">
        <v>133</v>
      </c>
      <c r="B12" s="9">
        <v>1</v>
      </c>
    </row>
    <row r="13" spans="1:2" x14ac:dyDescent="0.35">
      <c r="A13" s="9" t="s">
        <v>134</v>
      </c>
      <c r="B13" s="9">
        <v>1</v>
      </c>
    </row>
    <row r="14" spans="1:2" x14ac:dyDescent="0.35">
      <c r="A14" s="9" t="s">
        <v>135</v>
      </c>
      <c r="B14" s="9">
        <v>1</v>
      </c>
    </row>
    <row r="15" spans="1:2" x14ac:dyDescent="0.35">
      <c r="A15" s="9" t="s">
        <v>136</v>
      </c>
      <c r="B15" s="9">
        <v>1</v>
      </c>
    </row>
    <row r="16" spans="1:2" x14ac:dyDescent="0.35">
      <c r="A16" s="9" t="s">
        <v>137</v>
      </c>
      <c r="B16" s="9">
        <v>1</v>
      </c>
    </row>
    <row r="18" spans="1:2" x14ac:dyDescent="0.35">
      <c r="A18" s="7" t="s">
        <v>33</v>
      </c>
      <c r="B18" s="7" t="s">
        <v>108</v>
      </c>
    </row>
    <row r="19" spans="1:2" x14ac:dyDescent="0.35">
      <c r="A19" s="9" t="s">
        <v>140</v>
      </c>
      <c r="B19" s="9">
        <v>1</v>
      </c>
    </row>
    <row r="20" spans="1:2" x14ac:dyDescent="0.35">
      <c r="A20" s="9" t="s">
        <v>141</v>
      </c>
      <c r="B20" s="9">
        <v>1</v>
      </c>
    </row>
  </sheetData>
  <conditionalFormatting sqref="A6">
    <cfRule type="duplicateValues" dxfId="2" priority="40"/>
  </conditionalFormatting>
  <conditionalFormatting sqref="A4:A5">
    <cfRule type="duplicateValues" dxfId="1" priority="4"/>
  </conditionalFormatting>
  <conditionalFormatting sqref="A3">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Quotation with formula</vt:lpstr>
      <vt:lpstr>Quote Nomeclature</vt:lpstr>
      <vt:lpstr>Commercials 1 - RFID+ANPR</vt:lpstr>
      <vt:lpstr>Commercials 2 - RFID</vt:lpstr>
      <vt:lpstr>Manpower-PM Cost</vt:lpstr>
      <vt:lpstr>Total Hardware</vt:lpstr>
      <vt:lpstr>BOQ</vt:lpstr>
      <vt:lpstr>Master</vt:lpstr>
      <vt:lpstr>'Quotation with formula'!Print_Area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lenovo</cp:lastModifiedBy>
  <cp:lastPrinted>2025-09-23T16:12:15Z</cp:lastPrinted>
  <dcterms:created xsi:type="dcterms:W3CDTF">2024-09-10T04:33:48Z</dcterms:created>
  <dcterms:modified xsi:type="dcterms:W3CDTF">2025-11-14T07:47:21Z</dcterms:modified>
</cp:coreProperties>
</file>