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Manoj\Manoj\Axestrack\Solutions\AMNS\Safety\"/>
    </mc:Choice>
  </mc:AlternateContent>
  <xr:revisionPtr revIDLastSave="0" documentId="13_ncr:1_{3BBF947E-832F-49A9-BE6E-6285FB450A30}" xr6:coauthVersionLast="47" xr6:coauthVersionMax="47" xr10:uidLastSave="{00000000-0000-0000-0000-000000000000}"/>
  <bookViews>
    <workbookView xWindow="-110" yWindow="-110" windowWidth="19420" windowHeight="10300" firstSheet="1" activeTab="1" xr2:uid="{00000000-000D-0000-FFFF-FFFF00000000}"/>
  </bookViews>
  <sheets>
    <sheet name="Summary-3yr" sheetId="3" state="hidden" r:id="rId1"/>
    <sheet name="Quotation " sheetId="13" r:id="rId2"/>
    <sheet name="Commercials" sheetId="2" r:id="rId3"/>
    <sheet name="BOQ" sheetId="6" r:id="rId4"/>
    <sheet name="Sheet2" sheetId="7" state="hidden" r:id="rId5"/>
    <sheet name="Manpower Cost New" sheetId="8" r:id="rId6"/>
    <sheet name="Master" sheetId="9" r:id="rId7"/>
  </sheets>
  <definedNames>
    <definedName name="_xlnm._FilterDatabase" localSheetId="3" hidden="1">BOQ!$A$1:$H$11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13" l="1"/>
  <c r="I20" i="13" l="1"/>
  <c r="H30" i="8" l="1"/>
  <c r="G7" i="6"/>
  <c r="D7" i="6"/>
  <c r="H7" i="6" s="1"/>
  <c r="D3" i="6"/>
  <c r="H3" i="6" s="1"/>
  <c r="G3" i="6"/>
  <c r="I26" i="8"/>
  <c r="H14" i="2" l="1"/>
  <c r="D19" i="9" l="1"/>
  <c r="D18" i="9"/>
  <c r="D17" i="9"/>
  <c r="D16" i="9"/>
  <c r="D15" i="9"/>
  <c r="D14" i="9"/>
  <c r="D13" i="9"/>
  <c r="D12" i="9"/>
  <c r="D11" i="9"/>
  <c r="D10" i="9"/>
  <c r="D9" i="9"/>
  <c r="D8" i="9"/>
  <c r="D7" i="9"/>
  <c r="D6" i="9"/>
  <c r="D5" i="9"/>
  <c r="D4" i="9"/>
  <c r="D3" i="9"/>
  <c r="D2" i="9"/>
  <c r="I30" i="8"/>
  <c r="I31" i="8" s="1"/>
  <c r="U25" i="8"/>
  <c r="I25" i="8"/>
  <c r="U24" i="8"/>
  <c r="I24" i="8"/>
  <c r="J17" i="8"/>
  <c r="C17" i="8"/>
  <c r="E17" i="8" s="1"/>
  <c r="J16" i="8"/>
  <c r="C16" i="8"/>
  <c r="E16" i="8" s="1"/>
  <c r="J15" i="8"/>
  <c r="C15" i="8"/>
  <c r="E15" i="8" s="1"/>
  <c r="E18" i="8" s="1"/>
  <c r="C9" i="8"/>
  <c r="O8" i="8"/>
  <c r="G8" i="8"/>
  <c r="S7" i="8"/>
  <c r="G7" i="8"/>
  <c r="S6" i="8"/>
  <c r="E6" i="8"/>
  <c r="G6" i="8" s="1"/>
  <c r="C5" i="7"/>
  <c r="D5" i="7" s="1"/>
  <c r="C4" i="7"/>
  <c r="D4" i="7" s="1"/>
  <c r="D3" i="7"/>
  <c r="C3" i="7"/>
  <c r="C2" i="7"/>
  <c r="D2" i="7" s="1"/>
  <c r="G10" i="6"/>
  <c r="D10" i="6"/>
  <c r="H10" i="6" s="1"/>
  <c r="G8" i="6"/>
  <c r="D8" i="6"/>
  <c r="H8" i="6" s="1"/>
  <c r="G6" i="6"/>
  <c r="D6" i="6"/>
  <c r="H6" i="6" s="1"/>
  <c r="G5" i="6"/>
  <c r="D5" i="6"/>
  <c r="H5" i="6" s="1"/>
  <c r="G4" i="6"/>
  <c r="D4" i="6"/>
  <c r="H4" i="6" s="1"/>
  <c r="G9" i="6"/>
  <c r="D9" i="6"/>
  <c r="H9" i="6" s="1"/>
  <c r="G2" i="6"/>
  <c r="D2" i="6"/>
  <c r="H2" i="6" s="1"/>
  <c r="G24" i="2"/>
  <c r="G22" i="2"/>
  <c r="F22" i="2"/>
  <c r="G21" i="2"/>
  <c r="F18" i="2"/>
  <c r="H18" i="2" s="1"/>
  <c r="J18" i="2" s="1"/>
  <c r="D3" i="2"/>
  <c r="D6" i="7" l="1"/>
  <c r="U26" i="8"/>
  <c r="S8" i="8"/>
  <c r="I27" i="8"/>
  <c r="I33" i="8" s="1"/>
  <c r="G9" i="8"/>
  <c r="H22" i="2"/>
  <c r="E19" i="8"/>
  <c r="E20" i="8" s="1"/>
  <c r="H11" i="6"/>
  <c r="G11" i="6"/>
  <c r="K18" i="2"/>
  <c r="H13" i="2" l="1"/>
  <c r="F24" i="2" s="1"/>
  <c r="F13" i="2"/>
  <c r="F15" i="2" s="1"/>
  <c r="H15" i="2" s="1"/>
  <c r="K22" i="2"/>
  <c r="J22" i="2"/>
  <c r="C38" i="8"/>
  <c r="F17" i="2" s="1"/>
  <c r="H17" i="2" s="1"/>
  <c r="K17" i="2" s="1"/>
  <c r="J17" i="2" l="1"/>
  <c r="H19" i="2"/>
  <c r="K19" i="2"/>
  <c r="D3" i="3" s="1"/>
  <c r="K14" i="2" l="1"/>
  <c r="J14" i="2"/>
  <c r="J13" i="2" l="1"/>
  <c r="K13" i="2"/>
  <c r="J24" i="2" l="1"/>
  <c r="H24" i="2"/>
  <c r="K15" i="2"/>
  <c r="K16" i="2" s="1"/>
  <c r="J15" i="2"/>
  <c r="H16" i="2"/>
  <c r="H20" i="2" s="1"/>
  <c r="D2" i="3" l="1"/>
  <c r="I18" i="13"/>
  <c r="K20" i="2"/>
  <c r="P18" i="13" s="1"/>
  <c r="H25" i="2"/>
  <c r="K24" i="2"/>
  <c r="K25" i="2" l="1"/>
  <c r="D5" i="3" s="1"/>
  <c r="I21" i="13"/>
  <c r="P19" i="13"/>
  <c r="P20" i="13"/>
  <c r="O38" i="8"/>
  <c r="O41" i="8" s="1"/>
  <c r="F21" i="2"/>
  <c r="H21" i="2" s="1"/>
  <c r="H23" i="2" s="1"/>
  <c r="H26" i="2" s="1"/>
  <c r="P21" i="13" l="1"/>
  <c r="K21" i="2"/>
  <c r="K23" i="2" s="1"/>
  <c r="K26" i="2" s="1"/>
  <c r="I26" i="2" s="1"/>
  <c r="J21" i="2"/>
  <c r="D4" i="3" l="1"/>
  <c r="G3" i="3" s="1"/>
</calcChain>
</file>

<file path=xl/sharedStrings.xml><?xml version="1.0" encoding="utf-8"?>
<sst xmlns="http://schemas.openxmlformats.org/spreadsheetml/2006/main" count="254" uniqueCount="175">
  <si>
    <t xml:space="preserve">Customer </t>
  </si>
  <si>
    <t>AM/NS Pune</t>
  </si>
  <si>
    <t xml:space="preserve">Date </t>
  </si>
  <si>
    <t xml:space="preserve">Contract Year </t>
  </si>
  <si>
    <t>AMC Cost</t>
  </si>
  <si>
    <t>Hardware Transportation Cost</t>
  </si>
  <si>
    <t>Software Subscription cost per month Current</t>
  </si>
  <si>
    <t>ERP Integration</t>
  </si>
  <si>
    <t>Total Equipments</t>
  </si>
  <si>
    <t>Model</t>
  </si>
  <si>
    <t>Items</t>
  </si>
  <si>
    <t>Details</t>
  </si>
  <si>
    <t>Type</t>
  </si>
  <si>
    <t>Unit Cost</t>
  </si>
  <si>
    <t>Nos. of years</t>
  </si>
  <si>
    <t>Total Cost to Axestrack for 3 years</t>
  </si>
  <si>
    <t>Margin</t>
  </si>
  <si>
    <t>Unit Price with Margin</t>
  </si>
  <si>
    <t>Cost for 3 Years</t>
  </si>
  <si>
    <t>One Time Cost</t>
  </si>
  <si>
    <t>Hardware Cost</t>
  </si>
  <si>
    <t>One Time</t>
  </si>
  <si>
    <t>Spares</t>
  </si>
  <si>
    <t>Hardware Transportation cost</t>
  </si>
  <si>
    <t>Total Hardware Cost</t>
  </si>
  <si>
    <t>Implementation Cost (Implementation+Hypercare)</t>
  </si>
  <si>
    <t>Installation, Training &amp; Configuration</t>
  </si>
  <si>
    <t>Total Installation, Setup &amp; API Development Cost</t>
  </si>
  <si>
    <t>Total One Time Cost</t>
  </si>
  <si>
    <t>Subscription Fee</t>
  </si>
  <si>
    <t>Project Management Cost</t>
  </si>
  <si>
    <t>Per Year</t>
  </si>
  <si>
    <t>Annual Subscription fee</t>
  </si>
  <si>
    <t>Platform Subscription Fee</t>
  </si>
  <si>
    <t>Total Subscription &amp; PMO Cost for 3 Years</t>
  </si>
  <si>
    <t>AMC</t>
  </si>
  <si>
    <t>AMC from 2nd Year onwards</t>
  </si>
  <si>
    <t>AMC for 2 years</t>
  </si>
  <si>
    <t>Total Cost of the Project for 3.5 Years</t>
  </si>
  <si>
    <t>Sr No</t>
  </si>
  <si>
    <t>Price Full</t>
  </si>
  <si>
    <t>Hardware</t>
  </si>
  <si>
    <t>One time</t>
  </si>
  <si>
    <t>Implementation Cost</t>
  </si>
  <si>
    <t>For 3 Years</t>
  </si>
  <si>
    <t>For 2 years</t>
  </si>
  <si>
    <t>Total</t>
  </si>
  <si>
    <t>Price</t>
  </si>
  <si>
    <t>Hardware Count</t>
  </si>
  <si>
    <t xml:space="preserve">Stage </t>
  </si>
  <si>
    <t>Unit Price</t>
  </si>
  <si>
    <t>Quantity per Check Point</t>
  </si>
  <si>
    <t>Checkpoints</t>
  </si>
  <si>
    <t>Parking IN</t>
  </si>
  <si>
    <t>RFID Reader</t>
  </si>
  <si>
    <t>Handheld RFID Reader</t>
  </si>
  <si>
    <t>RFID tags</t>
  </si>
  <si>
    <t>4 Port POE</t>
  </si>
  <si>
    <t xml:space="preserve">PA System </t>
  </si>
  <si>
    <t>Breath Analyzer</t>
  </si>
  <si>
    <t>ANPR Camera</t>
  </si>
  <si>
    <t>AT Controller</t>
  </si>
  <si>
    <t>Boom Barrier</t>
  </si>
  <si>
    <t>PA System 8 horn</t>
  </si>
  <si>
    <t>LED Display-XXL</t>
  </si>
  <si>
    <t>Parking OUT</t>
  </si>
  <si>
    <t>Gate IN</t>
  </si>
  <si>
    <t>Gate OUT</t>
  </si>
  <si>
    <t>Qty</t>
  </si>
  <si>
    <t>Traffic Light</t>
  </si>
  <si>
    <t>Tablet (Industrial Grade)</t>
  </si>
  <si>
    <t>Implementation</t>
  </si>
  <si>
    <t>Hypercare 3 months</t>
  </si>
  <si>
    <t>Onsite Manpower</t>
  </si>
  <si>
    <t>M1 to M6</t>
  </si>
  <si>
    <t>M7 &amp; M9</t>
  </si>
  <si>
    <t>M7 to M48</t>
  </si>
  <si>
    <t>Installation, Training &amp; Configuration Cost for phase 1 (a)</t>
  </si>
  <si>
    <t>Hypercare (a) (M7 to M9)</t>
  </si>
  <si>
    <t>Onsite Manpower, Support &amp; Maintenance Cost (b) from M7 to M42</t>
  </si>
  <si>
    <t>Type of Manpower</t>
  </si>
  <si>
    <t>Count per shift</t>
  </si>
  <si>
    <t>Nos. of shifts</t>
  </si>
  <si>
    <t>Cost per Resource per month</t>
  </si>
  <si>
    <t>Duration in Months</t>
  </si>
  <si>
    <t>PM</t>
  </si>
  <si>
    <t>Sr. CS (Offshore)</t>
  </si>
  <si>
    <t>Hardware Engineers</t>
  </si>
  <si>
    <t>Support Engineers (CPL)</t>
  </si>
  <si>
    <t>Software Engineers</t>
  </si>
  <si>
    <t>Total (A)</t>
  </si>
  <si>
    <t>Software Engineers (Offshore)</t>
  </si>
  <si>
    <t>Current Equipments</t>
  </si>
  <si>
    <t>Count</t>
  </si>
  <si>
    <t>Productivity per resource</t>
  </si>
  <si>
    <t>Resources Required</t>
  </si>
  <si>
    <t>Planned Equipments</t>
  </si>
  <si>
    <t>Machines</t>
  </si>
  <si>
    <t>Gate Lanes</t>
  </si>
  <si>
    <t>Vehicles</t>
  </si>
  <si>
    <t>Onsite</t>
  </si>
  <si>
    <t>MIS</t>
  </si>
  <si>
    <t>Travel &amp; Lodging</t>
  </si>
  <si>
    <t>Onsite Manpower (b) (M7 to M9)</t>
  </si>
  <si>
    <t xml:space="preserve">Travel &amp; Lodging for Support </t>
  </si>
  <si>
    <t>Travel Allowance</t>
  </si>
  <si>
    <t>Travel Cost</t>
  </si>
  <si>
    <t>Stay Cost per Day</t>
  </si>
  <si>
    <t>Days per trip</t>
  </si>
  <si>
    <t>Frequency</t>
  </si>
  <si>
    <t>Frequency
(Annually)</t>
  </si>
  <si>
    <t xml:space="preserve">PM/Seniors </t>
  </si>
  <si>
    <t>PM/ Sr. CS (Onsite)</t>
  </si>
  <si>
    <t>Project Manager</t>
  </si>
  <si>
    <t>Support Engineers (Onsite)</t>
  </si>
  <si>
    <t>Misc Travel</t>
  </si>
  <si>
    <t>MIS Support (Offshore)</t>
  </si>
  <si>
    <t>Total (B)</t>
  </si>
  <si>
    <t>Rent</t>
  </si>
  <si>
    <t>month</t>
  </si>
  <si>
    <t>Per month rent</t>
  </si>
  <si>
    <t>Total (C)</t>
  </si>
  <si>
    <t>Total (B+C)</t>
  </si>
  <si>
    <t>Total Implementation Cost (M1 to M6)  (A+B+C)</t>
  </si>
  <si>
    <t>Live Project Management</t>
  </si>
  <si>
    <t>(Travel+Lodging for Support considered for 3 years)</t>
  </si>
  <si>
    <t>LED Display-2 Line</t>
  </si>
  <si>
    <t>LED Display-1 Line</t>
  </si>
  <si>
    <t>AT Positioning Sensor</t>
  </si>
  <si>
    <t>Smart Camera</t>
  </si>
  <si>
    <t>POS Printer</t>
  </si>
  <si>
    <t>Desktop</t>
  </si>
  <si>
    <t>Biometric</t>
  </si>
  <si>
    <t>Kiosk Cabin</t>
  </si>
  <si>
    <t>Full Height Turnstile</t>
  </si>
  <si>
    <t>8 Port POE</t>
  </si>
  <si>
    <t>Laser Printer</t>
  </si>
  <si>
    <t>GSTIN</t>
  </si>
  <si>
    <t>QUOTE #</t>
  </si>
  <si>
    <t>DATE</t>
  </si>
  <si>
    <t>MSME No</t>
  </si>
  <si>
    <t>Quote Validity : 15 days from submitted date</t>
  </si>
  <si>
    <t>Phone</t>
  </si>
  <si>
    <t>Email Id</t>
  </si>
  <si>
    <t>CUSTOMER INFO</t>
  </si>
  <si>
    <t>DESCRIPTION OF WORK</t>
  </si>
  <si>
    <t>S.No.</t>
  </si>
  <si>
    <t>Amount</t>
  </si>
  <si>
    <t>Terms &amp; Conditions</t>
  </si>
  <si>
    <t>Monthly</t>
  </si>
  <si>
    <t>Quotation</t>
  </si>
  <si>
    <r>
      <rPr>
        <b/>
        <sz val="10"/>
        <color theme="1"/>
        <rFont val="Arial"/>
        <family val="2"/>
      </rPr>
      <t xml:space="preserve">Address </t>
    </r>
    <r>
      <rPr>
        <sz val="10"/>
        <color theme="1"/>
        <rFont val="Arial"/>
        <family val="2"/>
      </rPr>
      <t>- Corporate HQ : Axestrack Software Solutions Pvt. Ltd., Office No.-19, 6th Floor, Jaipur Electronic Market, 
Near Riddhi Siddhi, Gopalpura bypass, Jaipur - 302018 , Rajasthan, India</t>
    </r>
  </si>
  <si>
    <t>Contact Person</t>
  </si>
  <si>
    <t>Company Name</t>
  </si>
  <si>
    <t>Address</t>
  </si>
  <si>
    <t xml:space="preserve">Year </t>
  </si>
  <si>
    <t>Description</t>
  </si>
  <si>
    <t xml:space="preserve">Hardware Cost </t>
  </si>
  <si>
    <t xml:space="preserve">Implementation Cost </t>
  </si>
  <si>
    <t xml:space="preserve">Installation, Commissioning &amp;Training </t>
  </si>
  <si>
    <t>Subscription Fee Post Go-Live</t>
  </si>
  <si>
    <t xml:space="preserve">Platform Subscription + Support &amp; Maintenance </t>
  </si>
  <si>
    <t>AMC from second year onwards</t>
  </si>
  <si>
    <t>Yearly</t>
  </si>
  <si>
    <t>Thanks for doing business with Axestrack Software Solution Pvt. Ltd.</t>
  </si>
  <si>
    <r>
      <t xml:space="preserve">• All prices quoted in this proposal are in Indian Rupees (INR) and are exclusive of GST. Applicable taxes will be charged extra as per
prevailing law.
• Device ownership shall remain with the Client.
• The above pricing doesnt involve integration with any ERP/ thrid party systems. To be charged seperately based on the efforts required.
 • The standard one-year hardware warranty, as per OEM guidelines, shall apply from the date of hardware delivery. Burnt, physically
damaged, or tampered hardware is excluded from warranty and shall not be covered under AMC. Kindly refer to the attached Hardware
Warranty T&amp;C.
• The minimum contract period shall be three (3) years from the date of deployment.
• Internet connectivity, civil works (including trenching, power supply, LAN/Wi-Fi readiness, pole mounting, enclosures), UPS
provisioning, and related site readiness shall remain in the Client’s scope, as outlined in the assumptions and dependencies section of the
proposal.
• AMC charges from the 2nd year onwards will be billed separately. Pricing and detailed AMC terms will be shared upon request.
• Spares and accessory parts, if required, will be charged separately at prevailing rates.
• The above costing remains valid for one (1) year from the date of proposal submission and includes the standard hardware warranty
period.
</t>
    </r>
    <r>
      <rPr>
        <i/>
        <u/>
        <sz val="10"/>
        <color theme="1"/>
        <rFont val="Arial"/>
        <family val="2"/>
      </rPr>
      <t>Payment Terms:</t>
    </r>
    <r>
      <rPr>
        <sz val="10"/>
        <color theme="1"/>
        <rFont val="Arial"/>
        <family val="2"/>
      </rPr>
      <t xml:space="preserve">
• 100% of the hardware cost is payable upfront at project kickoff.
• Payment for platform subscription, support, and maintenance will be on a monthly advance basis.
• All invoices are payable within fifteen (15) days from the date of receipt (original or digitally signed).
• Any delay in payment will attract an overdue charge of 1.5% per month or the maximum permissible under law, whichever is lower.</t>
    </r>
  </si>
  <si>
    <t xml:space="preserve"> Project Management, Support &amp; Maintenance</t>
  </si>
  <si>
    <t>First Year</t>
  </si>
  <si>
    <t>Second Year</t>
  </si>
  <si>
    <t>S. No.</t>
  </si>
  <si>
    <t>Year</t>
  </si>
  <si>
    <t>Hardware Cost, Installation,commissioning , training. Platform subscription &amp; Support</t>
  </si>
  <si>
    <t>Third Year</t>
  </si>
  <si>
    <t>Total Project Cost</t>
  </si>
  <si>
    <t>Platform subscription &amp; Support, AMC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</si>
</sst>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4009]dd\ mmmm\ yyyy"/>
    <numFmt numFmtId="165" formatCode="_(* #,##0_);_(* \(#,##0\);_(* &quot;-&quot;??_);_(@_)"/>
    <numFmt numFmtId="166" formatCode="_(* #,##0.0_);_(* \(#,##0.0\);_(* &quot;-&quot;?_);_(@_)"/>
    <numFmt numFmtId="167" formatCode="[$-14009]dd\ mmmm\ yyyy;@"/>
    <numFmt numFmtId="168" formatCode="_(* #,##0.00_);_(* \(#,##0.00\);_(* &quot;-&quot;??_);_(@_)"/>
    <numFmt numFmtId="169" formatCode="&quot;₹&quot;\ #,##0"/>
    <numFmt numFmtId="170" formatCode="_(* #,##0.0_);_(* \(#,##0.0\);_(* &quot;-&quot;??_);_(@_)"/>
    <numFmt numFmtId="171" formatCode="_(* #,##0.0000_);_(* \(#,##0.0000\);_(* &quot;-&quot;??_);_(@_)"/>
  </numFmts>
  <fonts count="22" x14ac:knownFonts="1">
    <font>
      <sz val="11"/>
      <color theme="1"/>
      <name val="Calibri"/>
      <family val="2"/>
      <scheme val="minor"/>
    </font>
    <font>
      <sz val="11"/>
      <color theme="1"/>
      <name val="Calibri"/>
      <family val="2"/>
      <scheme val="minor"/>
    </font>
    <font>
      <sz val="11"/>
      <color theme="1"/>
      <name val="Calibri"/>
      <family val="2"/>
    </font>
    <font>
      <b/>
      <sz val="14"/>
      <color theme="1"/>
      <name val="Calibri"/>
      <family val="2"/>
    </font>
    <font>
      <sz val="11"/>
      <name val="Calibri"/>
      <family val="2"/>
    </font>
    <font>
      <sz val="14"/>
      <color theme="1"/>
      <name val="Calibri"/>
      <family val="2"/>
    </font>
    <font>
      <sz val="12"/>
      <color theme="1"/>
      <name val="Calibri"/>
      <family val="2"/>
    </font>
    <font>
      <b/>
      <sz val="12"/>
      <color theme="1"/>
      <name val="Calibri"/>
      <family val="2"/>
    </font>
    <font>
      <b/>
      <sz val="16"/>
      <color theme="1"/>
      <name val="Calibri"/>
      <family val="2"/>
    </font>
    <font>
      <b/>
      <sz val="11"/>
      <color theme="1"/>
      <name val="Calibri"/>
      <family val="2"/>
    </font>
    <font>
      <b/>
      <sz val="12"/>
      <color rgb="FFFFFFFF"/>
      <name val="Calibri"/>
      <family val="2"/>
    </font>
    <font>
      <b/>
      <strike/>
      <sz val="16"/>
      <color theme="1"/>
      <name val="Calibri"/>
      <family val="2"/>
    </font>
    <font>
      <b/>
      <sz val="13"/>
      <color theme="1"/>
      <name val="Calibri"/>
      <family val="2"/>
    </font>
    <font>
      <u/>
      <sz val="11"/>
      <color theme="10"/>
      <name val="Calibri"/>
      <family val="2"/>
      <scheme val="minor"/>
    </font>
    <font>
      <sz val="10"/>
      <color theme="1"/>
      <name val="Arial"/>
      <family val="2"/>
    </font>
    <font>
      <b/>
      <sz val="14"/>
      <color theme="4"/>
      <name val="Arial"/>
      <family val="2"/>
    </font>
    <font>
      <b/>
      <sz val="10"/>
      <color theme="1"/>
      <name val="Arial"/>
      <family val="2"/>
    </font>
    <font>
      <sz val="10"/>
      <name val="Arial"/>
      <family val="2"/>
    </font>
    <font>
      <b/>
      <sz val="10"/>
      <color theme="0"/>
      <name val="Arial"/>
      <family val="2"/>
    </font>
    <font>
      <i/>
      <sz val="10"/>
      <color theme="1"/>
      <name val="Arial"/>
      <family val="2"/>
    </font>
    <font>
      <b/>
      <sz val="12"/>
      <color theme="0"/>
      <name val="Arial"/>
      <family val="2"/>
    </font>
    <font>
      <i/>
      <u/>
      <sz val="10"/>
      <color theme="1"/>
      <name val="Arial"/>
      <family val="2"/>
    </font>
  </fonts>
  <fills count="26">
    <fill>
      <patternFill patternType="none"/>
    </fill>
    <fill>
      <patternFill patternType="gray125"/>
    </fill>
    <fill>
      <patternFill patternType="solid">
        <fgColor rgb="FFFBE4D5"/>
        <bgColor rgb="FFFBE4D5"/>
      </patternFill>
    </fill>
    <fill>
      <patternFill patternType="solid">
        <fgColor rgb="FFB4C6E7"/>
        <bgColor rgb="FFB4C6E7"/>
      </patternFill>
    </fill>
    <fill>
      <patternFill patternType="solid">
        <fgColor rgb="FFF7CAAC"/>
        <bgColor rgb="FFF7CAAC"/>
      </patternFill>
    </fill>
    <fill>
      <patternFill patternType="solid">
        <fgColor rgb="FFECECEC"/>
        <bgColor rgb="FFECECEC"/>
      </patternFill>
    </fill>
    <fill>
      <patternFill patternType="solid">
        <fgColor rgb="FFD0CECE"/>
        <bgColor rgb="FFD0CECE"/>
      </patternFill>
    </fill>
    <fill>
      <patternFill patternType="solid">
        <fgColor rgb="FFFEF2CB"/>
        <bgColor rgb="FFFEF2CB"/>
      </patternFill>
    </fill>
    <fill>
      <patternFill patternType="solid">
        <fgColor rgb="FFBFBFBF"/>
        <bgColor rgb="FFBFBFBF"/>
      </patternFill>
    </fill>
    <fill>
      <patternFill patternType="solid">
        <fgColor rgb="FFFF9900"/>
        <bgColor rgb="FFFF9900"/>
      </patternFill>
    </fill>
    <fill>
      <patternFill patternType="solid">
        <fgColor rgb="FF8EAADB"/>
        <bgColor rgb="FF8EAADB"/>
      </patternFill>
    </fill>
    <fill>
      <patternFill patternType="solid">
        <fgColor rgb="FFC5E0B3"/>
        <bgColor rgb="FFC5E0B3"/>
      </patternFill>
    </fill>
    <fill>
      <patternFill patternType="solid">
        <fgColor theme="8" tint="0.59999389629810485"/>
        <bgColor indexed="64"/>
      </patternFill>
    </fill>
    <fill>
      <patternFill patternType="solid">
        <fgColor rgb="FF0000FF"/>
        <bgColor rgb="FF0000FF"/>
      </patternFill>
    </fill>
    <fill>
      <patternFill patternType="solid">
        <fgColor rgb="FFBDD6EE"/>
        <bgColor rgb="FFBDD6EE"/>
      </patternFill>
    </fill>
    <fill>
      <patternFill patternType="solid">
        <fgColor rgb="FFDEEAF6"/>
        <bgColor rgb="FFDEEAF6"/>
      </patternFill>
    </fill>
    <fill>
      <patternFill patternType="solid">
        <fgColor rgb="FFFFFF00"/>
        <bgColor rgb="FFFFFF00"/>
      </patternFill>
    </fill>
    <fill>
      <patternFill patternType="solid">
        <fgColor rgb="FFFFE598"/>
        <bgColor rgb="FFFFE598"/>
      </patternFill>
    </fill>
    <fill>
      <patternFill patternType="solid">
        <fgColor rgb="FFA8D08D"/>
        <bgColor rgb="FFA8D08D"/>
      </patternFill>
    </fill>
    <fill>
      <patternFill patternType="solid">
        <fgColor theme="2"/>
        <bgColor indexed="64"/>
      </patternFill>
    </fill>
    <fill>
      <patternFill patternType="solid">
        <fgColor theme="6" tint="0.59999389629810485"/>
        <bgColor rgb="FFD4D4D4"/>
      </patternFill>
    </fill>
    <fill>
      <patternFill patternType="solid">
        <fgColor theme="2"/>
        <bgColor rgb="FFD4D4D4"/>
      </patternFill>
    </fill>
    <fill>
      <patternFill patternType="solid">
        <fgColor theme="4" tint="0.79998168889431442"/>
        <bgColor rgb="FFD4D4D4"/>
      </patternFill>
    </fill>
    <fill>
      <patternFill patternType="solid">
        <fgColor theme="4"/>
        <bgColor rgb="FFD4D4D4"/>
      </patternFill>
    </fill>
    <fill>
      <patternFill patternType="solid">
        <fgColor theme="4"/>
        <bgColor indexed="64"/>
      </patternFill>
    </fill>
    <fill>
      <patternFill patternType="solid">
        <fgColor theme="6" tint="0.59999389629810485"/>
        <bgColor indexed="64"/>
      </patternFill>
    </fill>
  </fills>
  <borders count="39">
    <border>
      <left/>
      <right/>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4">
    <xf numFmtId="0" fontId="0" fillId="0" borderId="0"/>
    <xf numFmtId="0" fontId="13" fillId="0" borderId="0" applyNumberFormat="0" applyFill="0" applyBorder="0" applyAlignment="0" applyProtection="0"/>
    <xf numFmtId="168" fontId="1" fillId="0" borderId="0" applyFont="0" applyFill="0" applyBorder="0" applyAlignment="0" applyProtection="0"/>
    <xf numFmtId="0" fontId="1" fillId="0" borderId="0"/>
  </cellStyleXfs>
  <cellXfs count="200">
    <xf numFmtId="0" fontId="0" fillId="0" borderId="0" xfId="0"/>
    <xf numFmtId="0" fontId="2" fillId="0" borderId="0" xfId="0" applyFont="1" applyAlignment="1">
      <alignment horizontal="center"/>
    </xf>
    <xf numFmtId="0" fontId="5" fillId="0" borderId="3" xfId="0" applyFont="1" applyBorder="1" applyAlignment="1">
      <alignment horizontal="center"/>
    </xf>
    <xf numFmtId="0" fontId="5" fillId="0" borderId="0" xfId="0" applyFont="1"/>
    <xf numFmtId="0" fontId="6" fillId="0" borderId="0" xfId="0" applyFont="1"/>
    <xf numFmtId="164" fontId="5" fillId="0" borderId="6" xfId="0" applyNumberFormat="1" applyFont="1" applyBorder="1" applyAlignment="1">
      <alignment horizontal="center"/>
    </xf>
    <xf numFmtId="0" fontId="5" fillId="0" borderId="6" xfId="0" applyFont="1" applyBorder="1" applyAlignment="1">
      <alignment horizontal="center"/>
    </xf>
    <xf numFmtId="9" fontId="5" fillId="0" borderId="6" xfId="0" applyNumberFormat="1" applyFont="1" applyBorder="1" applyAlignment="1">
      <alignment horizontal="center"/>
    </xf>
    <xf numFmtId="9" fontId="5" fillId="0" borderId="7" xfId="0" applyNumberFormat="1" applyFont="1" applyBorder="1" applyAlignment="1">
      <alignment horizontal="center"/>
    </xf>
    <xf numFmtId="3" fontId="5" fillId="0" borderId="6" xfId="0" applyNumberFormat="1" applyFont="1" applyBorder="1" applyAlignment="1">
      <alignment horizontal="center"/>
    </xf>
    <xf numFmtId="9" fontId="2" fillId="0" borderId="0" xfId="0" applyNumberFormat="1" applyFont="1" applyAlignment="1">
      <alignment horizontal="center"/>
    </xf>
    <xf numFmtId="0" fontId="2" fillId="0" borderId="0" xfId="0" applyFont="1"/>
    <xf numFmtId="3" fontId="5" fillId="3" borderId="6" xfId="0" applyNumberFormat="1" applyFont="1" applyFill="1" applyBorder="1" applyAlignment="1">
      <alignment horizontal="center"/>
    </xf>
    <xf numFmtId="165" fontId="5" fillId="0" borderId="9" xfId="0" applyNumberFormat="1" applyFont="1" applyBorder="1" applyAlignment="1">
      <alignment horizontal="center" vertical="center" wrapText="1" readingOrder="1"/>
    </xf>
    <xf numFmtId="3" fontId="5" fillId="0" borderId="12" xfId="0" applyNumberFormat="1" applyFont="1" applyBorder="1" applyAlignment="1">
      <alignment horizontal="center"/>
    </xf>
    <xf numFmtId="0" fontId="3" fillId="0" borderId="0" xfId="0" applyFont="1"/>
    <xf numFmtId="165" fontId="7" fillId="0" borderId="0" xfId="0" applyNumberFormat="1" applyFont="1" applyAlignment="1">
      <alignment horizontal="right"/>
    </xf>
    <xf numFmtId="1" fontId="5" fillId="4" borderId="9" xfId="0" applyNumberFormat="1" applyFont="1" applyFill="1" applyBorder="1" applyAlignment="1">
      <alignment horizontal="center" vertical="center" wrapText="1" readingOrder="1"/>
    </xf>
    <xf numFmtId="0" fontId="3" fillId="5" borderId="15"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17" xfId="0" applyFont="1" applyFill="1" applyBorder="1" applyAlignment="1">
      <alignment horizontal="center" vertical="center" wrapText="1"/>
    </xf>
    <xf numFmtId="0" fontId="7" fillId="4" borderId="18" xfId="0" applyFont="1" applyFill="1" applyBorder="1" applyAlignment="1">
      <alignment horizontal="center" vertical="center" wrapText="1" readingOrder="1"/>
    </xf>
    <xf numFmtId="0" fontId="7" fillId="4" borderId="19" xfId="0" applyFont="1" applyFill="1" applyBorder="1" applyAlignment="1">
      <alignment horizontal="center" vertical="center" wrapText="1" readingOrder="1"/>
    </xf>
    <xf numFmtId="0" fontId="7" fillId="4" borderId="12" xfId="0" applyFont="1" applyFill="1" applyBorder="1" applyAlignment="1">
      <alignment horizontal="center" vertical="center" wrapText="1" readingOrder="1"/>
    </xf>
    <xf numFmtId="0" fontId="7" fillId="0" borderId="22" xfId="0" applyFont="1" applyBorder="1" applyAlignment="1">
      <alignment horizontal="left" vertical="center"/>
    </xf>
    <xf numFmtId="0" fontId="6" fillId="0" borderId="22" xfId="0" applyFont="1" applyBorder="1" applyAlignment="1">
      <alignment horizontal="center" vertical="center"/>
    </xf>
    <xf numFmtId="0" fontId="6" fillId="6" borderId="22" xfId="0" applyFont="1" applyFill="1" applyBorder="1" applyAlignment="1">
      <alignment vertical="center"/>
    </xf>
    <xf numFmtId="165" fontId="6" fillId="0" borderId="22" xfId="0" applyNumberFormat="1" applyFont="1" applyBorder="1" applyAlignment="1">
      <alignment horizontal="right" vertical="center" wrapText="1" readingOrder="1"/>
    </xf>
    <xf numFmtId="9" fontId="6" fillId="7" borderId="22" xfId="0" applyNumberFormat="1" applyFont="1" applyFill="1" applyBorder="1" applyAlignment="1">
      <alignment horizontal="center" vertical="center"/>
    </xf>
    <xf numFmtId="165" fontId="6" fillId="8" borderId="23" xfId="0" applyNumberFormat="1" applyFont="1" applyFill="1" applyBorder="1" applyAlignment="1">
      <alignment horizontal="right" vertical="center" wrapText="1" readingOrder="1"/>
    </xf>
    <xf numFmtId="0" fontId="6" fillId="0" borderId="9" xfId="0" applyFont="1" applyBorder="1" applyAlignment="1">
      <alignment horizontal="left" vertical="center"/>
    </xf>
    <xf numFmtId="0" fontId="6" fillId="0" borderId="9" xfId="0" applyFont="1" applyBorder="1" applyAlignment="1">
      <alignment horizontal="center" vertical="center"/>
    </xf>
    <xf numFmtId="1" fontId="6" fillId="6" borderId="9" xfId="0" applyNumberFormat="1" applyFont="1" applyFill="1" applyBorder="1" applyAlignment="1">
      <alignment vertical="center"/>
    </xf>
    <xf numFmtId="165" fontId="6" fillId="0" borderId="9" xfId="0" applyNumberFormat="1" applyFont="1" applyBorder="1" applyAlignment="1">
      <alignment horizontal="right" vertical="center" wrapText="1" readingOrder="1"/>
    </xf>
    <xf numFmtId="0" fontId="6" fillId="0" borderId="9" xfId="0" applyFont="1" applyBorder="1" applyAlignment="1">
      <alignment vertical="center" wrapText="1"/>
    </xf>
    <xf numFmtId="0" fontId="6" fillId="0" borderId="9" xfId="0" applyFont="1" applyBorder="1" applyAlignment="1">
      <alignment horizontal="center" vertical="center" wrapText="1"/>
    </xf>
    <xf numFmtId="0" fontId="6" fillId="6" borderId="9" xfId="0" applyFont="1" applyFill="1" applyBorder="1" applyAlignment="1">
      <alignment vertical="center"/>
    </xf>
    <xf numFmtId="0" fontId="7" fillId="2" borderId="9" xfId="0" applyFont="1" applyFill="1" applyBorder="1" applyAlignment="1">
      <alignment vertical="center"/>
    </xf>
    <xf numFmtId="0" fontId="7" fillId="2" borderId="9" xfId="0" applyFont="1" applyFill="1" applyBorder="1" applyAlignment="1">
      <alignment horizontal="center" vertical="center"/>
    </xf>
    <xf numFmtId="165" fontId="7" fillId="2" borderId="9" xfId="0" applyNumberFormat="1" applyFont="1" applyFill="1" applyBorder="1" applyAlignment="1">
      <alignment horizontal="right" vertical="center" wrapText="1" readingOrder="1"/>
    </xf>
    <xf numFmtId="165" fontId="6" fillId="6" borderId="9" xfId="0" applyNumberFormat="1" applyFont="1" applyFill="1" applyBorder="1" applyAlignment="1">
      <alignment vertical="center"/>
    </xf>
    <xf numFmtId="9" fontId="6" fillId="7" borderId="9" xfId="0" applyNumberFormat="1" applyFont="1" applyFill="1" applyBorder="1" applyAlignment="1">
      <alignment horizontal="center" vertical="center"/>
    </xf>
    <xf numFmtId="0" fontId="6" fillId="9" borderId="9" xfId="0" applyFont="1" applyFill="1" applyBorder="1" applyAlignment="1">
      <alignment vertical="center"/>
    </xf>
    <xf numFmtId="3" fontId="6" fillId="6" borderId="9" xfId="0" applyNumberFormat="1" applyFont="1" applyFill="1" applyBorder="1" applyAlignment="1">
      <alignment vertical="center"/>
    </xf>
    <xf numFmtId="165" fontId="7" fillId="2" borderId="9" xfId="0" applyNumberFormat="1" applyFont="1" applyFill="1" applyBorder="1" applyAlignment="1">
      <alignment horizontal="center" vertical="center"/>
    </xf>
    <xf numFmtId="0" fontId="7" fillId="10" borderId="26" xfId="0" applyFont="1" applyFill="1" applyBorder="1" applyAlignment="1">
      <alignment vertical="center"/>
    </xf>
    <xf numFmtId="0" fontId="7" fillId="10" borderId="26" xfId="0" applyFont="1" applyFill="1" applyBorder="1" applyAlignment="1">
      <alignment horizontal="center" vertical="center"/>
    </xf>
    <xf numFmtId="0" fontId="7" fillId="10" borderId="8" xfId="0" applyFont="1" applyFill="1" applyBorder="1" applyAlignment="1">
      <alignment horizontal="right" vertical="center"/>
    </xf>
    <xf numFmtId="165" fontId="7" fillId="10" borderId="9" xfId="0" applyNumberFormat="1" applyFont="1" applyFill="1" applyBorder="1" applyAlignment="1">
      <alignment horizontal="right" vertical="center" wrapText="1" readingOrder="1"/>
    </xf>
    <xf numFmtId="0" fontId="7" fillId="10" borderId="9" xfId="0" applyFont="1" applyFill="1" applyBorder="1" applyAlignment="1">
      <alignment horizontal="center" vertical="center"/>
    </xf>
    <xf numFmtId="165" fontId="7" fillId="10" borderId="9" xfId="0" applyNumberFormat="1" applyFont="1" applyFill="1" applyBorder="1" applyAlignment="1">
      <alignment horizontal="center" vertical="center"/>
    </xf>
    <xf numFmtId="165" fontId="2" fillId="0" borderId="0" xfId="0" applyNumberFormat="1" applyFont="1"/>
    <xf numFmtId="0" fontId="6" fillId="7" borderId="9" xfId="0" applyFont="1" applyFill="1" applyBorder="1" applyAlignment="1">
      <alignment horizontal="center" vertical="center"/>
    </xf>
    <xf numFmtId="0" fontId="6" fillId="0" borderId="9" xfId="0" applyFont="1" applyBorder="1" applyAlignment="1">
      <alignment vertical="center"/>
    </xf>
    <xf numFmtId="165" fontId="7" fillId="10" borderId="26" xfId="0" applyNumberFormat="1" applyFont="1" applyFill="1" applyBorder="1" applyAlignment="1">
      <alignment vertical="center"/>
    </xf>
    <xf numFmtId="0" fontId="7" fillId="10" borderId="8" xfId="0" applyFont="1" applyFill="1" applyBorder="1" applyAlignment="1">
      <alignment vertical="center"/>
    </xf>
    <xf numFmtId="0" fontId="3" fillId="11" borderId="10" xfId="0" applyFont="1" applyFill="1" applyBorder="1" applyAlignment="1">
      <alignment vertical="center"/>
    </xf>
    <xf numFmtId="0" fontId="3" fillId="11" borderId="28" xfId="0" applyFont="1" applyFill="1" applyBorder="1" applyAlignment="1">
      <alignment vertical="center"/>
    </xf>
    <xf numFmtId="0" fontId="3" fillId="11" borderId="11" xfId="0" applyFont="1" applyFill="1" applyBorder="1" applyAlignment="1">
      <alignment horizontal="right" vertical="center"/>
    </xf>
    <xf numFmtId="165" fontId="3" fillId="11" borderId="19" xfId="0" applyNumberFormat="1" applyFont="1" applyFill="1" applyBorder="1" applyAlignment="1">
      <alignment horizontal="right" vertical="center" wrapText="1" readingOrder="1"/>
    </xf>
    <xf numFmtId="10" fontId="5" fillId="6" borderId="19" xfId="0" applyNumberFormat="1" applyFont="1" applyFill="1" applyBorder="1" applyAlignment="1">
      <alignment horizontal="center" vertical="center"/>
    </xf>
    <xf numFmtId="165" fontId="5" fillId="6" borderId="29" xfId="0" applyNumberFormat="1" applyFont="1" applyFill="1" applyBorder="1" applyAlignment="1">
      <alignment horizontal="center" vertical="center"/>
    </xf>
    <xf numFmtId="43" fontId="2" fillId="0" borderId="0" xfId="0" applyNumberFormat="1" applyFont="1"/>
    <xf numFmtId="0" fontId="7" fillId="12" borderId="30" xfId="0" applyFont="1" applyFill="1" applyBorder="1" applyAlignment="1">
      <alignment horizontal="center" vertical="center" wrapText="1"/>
    </xf>
    <xf numFmtId="0" fontId="6" fillId="0" borderId="30" xfId="0" applyFont="1" applyBorder="1" applyAlignment="1">
      <alignment horizontal="center" vertical="center" wrapText="1"/>
    </xf>
    <xf numFmtId="165" fontId="0" fillId="0" borderId="0" xfId="0" applyNumberFormat="1"/>
    <xf numFmtId="0" fontId="1" fillId="0" borderId="0" xfId="0" applyFont="1"/>
    <xf numFmtId="0" fontId="7" fillId="0" borderId="0" xfId="0" applyFont="1"/>
    <xf numFmtId="0" fontId="7" fillId="14" borderId="9" xfId="0" applyFont="1" applyFill="1" applyBorder="1" applyAlignment="1">
      <alignment horizontal="center" vertical="center" wrapText="1" readingOrder="1"/>
    </xf>
    <xf numFmtId="0" fontId="6" fillId="0" borderId="9" xfId="0" applyFont="1" applyBorder="1" applyAlignment="1">
      <alignment horizontal="left" wrapText="1" readingOrder="1"/>
    </xf>
    <xf numFmtId="165" fontId="6" fillId="0" borderId="9" xfId="0" applyNumberFormat="1" applyFont="1" applyBorder="1" applyAlignment="1">
      <alignment horizontal="right" wrapText="1" readingOrder="1"/>
    </xf>
    <xf numFmtId="0" fontId="6" fillId="0" borderId="9" xfId="0" applyFont="1" applyBorder="1" applyAlignment="1">
      <alignment horizontal="center" wrapText="1" readingOrder="1"/>
    </xf>
    <xf numFmtId="0" fontId="10" fillId="13" borderId="9" xfId="0" applyFont="1" applyFill="1" applyBorder="1" applyAlignment="1">
      <alignment horizontal="center"/>
    </xf>
    <xf numFmtId="165" fontId="10" fillId="13" borderId="9" xfId="0" applyNumberFormat="1" applyFont="1" applyFill="1" applyBorder="1" applyAlignment="1">
      <alignment horizontal="center"/>
    </xf>
    <xf numFmtId="0" fontId="2" fillId="0" borderId="0" xfId="0" applyFont="1" applyAlignment="1">
      <alignment horizontal="left"/>
    </xf>
    <xf numFmtId="0" fontId="8" fillId="4" borderId="8" xfId="0" applyFont="1" applyFill="1" applyBorder="1" applyAlignment="1">
      <alignment horizontal="center" wrapText="1"/>
    </xf>
    <xf numFmtId="0" fontId="11" fillId="4" borderId="8" xfId="0" applyFont="1" applyFill="1" applyBorder="1" applyAlignment="1">
      <alignment horizontal="center" wrapText="1"/>
    </xf>
    <xf numFmtId="0" fontId="7" fillId="15" borderId="8" xfId="0" applyFont="1" applyFill="1" applyBorder="1" applyAlignment="1">
      <alignment horizontal="center"/>
    </xf>
    <xf numFmtId="0" fontId="9" fillId="2" borderId="9"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9" fillId="2" borderId="9" xfId="0" applyFont="1" applyFill="1" applyBorder="1" applyAlignment="1">
      <alignment horizontal="center" wrapText="1"/>
    </xf>
    <xf numFmtId="0" fontId="7" fillId="2" borderId="9" xfId="0" applyFont="1" applyFill="1" applyBorder="1" applyAlignment="1">
      <alignment horizontal="center" wrapText="1"/>
    </xf>
    <xf numFmtId="0" fontId="6" fillId="0" borderId="9" xfId="0" applyFont="1" applyBorder="1"/>
    <xf numFmtId="0" fontId="6" fillId="0" borderId="9" xfId="0" applyFont="1" applyBorder="1" applyAlignment="1">
      <alignment horizontal="center"/>
    </xf>
    <xf numFmtId="165" fontId="6" fillId="0" borderId="9" xfId="0" applyNumberFormat="1" applyFont="1" applyBorder="1" applyAlignment="1">
      <alignment horizontal="right" wrapText="1"/>
    </xf>
    <xf numFmtId="0" fontId="2" fillId="0" borderId="9" xfId="0" applyFont="1" applyBorder="1"/>
    <xf numFmtId="0" fontId="2" fillId="16" borderId="9" xfId="0" applyFont="1" applyFill="1" applyBorder="1" applyAlignment="1">
      <alignment horizontal="center"/>
    </xf>
    <xf numFmtId="0" fontId="7" fillId="17" borderId="9" xfId="0" applyFont="1" applyFill="1" applyBorder="1" applyAlignment="1">
      <alignment horizontal="center"/>
    </xf>
    <xf numFmtId="165" fontId="7" fillId="17" borderId="9" xfId="0" applyNumberFormat="1" applyFont="1" applyFill="1" applyBorder="1" applyAlignment="1">
      <alignment horizontal="right" wrapText="1"/>
    </xf>
    <xf numFmtId="0" fontId="6" fillId="16" borderId="9" xfId="0" applyFont="1" applyFill="1" applyBorder="1" applyAlignment="1">
      <alignment horizontal="center"/>
    </xf>
    <xf numFmtId="0" fontId="9" fillId="0" borderId="9" xfId="0" applyFont="1" applyBorder="1" applyAlignment="1">
      <alignment horizontal="center"/>
    </xf>
    <xf numFmtId="0" fontId="2" fillId="0" borderId="9" xfId="0" applyFont="1" applyBorder="1" applyAlignment="1">
      <alignment horizontal="right"/>
    </xf>
    <xf numFmtId="0" fontId="2" fillId="0" borderId="9" xfId="0" applyFont="1" applyBorder="1" applyAlignment="1">
      <alignment horizontal="center"/>
    </xf>
    <xf numFmtId="0" fontId="2" fillId="0" borderId="24" xfId="0" applyFont="1" applyBorder="1" applyAlignment="1">
      <alignment horizontal="right"/>
    </xf>
    <xf numFmtId="0" fontId="2" fillId="0" borderId="24" xfId="0" applyFont="1" applyBorder="1" applyAlignment="1">
      <alignment horizontal="center"/>
    </xf>
    <xf numFmtId="0" fontId="9" fillId="16" borderId="9" xfId="0" applyFont="1" applyFill="1" applyBorder="1" applyAlignment="1">
      <alignment horizontal="center"/>
    </xf>
    <xf numFmtId="0" fontId="9" fillId="0" borderId="24" xfId="0" applyFont="1" applyBorder="1" applyAlignment="1">
      <alignment horizontal="right"/>
    </xf>
    <xf numFmtId="0" fontId="9" fillId="16" borderId="24" xfId="0" applyFont="1" applyFill="1" applyBorder="1" applyAlignment="1">
      <alignment horizontal="center"/>
    </xf>
    <xf numFmtId="0" fontId="7" fillId="15" borderId="0" xfId="0" applyFont="1" applyFill="1" applyAlignment="1">
      <alignment horizontal="center"/>
    </xf>
    <xf numFmtId="0" fontId="7" fillId="2" borderId="9" xfId="0" applyFont="1" applyFill="1" applyBorder="1" applyAlignment="1">
      <alignment wrapText="1"/>
    </xf>
    <xf numFmtId="0" fontId="7" fillId="2" borderId="0" xfId="0" applyFont="1" applyFill="1" applyAlignment="1">
      <alignment horizontal="center" wrapText="1"/>
    </xf>
    <xf numFmtId="165" fontId="6" fillId="0" borderId="9" xfId="0" applyNumberFormat="1" applyFont="1" applyBorder="1" applyAlignment="1">
      <alignment horizontal="right"/>
    </xf>
    <xf numFmtId="165" fontId="6" fillId="0" borderId="0" xfId="0" applyNumberFormat="1" applyFont="1" applyAlignment="1">
      <alignment horizontal="right" wrapText="1"/>
    </xf>
    <xf numFmtId="165" fontId="6" fillId="0" borderId="9" xfId="0" applyNumberFormat="1" applyFont="1" applyBorder="1"/>
    <xf numFmtId="1" fontId="2" fillId="0" borderId="9" xfId="0" applyNumberFormat="1" applyFont="1" applyBorder="1"/>
    <xf numFmtId="1" fontId="2" fillId="0" borderId="0" xfId="0" applyNumberFormat="1" applyFont="1"/>
    <xf numFmtId="0" fontId="2" fillId="17" borderId="0" xfId="0" applyFont="1" applyFill="1"/>
    <xf numFmtId="165" fontId="2" fillId="17" borderId="0" xfId="0" applyNumberFormat="1" applyFont="1" applyFill="1"/>
    <xf numFmtId="165" fontId="7" fillId="17" borderId="0" xfId="0" applyNumberFormat="1" applyFont="1" applyFill="1" applyAlignment="1">
      <alignment horizontal="right" wrapText="1"/>
    </xf>
    <xf numFmtId="166" fontId="2" fillId="0" borderId="0" xfId="0" applyNumberFormat="1" applyFont="1"/>
    <xf numFmtId="0" fontId="7" fillId="17" borderId="9" xfId="0" applyFont="1" applyFill="1" applyBorder="1" applyAlignment="1">
      <alignment horizontal="center" vertical="center"/>
    </xf>
    <xf numFmtId="165" fontId="8" fillId="18" borderId="9" xfId="0" applyNumberFormat="1" applyFont="1" applyFill="1" applyBorder="1" applyAlignment="1">
      <alignment horizontal="right" vertical="center"/>
    </xf>
    <xf numFmtId="0" fontId="12" fillId="0" borderId="0" xfId="0" applyFont="1"/>
    <xf numFmtId="165" fontId="12" fillId="0" borderId="0" xfId="0" applyNumberFormat="1" applyFont="1"/>
    <xf numFmtId="165" fontId="7" fillId="0" borderId="0" xfId="0" applyNumberFormat="1" applyFont="1"/>
    <xf numFmtId="169" fontId="6" fillId="0" borderId="30" xfId="0" applyNumberFormat="1" applyFont="1" applyBorder="1" applyAlignment="1">
      <alignment horizontal="right" vertical="center" wrapText="1" readingOrder="1"/>
    </xf>
    <xf numFmtId="165" fontId="6" fillId="0" borderId="9" xfId="0" applyNumberFormat="1" applyFont="1" applyBorder="1" applyAlignment="1">
      <alignment horizontal="center" wrapText="1" readingOrder="1"/>
    </xf>
    <xf numFmtId="0" fontId="0" fillId="0" borderId="0" xfId="0" applyAlignment="1">
      <alignment horizontal="center"/>
    </xf>
    <xf numFmtId="0" fontId="6" fillId="0" borderId="24" xfId="0" applyFont="1" applyBorder="1" applyAlignment="1">
      <alignment horizontal="center" vertical="center" wrapText="1" readingOrder="1"/>
    </xf>
    <xf numFmtId="170" fontId="6" fillId="0" borderId="9" xfId="0" applyNumberFormat="1" applyFont="1" applyBorder="1" applyAlignment="1">
      <alignment horizontal="right"/>
    </xf>
    <xf numFmtId="0" fontId="14" fillId="0" borderId="0" xfId="3" applyFont="1" applyAlignment="1">
      <alignment vertical="center"/>
    </xf>
    <xf numFmtId="0" fontId="18" fillId="23" borderId="30" xfId="3" applyFont="1" applyFill="1" applyBorder="1" applyAlignment="1">
      <alignment horizontal="center" vertical="center" wrapText="1"/>
    </xf>
    <xf numFmtId="0" fontId="14" fillId="0" borderId="0" xfId="3" applyFont="1" applyAlignment="1">
      <alignment vertical="center" wrapText="1"/>
    </xf>
    <xf numFmtId="0" fontId="14" fillId="0" borderId="30" xfId="3" applyFont="1" applyBorder="1" applyAlignment="1">
      <alignment horizontal="center" vertical="center" wrapText="1"/>
    </xf>
    <xf numFmtId="165" fontId="17" fillId="0" borderId="30" xfId="2" applyNumberFormat="1" applyFont="1" applyFill="1" applyBorder="1" applyAlignment="1">
      <alignment horizontal="center" vertical="center" wrapText="1" readingOrder="1"/>
    </xf>
    <xf numFmtId="165" fontId="14" fillId="0" borderId="0" xfId="3" applyNumberFormat="1" applyFont="1" applyAlignment="1">
      <alignment vertical="center" wrapText="1"/>
    </xf>
    <xf numFmtId="0" fontId="14" fillId="0" borderId="33" xfId="3" applyFont="1" applyBorder="1" applyAlignment="1">
      <alignment horizontal="center" vertical="center" wrapText="1"/>
    </xf>
    <xf numFmtId="171" fontId="14" fillId="0" borderId="0" xfId="3" applyNumberFormat="1" applyFont="1" applyAlignment="1">
      <alignment vertical="center" wrapText="1"/>
    </xf>
    <xf numFmtId="43" fontId="0" fillId="0" borderId="0" xfId="0" applyNumberFormat="1"/>
    <xf numFmtId="0" fontId="14" fillId="0" borderId="30" xfId="3" applyFont="1" applyBorder="1" applyAlignment="1">
      <alignment vertical="center" wrapText="1"/>
    </xf>
    <xf numFmtId="165" fontId="14" fillId="0" borderId="30" xfId="3" applyNumberFormat="1" applyFont="1" applyBorder="1" applyAlignment="1">
      <alignment vertical="center" wrapText="1"/>
    </xf>
    <xf numFmtId="0" fontId="16" fillId="0" borderId="30" xfId="3" applyFont="1" applyBorder="1" applyAlignment="1">
      <alignment vertical="center" wrapText="1"/>
    </xf>
    <xf numFmtId="0" fontId="18" fillId="23" borderId="30" xfId="3" applyFont="1" applyFill="1" applyBorder="1" applyAlignment="1">
      <alignment vertical="center" wrapText="1"/>
    </xf>
    <xf numFmtId="0" fontId="18" fillId="23" borderId="31" xfId="3" applyFont="1" applyFill="1" applyBorder="1" applyAlignment="1">
      <alignment horizontal="center" vertical="center" wrapText="1"/>
    </xf>
    <xf numFmtId="0" fontId="18" fillId="23" borderId="32" xfId="3" applyFont="1" applyFill="1" applyBorder="1" applyAlignment="1">
      <alignment horizontal="center" vertical="center" wrapText="1"/>
    </xf>
    <xf numFmtId="0" fontId="18" fillId="23" borderId="30" xfId="3" applyFont="1" applyFill="1" applyBorder="1" applyAlignment="1">
      <alignment horizontal="center" vertical="center" wrapText="1"/>
    </xf>
    <xf numFmtId="165" fontId="16" fillId="0" borderId="31" xfId="3" applyNumberFormat="1" applyFont="1" applyBorder="1" applyAlignment="1">
      <alignment horizontal="center" vertical="center" wrapText="1"/>
    </xf>
    <xf numFmtId="165" fontId="16" fillId="0" borderId="38" xfId="3" applyNumberFormat="1" applyFont="1" applyBorder="1" applyAlignment="1">
      <alignment horizontal="center" vertical="center" wrapText="1"/>
    </xf>
    <xf numFmtId="165" fontId="16" fillId="0" borderId="32" xfId="3" applyNumberFormat="1" applyFont="1" applyBorder="1" applyAlignment="1">
      <alignment horizontal="center" vertical="center" wrapText="1"/>
    </xf>
    <xf numFmtId="0" fontId="20" fillId="24" borderId="31" xfId="3" applyFont="1" applyFill="1" applyBorder="1" applyAlignment="1">
      <alignment horizontal="center" vertical="center" wrapText="1"/>
    </xf>
    <xf numFmtId="0" fontId="20" fillId="24" borderId="38" xfId="3" applyFont="1" applyFill="1" applyBorder="1" applyAlignment="1">
      <alignment horizontal="center" vertical="center" wrapText="1"/>
    </xf>
    <xf numFmtId="0" fontId="20" fillId="24" borderId="32" xfId="3" applyFont="1" applyFill="1" applyBorder="1" applyAlignment="1">
      <alignment horizontal="center" vertical="center" wrapText="1"/>
    </xf>
    <xf numFmtId="0" fontId="14" fillId="0" borderId="31" xfId="3" applyFont="1" applyBorder="1" applyAlignment="1">
      <alignment horizontal="center" vertical="center"/>
    </xf>
    <xf numFmtId="0" fontId="14" fillId="0" borderId="38" xfId="3" applyFont="1" applyBorder="1" applyAlignment="1">
      <alignment horizontal="center" vertical="center"/>
    </xf>
    <xf numFmtId="0" fontId="14" fillId="0" borderId="32" xfId="3" applyFont="1" applyBorder="1" applyAlignment="1">
      <alignment horizontal="center" vertical="center"/>
    </xf>
    <xf numFmtId="0" fontId="16" fillId="25" borderId="31" xfId="3" applyFont="1" applyFill="1" applyBorder="1" applyAlignment="1">
      <alignment horizontal="center" vertical="center"/>
    </xf>
    <xf numFmtId="0" fontId="16" fillId="25" borderId="38" xfId="3" applyFont="1" applyFill="1" applyBorder="1" applyAlignment="1">
      <alignment horizontal="center" vertical="center"/>
    </xf>
    <xf numFmtId="0" fontId="16" fillId="25" borderId="32" xfId="3" applyFont="1" applyFill="1" applyBorder="1" applyAlignment="1">
      <alignment horizontal="center" vertical="center"/>
    </xf>
    <xf numFmtId="0" fontId="16" fillId="0" borderId="34" xfId="3" applyFont="1" applyBorder="1" applyAlignment="1">
      <alignment horizontal="center" vertical="center" wrapText="1"/>
    </xf>
    <xf numFmtId="0" fontId="16" fillId="0" borderId="35" xfId="3" applyFont="1" applyBorder="1" applyAlignment="1">
      <alignment horizontal="center" vertical="center" wrapText="1"/>
    </xf>
    <xf numFmtId="0" fontId="14" fillId="0" borderId="30" xfId="3" applyFont="1" applyBorder="1" applyAlignment="1">
      <alignment horizontal="left" vertical="center" wrapText="1"/>
    </xf>
    <xf numFmtId="0" fontId="14" fillId="0" borderId="30" xfId="3" applyFont="1" applyBorder="1" applyAlignment="1">
      <alignment horizontal="center" vertical="center" wrapText="1"/>
    </xf>
    <xf numFmtId="0" fontId="14" fillId="0" borderId="30" xfId="3" quotePrefix="1" applyFont="1" applyBorder="1" applyAlignment="1">
      <alignment horizontal="left" vertical="center" wrapText="1"/>
    </xf>
    <xf numFmtId="0" fontId="14" fillId="0" borderId="30" xfId="3" applyFont="1" applyBorder="1" applyAlignment="1">
      <alignment horizontal="left" vertical="center"/>
    </xf>
    <xf numFmtId="0" fontId="16" fillId="25" borderId="30" xfId="3" applyFont="1" applyFill="1" applyBorder="1" applyAlignment="1">
      <alignment horizontal="center" vertical="center"/>
    </xf>
    <xf numFmtId="0" fontId="16" fillId="0" borderId="30" xfId="3" applyFont="1" applyBorder="1" applyAlignment="1">
      <alignment horizontal="center" vertical="center" wrapText="1"/>
    </xf>
    <xf numFmtId="0" fontId="14" fillId="0" borderId="31" xfId="3" applyFont="1" applyBorder="1" applyAlignment="1">
      <alignment horizontal="left" vertical="center" wrapText="1"/>
    </xf>
    <xf numFmtId="0" fontId="14" fillId="0" borderId="32" xfId="3" applyFont="1" applyBorder="1" applyAlignment="1">
      <alignment horizontal="left" vertical="center" wrapText="1"/>
    </xf>
    <xf numFmtId="0" fontId="16" fillId="19" borderId="30" xfId="3" applyFont="1" applyFill="1" applyBorder="1" applyAlignment="1">
      <alignment horizontal="left" vertical="center"/>
    </xf>
    <xf numFmtId="0" fontId="13" fillId="0" borderId="30" xfId="1" applyBorder="1" applyAlignment="1">
      <alignment horizontal="left" vertical="center"/>
    </xf>
    <xf numFmtId="0" fontId="14" fillId="0" borderId="30" xfId="3" applyFont="1" applyBorder="1" applyAlignment="1">
      <alignment horizontal="center" vertical="center"/>
    </xf>
    <xf numFmtId="0" fontId="16" fillId="22" borderId="30" xfId="3" applyFont="1" applyFill="1" applyBorder="1" applyAlignment="1">
      <alignment horizontal="center" vertical="center"/>
    </xf>
    <xf numFmtId="0" fontId="17" fillId="0" borderId="30" xfId="3" applyFont="1" applyBorder="1" applyAlignment="1">
      <alignment horizontal="left" vertical="center" wrapText="1"/>
    </xf>
    <xf numFmtId="0" fontId="16" fillId="21" borderId="30" xfId="3" applyFont="1" applyFill="1" applyBorder="1" applyAlignment="1">
      <alignment horizontal="right" vertical="center"/>
    </xf>
    <xf numFmtId="0" fontId="14" fillId="0" borderId="30" xfId="3" quotePrefix="1" applyFont="1" applyBorder="1" applyAlignment="1">
      <alignment horizontal="left" vertical="center"/>
    </xf>
    <xf numFmtId="0" fontId="19" fillId="0" borderId="30" xfId="3" applyFont="1" applyBorder="1" applyAlignment="1">
      <alignment horizontal="center" vertical="center" wrapText="1"/>
    </xf>
    <xf numFmtId="0" fontId="13" fillId="0" borderId="30" xfId="1" quotePrefix="1" applyBorder="1" applyAlignment="1">
      <alignment horizontal="left" vertical="center"/>
    </xf>
    <xf numFmtId="0" fontId="16" fillId="21" borderId="30" xfId="3" applyFont="1" applyFill="1" applyBorder="1" applyAlignment="1">
      <alignment horizontal="left" vertical="center"/>
    </xf>
    <xf numFmtId="167" fontId="14" fillId="0" borderId="34" xfId="3" applyNumberFormat="1" applyFont="1" applyBorder="1" applyAlignment="1">
      <alignment horizontal="center" vertical="center"/>
    </xf>
    <xf numFmtId="167" fontId="14" fillId="0" borderId="35" xfId="3" applyNumberFormat="1" applyFont="1" applyBorder="1" applyAlignment="1">
      <alignment horizontal="center" vertical="center"/>
    </xf>
    <xf numFmtId="167" fontId="14" fillId="0" borderId="36" xfId="3" applyNumberFormat="1" applyFont="1" applyBorder="1" applyAlignment="1">
      <alignment horizontal="center" vertical="center"/>
    </xf>
    <xf numFmtId="167" fontId="14" fillId="0" borderId="37" xfId="3" applyNumberFormat="1" applyFont="1" applyBorder="1" applyAlignment="1">
      <alignment horizontal="center" vertical="center"/>
    </xf>
    <xf numFmtId="0" fontId="15" fillId="0" borderId="30" xfId="3" applyFont="1" applyBorder="1" applyAlignment="1">
      <alignment horizontal="center" vertical="center"/>
    </xf>
    <xf numFmtId="0" fontId="16" fillId="20" borderId="30" xfId="3" applyFont="1" applyFill="1" applyBorder="1" applyAlignment="1">
      <alignment horizontal="center" vertical="center"/>
    </xf>
    <xf numFmtId="0" fontId="7" fillId="0" borderId="27" xfId="0" applyFont="1" applyBorder="1" applyAlignment="1">
      <alignment horizontal="center" vertical="center" wrapText="1"/>
    </xf>
    <xf numFmtId="0" fontId="4" fillId="0" borderId="20" xfId="0" applyFont="1" applyBorder="1"/>
    <xf numFmtId="0" fontId="4" fillId="0" borderId="25" xfId="0" applyFont="1" applyBorder="1"/>
    <xf numFmtId="0" fontId="7" fillId="0" borderId="27" xfId="0" applyFont="1" applyBorder="1" applyAlignment="1">
      <alignment horizontal="center" vertical="center"/>
    </xf>
    <xf numFmtId="0" fontId="3" fillId="3" borderId="4" xfId="0" applyFont="1" applyFill="1" applyBorder="1" applyAlignment="1">
      <alignment horizontal="left"/>
    </xf>
    <xf numFmtId="0" fontId="4" fillId="0" borderId="5" xfId="0" applyFont="1" applyBorder="1"/>
    <xf numFmtId="0" fontId="3" fillId="2" borderId="8" xfId="0" applyFont="1" applyFill="1" applyBorder="1" applyAlignment="1">
      <alignment horizontal="left"/>
    </xf>
    <xf numFmtId="0" fontId="3" fillId="2" borderId="10" xfId="0" applyFont="1" applyFill="1" applyBorder="1" applyAlignment="1">
      <alignment horizontal="left"/>
    </xf>
    <xf numFmtId="0" fontId="4" fillId="0" borderId="11" xfId="0" applyFont="1" applyBorder="1"/>
    <xf numFmtId="0" fontId="8" fillId="4" borderId="1" xfId="0" applyFont="1" applyFill="1" applyBorder="1" applyAlignment="1">
      <alignment horizontal="center" vertical="center" wrapText="1"/>
    </xf>
    <xf numFmtId="0" fontId="4" fillId="0" borderId="13" xfId="0" applyFont="1" applyBorder="1"/>
    <xf numFmtId="0" fontId="4" fillId="0" borderId="14" xfId="0" applyFont="1" applyBorder="1"/>
    <xf numFmtId="0" fontId="7" fillId="0" borderId="20" xfId="0" applyFont="1" applyBorder="1" applyAlignment="1">
      <alignment horizontal="center" vertical="center"/>
    </xf>
    <xf numFmtId="0" fontId="6" fillId="0" borderId="21" xfId="0" applyFont="1" applyBorder="1" applyAlignment="1">
      <alignment horizontal="center" vertical="center" wrapText="1"/>
    </xf>
    <xf numFmtId="0" fontId="4" fillId="0" borderId="21" xfId="0" applyFont="1" applyBorder="1"/>
    <xf numFmtId="0" fontId="4" fillId="0" borderId="22" xfId="0" applyFont="1" applyBorder="1"/>
    <xf numFmtId="0" fontId="6" fillId="0" borderId="24" xfId="0" applyFont="1" applyBorder="1" applyAlignment="1">
      <alignment horizontal="center" vertical="center" wrapText="1"/>
    </xf>
    <xf numFmtId="0" fontId="3" fillId="2" borderId="4" xfId="0" applyFont="1" applyFill="1" applyBorder="1" applyAlignment="1">
      <alignment horizontal="left"/>
    </xf>
    <xf numFmtId="0" fontId="3" fillId="2" borderId="1" xfId="0" applyFont="1" applyFill="1" applyBorder="1" applyAlignment="1">
      <alignment horizontal="left"/>
    </xf>
    <xf numFmtId="0" fontId="4" fillId="0" borderId="2" xfId="0" applyFont="1" applyBorder="1"/>
    <xf numFmtId="0" fontId="6" fillId="0" borderId="24" xfId="0" applyFont="1" applyBorder="1" applyAlignment="1">
      <alignment horizontal="center" vertical="center" wrapText="1" readingOrder="1"/>
    </xf>
    <xf numFmtId="0" fontId="6" fillId="0" borderId="21" xfId="0" applyFont="1" applyBorder="1" applyAlignment="1">
      <alignment horizontal="center" vertical="center" wrapText="1" readingOrder="1"/>
    </xf>
    <xf numFmtId="0" fontId="10" fillId="13" borderId="8" xfId="0" applyFont="1" applyFill="1" applyBorder="1" applyAlignment="1">
      <alignment horizontal="center"/>
    </xf>
    <xf numFmtId="0" fontId="4" fillId="0" borderId="26" xfId="0" applyFont="1" applyBorder="1"/>
    <xf numFmtId="0" fontId="7" fillId="15" borderId="8" xfId="0" applyFont="1" applyFill="1" applyBorder="1" applyAlignment="1">
      <alignment horizontal="center"/>
    </xf>
    <xf numFmtId="0" fontId="8" fillId="4" borderId="8" xfId="0" applyFont="1" applyFill="1" applyBorder="1" applyAlignment="1">
      <alignment horizontal="center" wrapText="1"/>
    </xf>
  </cellXfs>
  <cellStyles count="4">
    <cellStyle name="Comma 2" xfId="2" xr:uid="{2489F64C-197D-47D3-875E-1AA05B784A1F}"/>
    <cellStyle name="Hyperlink" xfId="1" builtinId="8"/>
    <cellStyle name="Normal" xfId="0" builtinId="0"/>
    <cellStyle name="Normal 2" xfId="3" xr:uid="{D1D973A9-C3BC-474C-AB3D-3955BDD906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161364</xdr:colOff>
      <xdr:row>0</xdr:row>
      <xdr:rowOff>17931</xdr:rowOff>
    </xdr:from>
    <xdr:to>
      <xdr:col>4</xdr:col>
      <xdr:colOff>1102658</xdr:colOff>
      <xdr:row>0</xdr:row>
      <xdr:rowOff>612165</xdr:rowOff>
    </xdr:to>
    <xdr:pic>
      <xdr:nvPicPr>
        <xdr:cNvPr id="2" name="Picture 1">
          <a:extLst>
            <a:ext uri="{FF2B5EF4-FFF2-40B4-BE49-F238E27FC236}">
              <a16:creationId xmlns:a16="http://schemas.microsoft.com/office/drawing/2014/main" id="{5EA4E4E8-09DE-4B4C-883E-2711E8AB7C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3764" y="17931"/>
          <a:ext cx="2497044" cy="5942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2C30C-5566-47AB-91FC-BC2AEB2CD5E7}">
  <dimension ref="A1:G10"/>
  <sheetViews>
    <sheetView workbookViewId="0">
      <selection activeCell="A6" sqref="A6:XFD6"/>
    </sheetView>
  </sheetViews>
  <sheetFormatPr defaultRowHeight="14.5" x14ac:dyDescent="0.35"/>
  <cols>
    <col min="2" max="2" width="35.36328125" customWidth="1"/>
    <col min="3" max="3" width="11.81640625" customWidth="1"/>
    <col min="4" max="4" width="21.81640625" customWidth="1"/>
    <col min="5" max="5" width="10" customWidth="1"/>
    <col min="6" max="6" width="8.90625" customWidth="1"/>
  </cols>
  <sheetData>
    <row r="1" spans="1:7" ht="15.5" x14ac:dyDescent="0.35">
      <c r="A1" s="63" t="s">
        <v>39</v>
      </c>
      <c r="B1" s="63" t="s">
        <v>11</v>
      </c>
      <c r="C1" s="63" t="s">
        <v>12</v>
      </c>
      <c r="D1" s="63" t="s">
        <v>40</v>
      </c>
    </row>
    <row r="2" spans="1:7" ht="15.5" x14ac:dyDescent="0.35">
      <c r="A2" s="64">
        <v>1</v>
      </c>
      <c r="B2" s="64" t="s">
        <v>41</v>
      </c>
      <c r="C2" s="64" t="s">
        <v>42</v>
      </c>
      <c r="D2" s="115">
        <f>Commercials!K16</f>
        <v>403814.28571428574</v>
      </c>
      <c r="E2" s="65"/>
    </row>
    <row r="3" spans="1:7" ht="15.5" x14ac:dyDescent="0.35">
      <c r="A3" s="64">
        <v>2</v>
      </c>
      <c r="B3" s="64" t="s">
        <v>43</v>
      </c>
      <c r="C3" s="64" t="s">
        <v>42</v>
      </c>
      <c r="D3" s="115">
        <f>Commercials!K19</f>
        <v>237142.85714285716</v>
      </c>
      <c r="E3" s="65"/>
      <c r="G3" s="65">
        <f>SUM(D2:D4)</f>
        <v>2962957.1428571427</v>
      </c>
    </row>
    <row r="4" spans="1:7" ht="15.5" x14ac:dyDescent="0.35">
      <c r="A4" s="64">
        <v>3</v>
      </c>
      <c r="B4" s="64" t="s">
        <v>30</v>
      </c>
      <c r="C4" s="64" t="s">
        <v>44</v>
      </c>
      <c r="D4" s="115">
        <f>Commercials!K23</f>
        <v>2322000</v>
      </c>
      <c r="E4" s="65"/>
    </row>
    <row r="5" spans="1:7" ht="15.5" x14ac:dyDescent="0.35">
      <c r="A5" s="64">
        <v>4</v>
      </c>
      <c r="B5" s="64" t="s">
        <v>35</v>
      </c>
      <c r="C5" s="64" t="s">
        <v>45</v>
      </c>
      <c r="D5" s="115">
        <f>Commercials!K25</f>
        <v>140457.14285714287</v>
      </c>
      <c r="E5" s="65"/>
    </row>
    <row r="10" spans="1:7" x14ac:dyDescent="0.35">
      <c r="E10" s="6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FBCF0-A0DA-4B12-88FD-8CFD4494AF76}">
  <sheetPr>
    <tabColor theme="8" tint="0.79998168889431442"/>
    <pageSetUpPr fitToPage="1"/>
  </sheetPr>
  <dimension ref="B1:P26"/>
  <sheetViews>
    <sheetView tabSelected="1" topLeftCell="C1" zoomScale="80" zoomScaleNormal="80" zoomScaleSheetLayoutView="120" zoomScalePageLayoutView="41" workbookViewId="0">
      <selection activeCell="K24" sqref="K24"/>
    </sheetView>
  </sheetViews>
  <sheetFormatPr defaultColWidth="8.90625" defaultRowHeight="12.5" x14ac:dyDescent="0.35"/>
  <cols>
    <col min="1" max="1" width="2.1796875" style="120" customWidth="1"/>
    <col min="2" max="2" width="5.90625" style="120" customWidth="1"/>
    <col min="3" max="3" width="12.453125" style="120" customWidth="1"/>
    <col min="4" max="4" width="3.90625" style="122" customWidth="1"/>
    <col min="5" max="5" width="30.36328125" style="120" customWidth="1"/>
    <col min="6" max="6" width="13" style="120" customWidth="1"/>
    <col min="7" max="7" width="10.1796875" style="120" customWidth="1"/>
    <col min="8" max="8" width="9.54296875" style="120" customWidth="1"/>
    <col min="9" max="9" width="26.453125" style="120" customWidth="1"/>
    <col min="10" max="12" width="10.453125" style="120" bestFit="1" customWidth="1"/>
    <col min="13" max="13" width="8.90625" style="120"/>
    <col min="14" max="14" width="11.7265625" style="120" bestFit="1" customWidth="1"/>
    <col min="15" max="15" width="37.81640625" style="120" customWidth="1"/>
    <col min="16" max="16" width="9.6328125" style="120" customWidth="1"/>
    <col min="17" max="16384" width="8.90625" style="120"/>
  </cols>
  <sheetData>
    <row r="1" spans="2:9" ht="49.75" customHeight="1" x14ac:dyDescent="0.35">
      <c r="B1" s="160"/>
      <c r="C1" s="160"/>
      <c r="D1" s="160"/>
      <c r="E1" s="160"/>
      <c r="F1" s="160"/>
      <c r="G1" s="160"/>
      <c r="H1" s="172" t="s">
        <v>150</v>
      </c>
      <c r="I1" s="172"/>
    </row>
    <row r="2" spans="2:9" ht="34.25" customHeight="1" x14ac:dyDescent="0.35">
      <c r="B2" s="150" t="s">
        <v>151</v>
      </c>
      <c r="C2" s="150"/>
      <c r="D2" s="150"/>
      <c r="E2" s="150"/>
      <c r="F2" s="150"/>
      <c r="G2" s="150"/>
      <c r="H2" s="150"/>
      <c r="I2" s="150"/>
    </row>
    <row r="3" spans="2:9" ht="19.75" customHeight="1" x14ac:dyDescent="0.35">
      <c r="B3" s="158" t="s">
        <v>137</v>
      </c>
      <c r="C3" s="158"/>
      <c r="D3" s="153"/>
      <c r="E3" s="153"/>
      <c r="F3" s="173" t="s">
        <v>138</v>
      </c>
      <c r="G3" s="173"/>
      <c r="H3" s="173" t="s">
        <v>139</v>
      </c>
      <c r="I3" s="173"/>
    </row>
    <row r="4" spans="2:9" ht="19.75" customHeight="1" x14ac:dyDescent="0.35">
      <c r="B4" s="158" t="s">
        <v>140</v>
      </c>
      <c r="C4" s="158"/>
      <c r="D4" s="153"/>
      <c r="E4" s="153"/>
      <c r="F4" s="160"/>
      <c r="G4" s="160"/>
      <c r="H4" s="168"/>
      <c r="I4" s="169"/>
    </row>
    <row r="5" spans="2:9" ht="19.75" customHeight="1" x14ac:dyDescent="0.35">
      <c r="B5" s="158" t="s">
        <v>152</v>
      </c>
      <c r="C5" s="158"/>
      <c r="D5" s="153"/>
      <c r="E5" s="153"/>
      <c r="F5" s="160"/>
      <c r="G5" s="160"/>
      <c r="H5" s="170"/>
      <c r="I5" s="171"/>
    </row>
    <row r="6" spans="2:9" ht="19.75" customHeight="1" x14ac:dyDescent="0.35">
      <c r="B6" s="158" t="s">
        <v>142</v>
      </c>
      <c r="C6" s="158"/>
      <c r="D6" s="153"/>
      <c r="E6" s="153"/>
      <c r="F6" s="165" t="s">
        <v>141</v>
      </c>
      <c r="G6" s="165"/>
      <c r="H6" s="165"/>
      <c r="I6" s="165"/>
    </row>
    <row r="7" spans="2:9" ht="19.75" customHeight="1" x14ac:dyDescent="0.35">
      <c r="B7" s="158" t="s">
        <v>143</v>
      </c>
      <c r="C7" s="158"/>
      <c r="D7" s="166"/>
      <c r="E7" s="153"/>
      <c r="F7" s="165"/>
      <c r="G7" s="165"/>
      <c r="H7" s="165"/>
      <c r="I7" s="165"/>
    </row>
    <row r="8" spans="2:9" ht="6.65" customHeight="1" x14ac:dyDescent="0.35">
      <c r="B8" s="160"/>
      <c r="C8" s="160"/>
      <c r="D8" s="160"/>
      <c r="E8" s="160"/>
      <c r="F8" s="160"/>
      <c r="G8" s="160"/>
      <c r="H8" s="160"/>
      <c r="I8" s="160"/>
    </row>
    <row r="9" spans="2:9" ht="19.75" customHeight="1" x14ac:dyDescent="0.35">
      <c r="B9" s="167" t="s">
        <v>144</v>
      </c>
      <c r="C9" s="167"/>
      <c r="D9" s="167"/>
      <c r="E9" s="167"/>
      <c r="F9" s="167"/>
      <c r="G9" s="167"/>
      <c r="H9" s="167"/>
      <c r="I9" s="167"/>
    </row>
    <row r="10" spans="2:9" ht="19.75" customHeight="1" x14ac:dyDescent="0.35">
      <c r="B10" s="158" t="s">
        <v>153</v>
      </c>
      <c r="C10" s="158"/>
      <c r="D10" s="153"/>
      <c r="E10" s="153"/>
      <c r="F10" s="153"/>
      <c r="G10" s="153"/>
      <c r="H10" s="153"/>
      <c r="I10" s="153"/>
    </row>
    <row r="11" spans="2:9" ht="19.75" customHeight="1" x14ac:dyDescent="0.35">
      <c r="B11" s="158" t="s">
        <v>154</v>
      </c>
      <c r="C11" s="158"/>
      <c r="D11" s="153"/>
      <c r="E11" s="153"/>
      <c r="F11" s="153"/>
      <c r="G11" s="153"/>
      <c r="H11" s="153"/>
      <c r="I11" s="153"/>
    </row>
    <row r="12" spans="2:9" ht="19.75" customHeight="1" x14ac:dyDescent="0.35">
      <c r="B12" s="158" t="s">
        <v>152</v>
      </c>
      <c r="C12" s="158"/>
      <c r="D12" s="153"/>
      <c r="E12" s="153"/>
      <c r="F12" s="163" t="s">
        <v>142</v>
      </c>
      <c r="G12" s="163"/>
      <c r="H12" s="164"/>
      <c r="I12" s="153"/>
    </row>
    <row r="13" spans="2:9" ht="19.75" customHeight="1" x14ac:dyDescent="0.35">
      <c r="B13" s="158" t="s">
        <v>143</v>
      </c>
      <c r="C13" s="158"/>
      <c r="D13" s="159"/>
      <c r="E13" s="153"/>
      <c r="F13" s="153"/>
      <c r="G13" s="153"/>
      <c r="H13" s="153"/>
      <c r="I13" s="153"/>
    </row>
    <row r="14" spans="2:9" ht="6.65" customHeight="1" x14ac:dyDescent="0.35">
      <c r="B14" s="160"/>
      <c r="C14" s="160"/>
      <c r="D14" s="160"/>
      <c r="E14" s="160"/>
      <c r="F14" s="160"/>
      <c r="G14" s="160"/>
      <c r="H14" s="160"/>
      <c r="I14" s="160"/>
    </row>
    <row r="15" spans="2:9" ht="19.25" customHeight="1" x14ac:dyDescent="0.35">
      <c r="B15" s="161" t="s">
        <v>145</v>
      </c>
      <c r="C15" s="161"/>
      <c r="D15" s="161"/>
      <c r="E15" s="161"/>
      <c r="F15" s="161"/>
      <c r="G15" s="161"/>
      <c r="H15" s="161"/>
      <c r="I15" s="161"/>
    </row>
    <row r="16" spans="2:9" ht="40.25" customHeight="1" x14ac:dyDescent="0.35">
      <c r="B16" s="162"/>
      <c r="C16" s="162"/>
      <c r="D16" s="162"/>
      <c r="E16" s="162"/>
      <c r="F16" s="162"/>
      <c r="G16" s="162"/>
      <c r="H16" s="162"/>
      <c r="I16" s="162"/>
    </row>
    <row r="17" spans="2:16" s="122" customFormat="1" ht="19.25" customHeight="1" x14ac:dyDescent="0.35">
      <c r="B17" s="121" t="s">
        <v>146</v>
      </c>
      <c r="C17" s="133" t="s">
        <v>155</v>
      </c>
      <c r="D17" s="134"/>
      <c r="E17" s="133" t="s">
        <v>156</v>
      </c>
      <c r="F17" s="134"/>
      <c r="G17" s="135" t="s">
        <v>12</v>
      </c>
      <c r="H17" s="135"/>
      <c r="I17" s="121" t="s">
        <v>147</v>
      </c>
      <c r="M17" s="132" t="s">
        <v>169</v>
      </c>
      <c r="N17" s="132" t="s">
        <v>170</v>
      </c>
      <c r="O17" s="121" t="s">
        <v>156</v>
      </c>
      <c r="P17" s="121" t="s">
        <v>147</v>
      </c>
    </row>
    <row r="18" spans="2:16" s="122" customFormat="1" ht="42.65" customHeight="1" x14ac:dyDescent="0.35">
      <c r="B18" s="123">
        <v>1</v>
      </c>
      <c r="C18" s="148" t="s">
        <v>20</v>
      </c>
      <c r="D18" s="149"/>
      <c r="E18" s="150" t="s">
        <v>157</v>
      </c>
      <c r="F18" s="150"/>
      <c r="G18" s="151" t="s">
        <v>42</v>
      </c>
      <c r="H18" s="151"/>
      <c r="I18" s="124">
        <f>Commercials!K16</f>
        <v>403814.28571428574</v>
      </c>
      <c r="J18" s="125"/>
      <c r="K18" s="125"/>
      <c r="L18" s="125"/>
      <c r="M18" s="123">
        <v>1</v>
      </c>
      <c r="N18" s="129" t="s">
        <v>167</v>
      </c>
      <c r="O18" s="129" t="s">
        <v>171</v>
      </c>
      <c r="P18" s="129">
        <f>Commercials!K20+Commercials!F21+Commercials!F22</f>
        <v>1414957.142857143</v>
      </c>
    </row>
    <row r="19" spans="2:16" s="122" customFormat="1" ht="42.65" customHeight="1" x14ac:dyDescent="0.35">
      <c r="B19" s="126">
        <v>2</v>
      </c>
      <c r="C19" s="148" t="s">
        <v>158</v>
      </c>
      <c r="D19" s="149"/>
      <c r="E19" s="150" t="s">
        <v>159</v>
      </c>
      <c r="F19" s="150"/>
      <c r="G19" s="151" t="s">
        <v>42</v>
      </c>
      <c r="H19" s="151"/>
      <c r="I19" s="124">
        <f>Commercials!K19</f>
        <v>237142.85714285716</v>
      </c>
      <c r="J19" s="127"/>
      <c r="K19" s="125"/>
      <c r="M19" s="123">
        <v>2</v>
      </c>
      <c r="N19" s="129" t="s">
        <v>168</v>
      </c>
      <c r="O19" s="129" t="s">
        <v>174</v>
      </c>
      <c r="P19" s="129">
        <f>Commercials!F21+Commercials!F22+(Commercials!K24/2)</f>
        <v>844228.57142857148</v>
      </c>
    </row>
    <row r="20" spans="2:16" s="122" customFormat="1" ht="42.65" customHeight="1" x14ac:dyDescent="0.35">
      <c r="B20" s="123">
        <v>3</v>
      </c>
      <c r="C20" s="155" t="s">
        <v>160</v>
      </c>
      <c r="D20" s="155"/>
      <c r="E20" s="156" t="s">
        <v>161</v>
      </c>
      <c r="F20" s="157"/>
      <c r="G20" s="151" t="s">
        <v>149</v>
      </c>
      <c r="H20" s="151"/>
      <c r="I20" s="124">
        <f>(Commercials!F21+Commercials!F22)/12</f>
        <v>64500</v>
      </c>
      <c r="J20" s="125"/>
      <c r="K20" s="125"/>
      <c r="M20" s="123">
        <v>3</v>
      </c>
      <c r="N20" s="130" t="s">
        <v>172</v>
      </c>
      <c r="O20" s="129" t="s">
        <v>174</v>
      </c>
      <c r="P20" s="129">
        <f>Commercials!F21+Commercials!F22+(Commercials!K24/2)</f>
        <v>844228.57142857148</v>
      </c>
    </row>
    <row r="21" spans="2:16" s="122" customFormat="1" ht="42.65" customHeight="1" x14ac:dyDescent="0.35">
      <c r="B21" s="123">
        <v>4</v>
      </c>
      <c r="C21" s="155" t="s">
        <v>35</v>
      </c>
      <c r="D21" s="155"/>
      <c r="E21" s="150" t="s">
        <v>162</v>
      </c>
      <c r="F21" s="150"/>
      <c r="G21" s="151" t="s">
        <v>163</v>
      </c>
      <c r="H21" s="151"/>
      <c r="I21" s="124">
        <f>Commercials!K24/2</f>
        <v>70228.571428571435</v>
      </c>
      <c r="J21" s="125"/>
      <c r="K21" s="125"/>
      <c r="M21" s="136" t="s">
        <v>173</v>
      </c>
      <c r="N21" s="137"/>
      <c r="O21" s="138"/>
      <c r="P21" s="131">
        <f>SUM(P18:P20)</f>
        <v>3103414.2857142859</v>
      </c>
    </row>
    <row r="22" spans="2:16" s="122" customFormat="1" ht="19.25" customHeight="1" x14ac:dyDescent="0.35">
      <c r="B22" s="139"/>
      <c r="C22" s="140"/>
      <c r="D22" s="140"/>
      <c r="E22" s="140"/>
      <c r="F22" s="140"/>
      <c r="G22" s="140"/>
      <c r="H22" s="140"/>
      <c r="I22" s="141"/>
      <c r="J22" s="125"/>
      <c r="L22" s="125"/>
      <c r="N22" s="125"/>
      <c r="O22" s="125"/>
    </row>
    <row r="23" spans="2:16" ht="6.65" customHeight="1" x14ac:dyDescent="0.35">
      <c r="B23" s="142"/>
      <c r="C23" s="143"/>
      <c r="D23" s="143"/>
      <c r="E23" s="143"/>
      <c r="F23" s="143"/>
      <c r="G23" s="143"/>
      <c r="H23" s="143"/>
      <c r="I23" s="144"/>
    </row>
    <row r="24" spans="2:16" ht="19.25" customHeight="1" x14ac:dyDescent="0.35">
      <c r="B24" s="145" t="s">
        <v>148</v>
      </c>
      <c r="C24" s="146"/>
      <c r="D24" s="146"/>
      <c r="E24" s="146"/>
      <c r="F24" s="146"/>
      <c r="G24" s="146"/>
      <c r="H24" s="146"/>
      <c r="I24" s="147"/>
    </row>
    <row r="25" spans="2:16" ht="378" customHeight="1" x14ac:dyDescent="0.35">
      <c r="B25" s="152" t="s">
        <v>165</v>
      </c>
      <c r="C25" s="152"/>
      <c r="D25" s="153"/>
      <c r="E25" s="153"/>
      <c r="F25" s="153"/>
      <c r="G25" s="153"/>
      <c r="H25" s="153"/>
      <c r="I25" s="153"/>
    </row>
    <row r="26" spans="2:16" ht="25.25" customHeight="1" x14ac:dyDescent="0.35">
      <c r="B26" s="154" t="s">
        <v>164</v>
      </c>
      <c r="C26" s="154"/>
      <c r="D26" s="154"/>
      <c r="E26" s="154"/>
      <c r="F26" s="154"/>
      <c r="G26" s="154"/>
      <c r="H26" s="154"/>
      <c r="I26" s="154"/>
    </row>
  </sheetData>
  <mergeCells count="54">
    <mergeCell ref="B1:G1"/>
    <mergeCell ref="H1:I1"/>
    <mergeCell ref="B2:I2"/>
    <mergeCell ref="B3:C3"/>
    <mergeCell ref="D3:E3"/>
    <mergeCell ref="F3:G3"/>
    <mergeCell ref="H3:I3"/>
    <mergeCell ref="B4:C4"/>
    <mergeCell ref="D4:E4"/>
    <mergeCell ref="F4:G5"/>
    <mergeCell ref="H4:I5"/>
    <mergeCell ref="B5:C5"/>
    <mergeCell ref="D5:E5"/>
    <mergeCell ref="B12:C12"/>
    <mergeCell ref="D12:E12"/>
    <mergeCell ref="F12:G12"/>
    <mergeCell ref="H12:I12"/>
    <mergeCell ref="B6:C6"/>
    <mergeCell ref="D6:E6"/>
    <mergeCell ref="F6:I7"/>
    <mergeCell ref="B7:C7"/>
    <mergeCell ref="D7:E7"/>
    <mergeCell ref="B8:I8"/>
    <mergeCell ref="B9:I9"/>
    <mergeCell ref="B10:C10"/>
    <mergeCell ref="D10:I10"/>
    <mergeCell ref="B11:C11"/>
    <mergeCell ref="D11:I11"/>
    <mergeCell ref="B13:C13"/>
    <mergeCell ref="D13:I13"/>
    <mergeCell ref="B14:I14"/>
    <mergeCell ref="B15:I15"/>
    <mergeCell ref="B16:I16"/>
    <mergeCell ref="B25:I25"/>
    <mergeCell ref="B26:I26"/>
    <mergeCell ref="C20:D20"/>
    <mergeCell ref="E20:F20"/>
    <mergeCell ref="G20:H20"/>
    <mergeCell ref="C21:D21"/>
    <mergeCell ref="E21:F21"/>
    <mergeCell ref="G21:H21"/>
    <mergeCell ref="B23:I23"/>
    <mergeCell ref="B24:I24"/>
    <mergeCell ref="C18:D18"/>
    <mergeCell ref="E18:F18"/>
    <mergeCell ref="G18:H18"/>
    <mergeCell ref="C19:D19"/>
    <mergeCell ref="E19:F19"/>
    <mergeCell ref="G19:H19"/>
    <mergeCell ref="C17:D17"/>
    <mergeCell ref="E17:F17"/>
    <mergeCell ref="G17:H17"/>
    <mergeCell ref="M21:O21"/>
    <mergeCell ref="B22:I22"/>
  </mergeCells>
  <pageMargins left="0.25" right="0.25" top="0.32" bottom="0.15" header="0.3" footer="0.14000000000000001"/>
  <pageSetup paperSize="5" scale="8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CF0D-A4D7-4C52-9094-650A2CD28509}">
  <sheetPr>
    <tabColor rgb="FFE2EFD9"/>
  </sheetPr>
  <dimension ref="B1:P1000"/>
  <sheetViews>
    <sheetView topLeftCell="A8" zoomScale="70" zoomScaleNormal="70" workbookViewId="0">
      <selection activeCell="J24" sqref="J24"/>
    </sheetView>
  </sheetViews>
  <sheetFormatPr defaultColWidth="14.453125" defaultRowHeight="15" customHeight="1" x14ac:dyDescent="0.35"/>
  <cols>
    <col min="1" max="1" width="3.453125" customWidth="1"/>
    <col min="2" max="2" width="15.453125" customWidth="1"/>
    <col min="3" max="3" width="43.81640625" customWidth="1"/>
    <col min="4" max="4" width="62.1796875" customWidth="1"/>
    <col min="5" max="5" width="13.1796875" customWidth="1"/>
    <col min="6" max="6" width="14" customWidth="1"/>
    <col min="7" max="7" width="7.81640625" customWidth="1"/>
    <col min="8" max="8" width="18.81640625" customWidth="1"/>
    <col min="9" max="9" width="10.81640625" customWidth="1"/>
    <col min="10" max="10" width="15.81640625" customWidth="1"/>
    <col min="11" max="11" width="21.81640625" customWidth="1"/>
    <col min="12" max="12" width="16.1796875" customWidth="1"/>
    <col min="13" max="13" width="9.81640625" customWidth="1"/>
    <col min="14" max="14" width="12.453125" customWidth="1"/>
    <col min="15" max="15" width="8.81640625" customWidth="1"/>
    <col min="16" max="16" width="18.08984375" customWidth="1"/>
    <col min="17" max="26" width="8.81640625" customWidth="1"/>
  </cols>
  <sheetData>
    <row r="1" spans="2:16" ht="14.25" customHeight="1" thickBot="1" x14ac:dyDescent="0.4">
      <c r="O1" s="1"/>
    </row>
    <row r="2" spans="2:16" ht="14.25" customHeight="1" x14ac:dyDescent="0.45">
      <c r="B2" s="192" t="s">
        <v>0</v>
      </c>
      <c r="C2" s="193"/>
      <c r="D2" s="2" t="s">
        <v>1</v>
      </c>
      <c r="E2" s="3"/>
      <c r="I2" s="4"/>
      <c r="O2" s="1"/>
    </row>
    <row r="3" spans="2:16" ht="14.25" customHeight="1" x14ac:dyDescent="0.45">
      <c r="B3" s="191" t="s">
        <v>2</v>
      </c>
      <c r="C3" s="179"/>
      <c r="D3" s="5">
        <f ca="1">TODAY()</f>
        <v>45957</v>
      </c>
      <c r="I3" s="4"/>
      <c r="O3" s="1"/>
    </row>
    <row r="4" spans="2:16" ht="14.25" customHeight="1" x14ac:dyDescent="0.45">
      <c r="B4" s="191" t="s">
        <v>3</v>
      </c>
      <c r="C4" s="179"/>
      <c r="D4" s="6">
        <v>3</v>
      </c>
      <c r="E4" s="3"/>
      <c r="O4" s="1"/>
    </row>
    <row r="5" spans="2:16" ht="14.25" customHeight="1" x14ac:dyDescent="0.45">
      <c r="B5" s="191" t="s">
        <v>4</v>
      </c>
      <c r="C5" s="179"/>
      <c r="D5" s="7">
        <v>0.2</v>
      </c>
      <c r="E5" s="3"/>
      <c r="O5" s="1"/>
    </row>
    <row r="6" spans="2:16" ht="14.25" customHeight="1" x14ac:dyDescent="0.45">
      <c r="B6" s="191" t="s">
        <v>5</v>
      </c>
      <c r="C6" s="179"/>
      <c r="D6" s="8">
        <v>0.05</v>
      </c>
      <c r="E6" s="3"/>
      <c r="O6" s="1"/>
    </row>
    <row r="7" spans="2:16" ht="14.25" customHeight="1" x14ac:dyDescent="0.45">
      <c r="B7" s="191" t="s">
        <v>6</v>
      </c>
      <c r="C7" s="179"/>
      <c r="D7" s="9">
        <v>52000</v>
      </c>
      <c r="E7" s="3"/>
      <c r="O7" s="10"/>
      <c r="P7" s="11"/>
    </row>
    <row r="8" spans="2:16" ht="14.25" customHeight="1" x14ac:dyDescent="0.45">
      <c r="B8" s="178"/>
      <c r="C8" s="179"/>
      <c r="D8" s="12"/>
      <c r="E8" s="3"/>
      <c r="I8" s="180"/>
      <c r="J8" s="179"/>
      <c r="K8" s="13"/>
      <c r="O8" s="10"/>
      <c r="P8" s="11"/>
    </row>
    <row r="9" spans="2:16" ht="14.25" customHeight="1" thickBot="1" x14ac:dyDescent="0.5">
      <c r="B9" s="181" t="s">
        <v>7</v>
      </c>
      <c r="C9" s="182"/>
      <c r="D9" s="14">
        <v>0</v>
      </c>
      <c r="E9" s="3"/>
      <c r="F9" s="15"/>
      <c r="G9" s="16"/>
      <c r="H9" s="16"/>
      <c r="I9" s="180"/>
      <c r="J9" s="179"/>
      <c r="K9" s="17"/>
      <c r="O9" s="1"/>
      <c r="P9" s="11"/>
    </row>
    <row r="10" spans="2:16" ht="14.25" customHeight="1" thickBot="1" x14ac:dyDescent="0.4">
      <c r="O10" s="1"/>
      <c r="P10" s="11"/>
    </row>
    <row r="11" spans="2:16" ht="43.5" customHeight="1" thickBot="1" x14ac:dyDescent="0.4">
      <c r="B11" s="4"/>
      <c r="C11" s="4"/>
      <c r="D11" s="4"/>
      <c r="E11" s="4"/>
      <c r="F11" s="183" t="s">
        <v>8</v>
      </c>
      <c r="G11" s="184"/>
      <c r="H11" s="184"/>
      <c r="I11" s="184"/>
      <c r="J11" s="184"/>
      <c r="K11" s="185"/>
      <c r="O11" s="1"/>
    </row>
    <row r="12" spans="2:16" ht="49.5" customHeight="1" thickBot="1" x14ac:dyDescent="0.4">
      <c r="B12" s="18" t="s">
        <v>9</v>
      </c>
      <c r="C12" s="19" t="s">
        <v>10</v>
      </c>
      <c r="D12" s="19" t="s">
        <v>11</v>
      </c>
      <c r="E12" s="20" t="s">
        <v>12</v>
      </c>
      <c r="F12" s="21" t="s">
        <v>13</v>
      </c>
      <c r="G12" s="22" t="s">
        <v>14</v>
      </c>
      <c r="H12" s="22" t="s">
        <v>15</v>
      </c>
      <c r="I12" s="22" t="s">
        <v>16</v>
      </c>
      <c r="J12" s="22" t="s">
        <v>17</v>
      </c>
      <c r="K12" s="23" t="s">
        <v>18</v>
      </c>
      <c r="O12" s="1"/>
    </row>
    <row r="13" spans="2:16" ht="18" customHeight="1" x14ac:dyDescent="0.35">
      <c r="B13" s="186" t="s">
        <v>19</v>
      </c>
      <c r="C13" s="187" t="s">
        <v>20</v>
      </c>
      <c r="D13" s="24" t="s">
        <v>20</v>
      </c>
      <c r="E13" s="25" t="s">
        <v>21</v>
      </c>
      <c r="F13" s="27">
        <f>BOQ!H11</f>
        <v>245800</v>
      </c>
      <c r="G13" s="26"/>
      <c r="H13" s="27">
        <f>BOQ!H11</f>
        <v>245800</v>
      </c>
      <c r="I13" s="28">
        <v>0.3</v>
      </c>
      <c r="J13" s="29">
        <f t="shared" ref="J13:J15" si="0">H13/(1-I13)</f>
        <v>351142.85714285716</v>
      </c>
      <c r="K13" s="27">
        <f t="shared" ref="K13:K15" si="1">H13/(1-I13)</f>
        <v>351142.85714285716</v>
      </c>
      <c r="O13" s="1"/>
    </row>
    <row r="14" spans="2:16" ht="18" customHeight="1" x14ac:dyDescent="0.35">
      <c r="B14" s="175"/>
      <c r="C14" s="188"/>
      <c r="D14" s="30" t="s">
        <v>22</v>
      </c>
      <c r="E14" s="31" t="s">
        <v>21</v>
      </c>
      <c r="F14" s="32"/>
      <c r="G14" s="26"/>
      <c r="H14" s="27">
        <f t="shared" ref="H14:H15" si="2">F14*3</f>
        <v>0</v>
      </c>
      <c r="I14" s="28">
        <v>0.3</v>
      </c>
      <c r="J14" s="29">
        <f t="shared" si="0"/>
        <v>0</v>
      </c>
      <c r="K14" s="33">
        <f t="shared" si="1"/>
        <v>0</v>
      </c>
      <c r="O14" s="1"/>
    </row>
    <row r="15" spans="2:16" ht="18" customHeight="1" x14ac:dyDescent="0.35">
      <c r="B15" s="175"/>
      <c r="C15" s="188"/>
      <c r="D15" s="34" t="s">
        <v>23</v>
      </c>
      <c r="E15" s="35" t="s">
        <v>21</v>
      </c>
      <c r="F15" s="36">
        <f>F13*D6</f>
        <v>12290</v>
      </c>
      <c r="G15" s="36"/>
      <c r="H15" s="27">
        <f t="shared" si="2"/>
        <v>36870</v>
      </c>
      <c r="I15" s="28">
        <v>0.3</v>
      </c>
      <c r="J15" s="29">
        <f t="shared" si="0"/>
        <v>52671.428571428572</v>
      </c>
      <c r="K15" s="33">
        <f t="shared" si="1"/>
        <v>52671.428571428572</v>
      </c>
      <c r="O15" s="1"/>
    </row>
    <row r="16" spans="2:16" ht="18" customHeight="1" x14ac:dyDescent="0.35">
      <c r="B16" s="175"/>
      <c r="C16" s="189"/>
      <c r="D16" s="37" t="s">
        <v>24</v>
      </c>
      <c r="E16" s="38"/>
      <c r="F16" s="37"/>
      <c r="G16" s="37"/>
      <c r="H16" s="39">
        <f>SUM(H13:H15)</f>
        <v>282670</v>
      </c>
      <c r="I16" s="38"/>
      <c r="J16" s="38"/>
      <c r="K16" s="39">
        <f>SUM(K13:K15)</f>
        <v>403814.28571428574</v>
      </c>
      <c r="O16" s="1"/>
    </row>
    <row r="17" spans="2:16" ht="18" customHeight="1" x14ac:dyDescent="0.35">
      <c r="B17" s="175"/>
      <c r="C17" s="190" t="s">
        <v>25</v>
      </c>
      <c r="D17" s="34" t="s">
        <v>26</v>
      </c>
      <c r="E17" s="35" t="s">
        <v>21</v>
      </c>
      <c r="F17" s="40">
        <f>'Manpower Cost New'!C38</f>
        <v>166000</v>
      </c>
      <c r="G17" s="36"/>
      <c r="H17" s="33">
        <f t="shared" ref="H17:H18" si="3">F17</f>
        <v>166000</v>
      </c>
      <c r="I17" s="41">
        <v>0.3</v>
      </c>
      <c r="J17" s="29">
        <f t="shared" ref="J17:J18" si="4">H17/(1-I17)</f>
        <v>237142.85714285716</v>
      </c>
      <c r="K17" s="33">
        <f t="shared" ref="K17:K18" si="5">H17/(1-I17)</f>
        <v>237142.85714285716</v>
      </c>
      <c r="L17" s="128"/>
      <c r="O17" s="1"/>
    </row>
    <row r="18" spans="2:16" ht="18" customHeight="1" x14ac:dyDescent="0.35">
      <c r="B18" s="175"/>
      <c r="C18" s="188"/>
      <c r="D18" s="42" t="s">
        <v>7</v>
      </c>
      <c r="E18" s="31" t="s">
        <v>21</v>
      </c>
      <c r="F18" s="43">
        <f>D9</f>
        <v>0</v>
      </c>
      <c r="G18" s="36"/>
      <c r="H18" s="33">
        <f t="shared" si="3"/>
        <v>0</v>
      </c>
      <c r="I18" s="41"/>
      <c r="J18" s="29">
        <f t="shared" si="4"/>
        <v>0</v>
      </c>
      <c r="K18" s="33">
        <f t="shared" si="5"/>
        <v>0</v>
      </c>
      <c r="O18" s="1"/>
    </row>
    <row r="19" spans="2:16" ht="18" customHeight="1" x14ac:dyDescent="0.35">
      <c r="B19" s="175"/>
      <c r="C19" s="189"/>
      <c r="D19" s="37" t="s">
        <v>27</v>
      </c>
      <c r="E19" s="38"/>
      <c r="F19" s="37"/>
      <c r="G19" s="37"/>
      <c r="H19" s="39">
        <f>SUM(H17:H18)</f>
        <v>166000</v>
      </c>
      <c r="I19" s="38"/>
      <c r="J19" s="44"/>
      <c r="K19" s="39">
        <f>SUM(K17:K18)</f>
        <v>237142.85714285716</v>
      </c>
      <c r="O19" s="1"/>
    </row>
    <row r="20" spans="2:16" ht="18" customHeight="1" x14ac:dyDescent="0.35">
      <c r="B20" s="176"/>
      <c r="D20" s="45"/>
      <c r="E20" s="46"/>
      <c r="F20" s="45"/>
      <c r="G20" s="47" t="s">
        <v>28</v>
      </c>
      <c r="H20" s="48">
        <f>H16+H19</f>
        <v>448670</v>
      </c>
      <c r="I20" s="49"/>
      <c r="J20" s="50"/>
      <c r="K20" s="48">
        <f>K16+K19</f>
        <v>640957.14285714296</v>
      </c>
      <c r="N20" s="11"/>
      <c r="O20" s="1"/>
      <c r="P20" s="51"/>
    </row>
    <row r="21" spans="2:16" ht="18" customHeight="1" x14ac:dyDescent="0.35">
      <c r="B21" s="174" t="s">
        <v>29</v>
      </c>
      <c r="C21" s="35" t="s">
        <v>30</v>
      </c>
      <c r="D21" s="42" t="s">
        <v>166</v>
      </c>
      <c r="E21" s="31" t="s">
        <v>31</v>
      </c>
      <c r="F21" s="33">
        <f>'Manpower Cost New'!S8+('Manpower Cost New'!U26*3)</f>
        <v>150000</v>
      </c>
      <c r="G21" s="52">
        <f t="shared" ref="G21:G22" si="6">$D$4</f>
        <v>3</v>
      </c>
      <c r="H21" s="33">
        <f>G21*F21</f>
        <v>450000</v>
      </c>
      <c r="I21" s="41">
        <v>0</v>
      </c>
      <c r="J21" s="29">
        <f>(F21/(1-I21))</f>
        <v>150000</v>
      </c>
      <c r="K21" s="33">
        <f t="shared" ref="K21:K22" si="7">H21/(1-I21)</f>
        <v>450000</v>
      </c>
      <c r="L21" s="51"/>
      <c r="N21" s="11"/>
      <c r="O21" s="1"/>
      <c r="P21" s="51"/>
    </row>
    <row r="22" spans="2:16" ht="18" customHeight="1" x14ac:dyDescent="0.35">
      <c r="B22" s="175"/>
      <c r="C22" s="35" t="s">
        <v>32</v>
      </c>
      <c r="D22" s="53" t="s">
        <v>33</v>
      </c>
      <c r="E22" s="31" t="s">
        <v>31</v>
      </c>
      <c r="F22" s="33">
        <f>D7*12</f>
        <v>624000</v>
      </c>
      <c r="G22" s="52">
        <f t="shared" si="6"/>
        <v>3</v>
      </c>
      <c r="H22" s="33">
        <f>F22*G22</f>
        <v>1872000</v>
      </c>
      <c r="I22" s="41"/>
      <c r="J22" s="29">
        <f>H22*I22</f>
        <v>0</v>
      </c>
      <c r="K22" s="33">
        <f t="shared" si="7"/>
        <v>1872000</v>
      </c>
      <c r="N22" s="11"/>
      <c r="O22" s="1"/>
      <c r="P22" s="51"/>
    </row>
    <row r="23" spans="2:16" ht="18" customHeight="1" x14ac:dyDescent="0.35">
      <c r="B23" s="176"/>
      <c r="D23" s="45"/>
      <c r="E23" s="46"/>
      <c r="F23" s="54"/>
      <c r="G23" s="47" t="s">
        <v>34</v>
      </c>
      <c r="H23" s="48">
        <f>SUM(H21:H22)</f>
        <v>2322000</v>
      </c>
      <c r="I23" s="49"/>
      <c r="J23" s="50"/>
      <c r="K23" s="33">
        <f>SUM(K21:K22)</f>
        <v>2322000</v>
      </c>
      <c r="L23" s="51"/>
      <c r="O23" s="1"/>
    </row>
    <row r="24" spans="2:16" ht="18" customHeight="1" x14ac:dyDescent="0.35">
      <c r="B24" s="177" t="s">
        <v>35</v>
      </c>
      <c r="C24" s="35" t="s">
        <v>35</v>
      </c>
      <c r="D24" s="53" t="s">
        <v>36</v>
      </c>
      <c r="E24" s="31" t="s">
        <v>31</v>
      </c>
      <c r="F24" s="33">
        <f>SUM(H13:H14)*$D$5</f>
        <v>49160</v>
      </c>
      <c r="G24" s="52">
        <f>G21-1</f>
        <v>2</v>
      </c>
      <c r="H24" s="33">
        <f>F24*G24</f>
        <v>98320</v>
      </c>
      <c r="I24" s="41">
        <v>0.3</v>
      </c>
      <c r="J24" s="29">
        <f>(F24/(1-I24))</f>
        <v>70228.571428571435</v>
      </c>
      <c r="K24" s="33">
        <f>H24/(1-I24)</f>
        <v>140457.14285714287</v>
      </c>
      <c r="N24" s="11"/>
      <c r="O24" s="1"/>
      <c r="P24" s="51"/>
    </row>
    <row r="25" spans="2:16" ht="18" customHeight="1" x14ac:dyDescent="0.35">
      <c r="B25" s="176"/>
      <c r="C25" s="55" t="s">
        <v>37</v>
      </c>
      <c r="D25" s="45"/>
      <c r="E25" s="45"/>
      <c r="F25" s="45"/>
      <c r="G25" s="47" t="s">
        <v>37</v>
      </c>
      <c r="H25" s="48">
        <f>SUM(H24)</f>
        <v>98320</v>
      </c>
      <c r="I25" s="49"/>
      <c r="J25" s="50"/>
      <c r="K25" s="48">
        <f>SUM(K24)</f>
        <v>140457.14285714287</v>
      </c>
      <c r="O25" s="1"/>
      <c r="P25" s="51"/>
    </row>
    <row r="26" spans="2:16" ht="38.25" customHeight="1" thickBot="1" x14ac:dyDescent="0.4">
      <c r="B26" s="56"/>
      <c r="C26" s="57"/>
      <c r="D26" s="57"/>
      <c r="E26" s="57"/>
      <c r="F26" s="57"/>
      <c r="G26" s="58" t="s">
        <v>38</v>
      </c>
      <c r="H26" s="59">
        <f>H20+H25+H23</f>
        <v>2868990</v>
      </c>
      <c r="I26" s="60">
        <f>1-H26/K26</f>
        <v>7.5537541601646052E-2</v>
      </c>
      <c r="J26" s="61"/>
      <c r="K26" s="59">
        <f>SUM(K20+K23+K25)</f>
        <v>3103414.2857142854</v>
      </c>
      <c r="O26" s="1"/>
    </row>
    <row r="27" spans="2:16" ht="14.25" customHeight="1" x14ac:dyDescent="0.35">
      <c r="H27" s="51"/>
      <c r="O27" s="1"/>
    </row>
    <row r="28" spans="2:16" ht="14.25" customHeight="1" x14ac:dyDescent="0.35">
      <c r="L28" s="11"/>
      <c r="O28" s="1"/>
    </row>
    <row r="29" spans="2:16" ht="14.25" customHeight="1" x14ac:dyDescent="0.35">
      <c r="D29" s="51"/>
      <c r="L29" s="62"/>
      <c r="M29" s="62"/>
      <c r="O29" s="1"/>
    </row>
    <row r="30" spans="2:16" ht="14.25" customHeight="1" x14ac:dyDescent="0.35">
      <c r="L30" s="62"/>
      <c r="M30" s="62"/>
      <c r="O30" s="1"/>
    </row>
    <row r="31" spans="2:16" ht="14.25" customHeight="1" x14ac:dyDescent="0.35">
      <c r="O31" s="1"/>
    </row>
    <row r="32" spans="2:16" ht="14.25" customHeight="1" x14ac:dyDescent="0.35">
      <c r="H32" s="51"/>
      <c r="O32" s="1"/>
    </row>
    <row r="33" spans="15:15" ht="14.25" customHeight="1" x14ac:dyDescent="0.35">
      <c r="O33" s="1"/>
    </row>
    <row r="34" spans="15:15" ht="14.25" customHeight="1" x14ac:dyDescent="0.35">
      <c r="O34" s="1"/>
    </row>
    <row r="35" spans="15:15" ht="14.25" customHeight="1" x14ac:dyDescent="0.35">
      <c r="O35" s="1"/>
    </row>
    <row r="36" spans="15:15" ht="14.25" customHeight="1" x14ac:dyDescent="0.35">
      <c r="O36" s="1"/>
    </row>
    <row r="37" spans="15:15" ht="14.25" customHeight="1" x14ac:dyDescent="0.35">
      <c r="O37" s="1"/>
    </row>
    <row r="38" spans="15:15" ht="14.25" customHeight="1" x14ac:dyDescent="0.35">
      <c r="O38" s="1"/>
    </row>
    <row r="39" spans="15:15" ht="14.25" customHeight="1" x14ac:dyDescent="0.35">
      <c r="O39" s="1"/>
    </row>
    <row r="40" spans="15:15" ht="14.25" customHeight="1" x14ac:dyDescent="0.35">
      <c r="O40" s="1"/>
    </row>
    <row r="41" spans="15:15" ht="14.25" customHeight="1" x14ac:dyDescent="0.35">
      <c r="O41" s="1"/>
    </row>
    <row r="42" spans="15:15" ht="14.25" customHeight="1" x14ac:dyDescent="0.35">
      <c r="O42" s="1"/>
    </row>
    <row r="43" spans="15:15" ht="14.25" customHeight="1" x14ac:dyDescent="0.35">
      <c r="O43" s="1"/>
    </row>
    <row r="44" spans="15:15" ht="14.25" customHeight="1" x14ac:dyDescent="0.35">
      <c r="O44" s="1"/>
    </row>
    <row r="45" spans="15:15" ht="14.25" customHeight="1" x14ac:dyDescent="0.35">
      <c r="O45" s="1"/>
    </row>
    <row r="46" spans="15:15" ht="14.25" customHeight="1" x14ac:dyDescent="0.35">
      <c r="O46" s="1"/>
    </row>
    <row r="47" spans="15:15" ht="14.25" customHeight="1" x14ac:dyDescent="0.35">
      <c r="O47" s="1"/>
    </row>
    <row r="48" spans="15:15" ht="14.25" customHeight="1" x14ac:dyDescent="0.35">
      <c r="O48" s="1"/>
    </row>
    <row r="49" spans="15:15" ht="14.25" customHeight="1" x14ac:dyDescent="0.35">
      <c r="O49" s="1"/>
    </row>
    <row r="50" spans="15:15" ht="14.25" customHeight="1" x14ac:dyDescent="0.35">
      <c r="O50" s="1"/>
    </row>
    <row r="51" spans="15:15" ht="14.25" customHeight="1" x14ac:dyDescent="0.35">
      <c r="O51" s="1"/>
    </row>
    <row r="52" spans="15:15" ht="14.25" customHeight="1" x14ac:dyDescent="0.35">
      <c r="O52" s="1"/>
    </row>
    <row r="53" spans="15:15" ht="14.25" customHeight="1" x14ac:dyDescent="0.35">
      <c r="O53" s="1"/>
    </row>
    <row r="54" spans="15:15" ht="14.25" customHeight="1" x14ac:dyDescent="0.35">
      <c r="O54" s="1"/>
    </row>
    <row r="55" spans="15:15" ht="14.25" customHeight="1" x14ac:dyDescent="0.35">
      <c r="O55" s="1"/>
    </row>
    <row r="56" spans="15:15" ht="14.25" customHeight="1" x14ac:dyDescent="0.35">
      <c r="O56" s="1"/>
    </row>
    <row r="57" spans="15:15" ht="14.25" customHeight="1" x14ac:dyDescent="0.35">
      <c r="O57" s="1"/>
    </row>
    <row r="58" spans="15:15" ht="14.25" customHeight="1" x14ac:dyDescent="0.35">
      <c r="O58" s="1"/>
    </row>
    <row r="59" spans="15:15" ht="14.25" customHeight="1" x14ac:dyDescent="0.35">
      <c r="O59" s="1"/>
    </row>
    <row r="60" spans="15:15" ht="14.25" customHeight="1" x14ac:dyDescent="0.35">
      <c r="O60" s="1"/>
    </row>
    <row r="61" spans="15:15" ht="14.25" customHeight="1" x14ac:dyDescent="0.35">
      <c r="O61" s="1"/>
    </row>
    <row r="62" spans="15:15" ht="14.25" customHeight="1" x14ac:dyDescent="0.35">
      <c r="O62" s="1"/>
    </row>
    <row r="63" spans="15:15" ht="14.25" customHeight="1" x14ac:dyDescent="0.35">
      <c r="O63" s="1"/>
    </row>
    <row r="64" spans="15:15" ht="14.25" customHeight="1" x14ac:dyDescent="0.35">
      <c r="O64" s="1"/>
    </row>
    <row r="65" spans="15:15" ht="14.25" customHeight="1" x14ac:dyDescent="0.35">
      <c r="O65" s="1"/>
    </row>
    <row r="66" spans="15:15" ht="14.25" customHeight="1" x14ac:dyDescent="0.35">
      <c r="O66" s="1"/>
    </row>
    <row r="67" spans="15:15" ht="14.25" customHeight="1" x14ac:dyDescent="0.35">
      <c r="O67" s="1"/>
    </row>
    <row r="68" spans="15:15" ht="14.25" customHeight="1" x14ac:dyDescent="0.35">
      <c r="O68" s="1"/>
    </row>
    <row r="69" spans="15:15" ht="14.25" customHeight="1" x14ac:dyDescent="0.35">
      <c r="O69" s="1"/>
    </row>
    <row r="70" spans="15:15" ht="14.25" customHeight="1" x14ac:dyDescent="0.35">
      <c r="O70" s="1"/>
    </row>
    <row r="71" spans="15:15" ht="14.25" customHeight="1" x14ac:dyDescent="0.35">
      <c r="O71" s="1"/>
    </row>
    <row r="72" spans="15:15" ht="14.25" customHeight="1" x14ac:dyDescent="0.35">
      <c r="O72" s="1"/>
    </row>
    <row r="73" spans="15:15" ht="14.25" customHeight="1" x14ac:dyDescent="0.35">
      <c r="O73" s="1"/>
    </row>
    <row r="74" spans="15:15" ht="14.25" customHeight="1" x14ac:dyDescent="0.35">
      <c r="O74" s="1"/>
    </row>
    <row r="75" spans="15:15" ht="14.25" customHeight="1" x14ac:dyDescent="0.35">
      <c r="O75" s="1"/>
    </row>
    <row r="76" spans="15:15" ht="14.25" customHeight="1" x14ac:dyDescent="0.35">
      <c r="O76" s="1"/>
    </row>
    <row r="77" spans="15:15" ht="14.25" customHeight="1" x14ac:dyDescent="0.35">
      <c r="O77" s="1"/>
    </row>
    <row r="78" spans="15:15" ht="14.25" customHeight="1" x14ac:dyDescent="0.35">
      <c r="O78" s="1"/>
    </row>
    <row r="79" spans="15:15" ht="14.25" customHeight="1" x14ac:dyDescent="0.35">
      <c r="O79" s="1"/>
    </row>
    <row r="80" spans="15:15" ht="14.25" customHeight="1" x14ac:dyDescent="0.35">
      <c r="O80" s="1"/>
    </row>
    <row r="81" spans="15:15" ht="14.25" customHeight="1" x14ac:dyDescent="0.35">
      <c r="O81" s="1"/>
    </row>
    <row r="82" spans="15:15" ht="14.25" customHeight="1" x14ac:dyDescent="0.35">
      <c r="O82" s="1"/>
    </row>
    <row r="83" spans="15:15" ht="14.25" customHeight="1" x14ac:dyDescent="0.35">
      <c r="O83" s="1"/>
    </row>
    <row r="84" spans="15:15" ht="14.25" customHeight="1" x14ac:dyDescent="0.35">
      <c r="O84" s="1"/>
    </row>
    <row r="85" spans="15:15" ht="14.25" customHeight="1" x14ac:dyDescent="0.35">
      <c r="O85" s="1"/>
    </row>
    <row r="86" spans="15:15" ht="14.25" customHeight="1" x14ac:dyDescent="0.35">
      <c r="O86" s="1"/>
    </row>
    <row r="87" spans="15:15" ht="14.25" customHeight="1" x14ac:dyDescent="0.35">
      <c r="O87" s="1"/>
    </row>
    <row r="88" spans="15:15" ht="14.25" customHeight="1" x14ac:dyDescent="0.35">
      <c r="O88" s="1"/>
    </row>
    <row r="89" spans="15:15" ht="14.25" customHeight="1" x14ac:dyDescent="0.35">
      <c r="O89" s="1"/>
    </row>
    <row r="90" spans="15:15" ht="14.25" customHeight="1" x14ac:dyDescent="0.35">
      <c r="O90" s="1"/>
    </row>
    <row r="91" spans="15:15" ht="14.25" customHeight="1" x14ac:dyDescent="0.35">
      <c r="O91" s="1"/>
    </row>
    <row r="92" spans="15:15" ht="14.25" customHeight="1" x14ac:dyDescent="0.35">
      <c r="O92" s="1"/>
    </row>
    <row r="93" spans="15:15" ht="14.25" customHeight="1" x14ac:dyDescent="0.35">
      <c r="O93" s="1"/>
    </row>
    <row r="94" spans="15:15" ht="14.25" customHeight="1" x14ac:dyDescent="0.35">
      <c r="O94" s="1"/>
    </row>
    <row r="95" spans="15:15" ht="14.25" customHeight="1" x14ac:dyDescent="0.35">
      <c r="O95" s="1"/>
    </row>
    <row r="96" spans="15:15" ht="14.25" customHeight="1" x14ac:dyDescent="0.35">
      <c r="O96" s="1"/>
    </row>
    <row r="97" spans="15:15" ht="14.25" customHeight="1" x14ac:dyDescent="0.35">
      <c r="O97" s="1"/>
    </row>
    <row r="98" spans="15:15" ht="14.25" customHeight="1" x14ac:dyDescent="0.35">
      <c r="O98" s="1"/>
    </row>
    <row r="99" spans="15:15" ht="14.25" customHeight="1" x14ac:dyDescent="0.35">
      <c r="O99" s="1"/>
    </row>
    <row r="100" spans="15:15" ht="14.25" customHeight="1" x14ac:dyDescent="0.35">
      <c r="O100" s="1"/>
    </row>
    <row r="101" spans="15:15" ht="14.25" customHeight="1" x14ac:dyDescent="0.35">
      <c r="O101" s="1"/>
    </row>
    <row r="102" spans="15:15" ht="14.25" customHeight="1" x14ac:dyDescent="0.35">
      <c r="O102" s="1"/>
    </row>
    <row r="103" spans="15:15" ht="14.25" customHeight="1" x14ac:dyDescent="0.35">
      <c r="O103" s="1"/>
    </row>
    <row r="104" spans="15:15" ht="14.25" customHeight="1" x14ac:dyDescent="0.35">
      <c r="O104" s="1"/>
    </row>
    <row r="105" spans="15:15" ht="14.25" customHeight="1" x14ac:dyDescent="0.35">
      <c r="O105" s="1"/>
    </row>
    <row r="106" spans="15:15" ht="14.25" customHeight="1" x14ac:dyDescent="0.35">
      <c r="O106" s="1"/>
    </row>
    <row r="107" spans="15:15" ht="14.25" customHeight="1" x14ac:dyDescent="0.35">
      <c r="O107" s="1"/>
    </row>
    <row r="108" spans="15:15" ht="14.25" customHeight="1" x14ac:dyDescent="0.35">
      <c r="O108" s="1"/>
    </row>
    <row r="109" spans="15:15" ht="14.25" customHeight="1" x14ac:dyDescent="0.35">
      <c r="O109" s="1"/>
    </row>
    <row r="110" spans="15:15" ht="14.25" customHeight="1" x14ac:dyDescent="0.35">
      <c r="O110" s="1"/>
    </row>
    <row r="111" spans="15:15" ht="14.25" customHeight="1" x14ac:dyDescent="0.35">
      <c r="O111" s="1"/>
    </row>
    <row r="112" spans="15:15" ht="14.25" customHeight="1" x14ac:dyDescent="0.35">
      <c r="O112" s="1"/>
    </row>
    <row r="113" spans="15:15" ht="14.25" customHeight="1" x14ac:dyDescent="0.35">
      <c r="O113" s="1"/>
    </row>
    <row r="114" spans="15:15" ht="14.25" customHeight="1" x14ac:dyDescent="0.35">
      <c r="O114" s="1"/>
    </row>
    <row r="115" spans="15:15" ht="14.25" customHeight="1" x14ac:dyDescent="0.35">
      <c r="O115" s="1"/>
    </row>
    <row r="116" spans="15:15" ht="14.25" customHeight="1" x14ac:dyDescent="0.35">
      <c r="O116" s="1"/>
    </row>
    <row r="117" spans="15:15" ht="14.25" customHeight="1" x14ac:dyDescent="0.35">
      <c r="O117" s="1"/>
    </row>
    <row r="118" spans="15:15" ht="14.25" customHeight="1" x14ac:dyDescent="0.35">
      <c r="O118" s="1"/>
    </row>
    <row r="119" spans="15:15" ht="14.25" customHeight="1" x14ac:dyDescent="0.35">
      <c r="O119" s="1"/>
    </row>
    <row r="120" spans="15:15" ht="14.25" customHeight="1" x14ac:dyDescent="0.35">
      <c r="O120" s="1"/>
    </row>
    <row r="121" spans="15:15" ht="14.25" customHeight="1" x14ac:dyDescent="0.35">
      <c r="O121" s="1"/>
    </row>
    <row r="122" spans="15:15" ht="14.25" customHeight="1" x14ac:dyDescent="0.35">
      <c r="O122" s="1"/>
    </row>
    <row r="123" spans="15:15" ht="14.25" customHeight="1" x14ac:dyDescent="0.35">
      <c r="O123" s="1"/>
    </row>
    <row r="124" spans="15:15" ht="14.25" customHeight="1" x14ac:dyDescent="0.35">
      <c r="O124" s="1"/>
    </row>
    <row r="125" spans="15:15" ht="14.25" customHeight="1" x14ac:dyDescent="0.35">
      <c r="O125" s="1"/>
    </row>
    <row r="126" spans="15:15" ht="14.25" customHeight="1" x14ac:dyDescent="0.35">
      <c r="O126" s="1"/>
    </row>
    <row r="127" spans="15:15" ht="14.25" customHeight="1" x14ac:dyDescent="0.35">
      <c r="O127" s="1"/>
    </row>
    <row r="128" spans="15:15" ht="14.25" customHeight="1" x14ac:dyDescent="0.35">
      <c r="O128" s="1"/>
    </row>
    <row r="129" spans="15:15" ht="14.25" customHeight="1" x14ac:dyDescent="0.35">
      <c r="O129" s="1"/>
    </row>
    <row r="130" spans="15:15" ht="14.25" customHeight="1" x14ac:dyDescent="0.35">
      <c r="O130" s="1"/>
    </row>
    <row r="131" spans="15:15" ht="14.25" customHeight="1" x14ac:dyDescent="0.35">
      <c r="O131" s="1"/>
    </row>
    <row r="132" spans="15:15" ht="14.25" customHeight="1" x14ac:dyDescent="0.35">
      <c r="O132" s="1"/>
    </row>
    <row r="133" spans="15:15" ht="14.25" customHeight="1" x14ac:dyDescent="0.35">
      <c r="O133" s="1"/>
    </row>
    <row r="134" spans="15:15" ht="14.25" customHeight="1" x14ac:dyDescent="0.35">
      <c r="O134" s="1"/>
    </row>
    <row r="135" spans="15:15" ht="14.25" customHeight="1" x14ac:dyDescent="0.35">
      <c r="O135" s="1"/>
    </row>
    <row r="136" spans="15:15" ht="14.25" customHeight="1" x14ac:dyDescent="0.35">
      <c r="O136" s="1"/>
    </row>
    <row r="137" spans="15:15" ht="14.25" customHeight="1" x14ac:dyDescent="0.35">
      <c r="O137" s="1"/>
    </row>
    <row r="138" spans="15:15" ht="14.25" customHeight="1" x14ac:dyDescent="0.35">
      <c r="O138" s="1"/>
    </row>
    <row r="139" spans="15:15" ht="14.25" customHeight="1" x14ac:dyDescent="0.35">
      <c r="O139" s="1"/>
    </row>
    <row r="140" spans="15:15" ht="14.25" customHeight="1" x14ac:dyDescent="0.35">
      <c r="O140" s="1"/>
    </row>
    <row r="141" spans="15:15" ht="14.25" customHeight="1" x14ac:dyDescent="0.35">
      <c r="O141" s="1"/>
    </row>
    <row r="142" spans="15:15" ht="14.25" customHeight="1" x14ac:dyDescent="0.35">
      <c r="O142" s="1"/>
    </row>
    <row r="143" spans="15:15" ht="14.25" customHeight="1" x14ac:dyDescent="0.35">
      <c r="O143" s="1"/>
    </row>
    <row r="144" spans="15:15" ht="14.25" customHeight="1" x14ac:dyDescent="0.35">
      <c r="O144" s="1"/>
    </row>
    <row r="145" spans="15:15" ht="14.25" customHeight="1" x14ac:dyDescent="0.35">
      <c r="O145" s="1"/>
    </row>
    <row r="146" spans="15:15" ht="14.25" customHeight="1" x14ac:dyDescent="0.35">
      <c r="O146" s="1"/>
    </row>
    <row r="147" spans="15:15" ht="14.25" customHeight="1" x14ac:dyDescent="0.35">
      <c r="O147" s="1"/>
    </row>
    <row r="148" spans="15:15" ht="14.25" customHeight="1" x14ac:dyDescent="0.35">
      <c r="O148" s="1"/>
    </row>
    <row r="149" spans="15:15" ht="14.25" customHeight="1" x14ac:dyDescent="0.35">
      <c r="O149" s="1"/>
    </row>
    <row r="150" spans="15:15" ht="14.25" customHeight="1" x14ac:dyDescent="0.35">
      <c r="O150" s="1"/>
    </row>
    <row r="151" spans="15:15" ht="14.25" customHeight="1" x14ac:dyDescent="0.35">
      <c r="O151" s="1"/>
    </row>
    <row r="152" spans="15:15" ht="14.25" customHeight="1" x14ac:dyDescent="0.35">
      <c r="O152" s="1"/>
    </row>
    <row r="153" spans="15:15" ht="14.25" customHeight="1" x14ac:dyDescent="0.35">
      <c r="O153" s="1"/>
    </row>
    <row r="154" spans="15:15" ht="14.25" customHeight="1" x14ac:dyDescent="0.35">
      <c r="O154" s="1"/>
    </row>
    <row r="155" spans="15:15" ht="14.25" customHeight="1" x14ac:dyDescent="0.35">
      <c r="O155" s="1"/>
    </row>
    <row r="156" spans="15:15" ht="14.25" customHeight="1" x14ac:dyDescent="0.35">
      <c r="O156" s="1"/>
    </row>
    <row r="157" spans="15:15" ht="14.25" customHeight="1" x14ac:dyDescent="0.35">
      <c r="O157" s="1"/>
    </row>
    <row r="158" spans="15:15" ht="14.25" customHeight="1" x14ac:dyDescent="0.35">
      <c r="O158" s="1"/>
    </row>
    <row r="159" spans="15:15" ht="14.25" customHeight="1" x14ac:dyDescent="0.35">
      <c r="O159" s="1"/>
    </row>
    <row r="160" spans="15:15" ht="14.25" customHeight="1" x14ac:dyDescent="0.35">
      <c r="O160" s="1"/>
    </row>
    <row r="161" spans="15:15" ht="14.25" customHeight="1" x14ac:dyDescent="0.35">
      <c r="O161" s="1"/>
    </row>
    <row r="162" spans="15:15" ht="14.25" customHeight="1" x14ac:dyDescent="0.35">
      <c r="O162" s="1"/>
    </row>
    <row r="163" spans="15:15" ht="14.25" customHeight="1" x14ac:dyDescent="0.35">
      <c r="O163" s="1"/>
    </row>
    <row r="164" spans="15:15" ht="14.25" customHeight="1" x14ac:dyDescent="0.35">
      <c r="O164" s="1"/>
    </row>
    <row r="165" spans="15:15" ht="14.25" customHeight="1" x14ac:dyDescent="0.35">
      <c r="O165" s="1"/>
    </row>
    <row r="166" spans="15:15" ht="14.25" customHeight="1" x14ac:dyDescent="0.35">
      <c r="O166" s="1"/>
    </row>
    <row r="167" spans="15:15" ht="14.25" customHeight="1" x14ac:dyDescent="0.35">
      <c r="O167" s="1"/>
    </row>
    <row r="168" spans="15:15" ht="14.25" customHeight="1" x14ac:dyDescent="0.35">
      <c r="O168" s="1"/>
    </row>
    <row r="169" spans="15:15" ht="14.25" customHeight="1" x14ac:dyDescent="0.35">
      <c r="O169" s="1"/>
    </row>
    <row r="170" spans="15:15" ht="14.25" customHeight="1" x14ac:dyDescent="0.35">
      <c r="O170" s="1"/>
    </row>
    <row r="171" spans="15:15" ht="14.25" customHeight="1" x14ac:dyDescent="0.35">
      <c r="O171" s="1"/>
    </row>
    <row r="172" spans="15:15" ht="14.25" customHeight="1" x14ac:dyDescent="0.35">
      <c r="O172" s="1"/>
    </row>
    <row r="173" spans="15:15" ht="14.25" customHeight="1" x14ac:dyDescent="0.35">
      <c r="O173" s="1"/>
    </row>
    <row r="174" spans="15:15" ht="14.25" customHeight="1" x14ac:dyDescent="0.35">
      <c r="O174" s="1"/>
    </row>
    <row r="175" spans="15:15" ht="14.25" customHeight="1" x14ac:dyDescent="0.35">
      <c r="O175" s="1"/>
    </row>
    <row r="176" spans="15:15" ht="14.25" customHeight="1" x14ac:dyDescent="0.35">
      <c r="O176" s="1"/>
    </row>
    <row r="177" spans="15:15" ht="14.25" customHeight="1" x14ac:dyDescent="0.35">
      <c r="O177" s="1"/>
    </row>
    <row r="178" spans="15:15" ht="14.25" customHeight="1" x14ac:dyDescent="0.35">
      <c r="O178" s="1"/>
    </row>
    <row r="179" spans="15:15" ht="14.25" customHeight="1" x14ac:dyDescent="0.35">
      <c r="O179" s="1"/>
    </row>
    <row r="180" spans="15:15" ht="14.25" customHeight="1" x14ac:dyDescent="0.35">
      <c r="O180" s="1"/>
    </row>
    <row r="181" spans="15:15" ht="14.25" customHeight="1" x14ac:dyDescent="0.35">
      <c r="O181" s="1"/>
    </row>
    <row r="182" spans="15:15" ht="14.25" customHeight="1" x14ac:dyDescent="0.35">
      <c r="O182" s="1"/>
    </row>
    <row r="183" spans="15:15" ht="14.25" customHeight="1" x14ac:dyDescent="0.35">
      <c r="O183" s="1"/>
    </row>
    <row r="184" spans="15:15" ht="14.25" customHeight="1" x14ac:dyDescent="0.35">
      <c r="O184" s="1"/>
    </row>
    <row r="185" spans="15:15" ht="14.25" customHeight="1" x14ac:dyDescent="0.35">
      <c r="O185" s="1"/>
    </row>
    <row r="186" spans="15:15" ht="14.25" customHeight="1" x14ac:dyDescent="0.35">
      <c r="O186" s="1"/>
    </row>
    <row r="187" spans="15:15" ht="14.25" customHeight="1" x14ac:dyDescent="0.35">
      <c r="O187" s="1"/>
    </row>
    <row r="188" spans="15:15" ht="14.25" customHeight="1" x14ac:dyDescent="0.35">
      <c r="O188" s="1"/>
    </row>
    <row r="189" spans="15:15" ht="14.25" customHeight="1" x14ac:dyDescent="0.35">
      <c r="O189" s="1"/>
    </row>
    <row r="190" spans="15:15" ht="14.25" customHeight="1" x14ac:dyDescent="0.35">
      <c r="O190" s="1"/>
    </row>
    <row r="191" spans="15:15" ht="14.25" customHeight="1" x14ac:dyDescent="0.35">
      <c r="O191" s="1"/>
    </row>
    <row r="192" spans="15:15" ht="14.25" customHeight="1" x14ac:dyDescent="0.35">
      <c r="O192" s="1"/>
    </row>
    <row r="193" spans="15:15" ht="14.25" customHeight="1" x14ac:dyDescent="0.35">
      <c r="O193" s="1"/>
    </row>
    <row r="194" spans="15:15" ht="14.25" customHeight="1" x14ac:dyDescent="0.35">
      <c r="O194" s="1"/>
    </row>
    <row r="195" spans="15:15" ht="14.25" customHeight="1" x14ac:dyDescent="0.35">
      <c r="O195" s="1"/>
    </row>
    <row r="196" spans="15:15" ht="14.25" customHeight="1" x14ac:dyDescent="0.35">
      <c r="O196" s="1"/>
    </row>
    <row r="197" spans="15:15" ht="14.25" customHeight="1" x14ac:dyDescent="0.35">
      <c r="O197" s="1"/>
    </row>
    <row r="198" spans="15:15" ht="14.25" customHeight="1" x14ac:dyDescent="0.35">
      <c r="O198" s="1"/>
    </row>
    <row r="199" spans="15:15" ht="14.25" customHeight="1" x14ac:dyDescent="0.35">
      <c r="O199" s="1"/>
    </row>
    <row r="200" spans="15:15" ht="14.25" customHeight="1" x14ac:dyDescent="0.35">
      <c r="O200" s="1"/>
    </row>
    <row r="201" spans="15:15" ht="14.25" customHeight="1" x14ac:dyDescent="0.35">
      <c r="O201" s="1"/>
    </row>
    <row r="202" spans="15:15" ht="14.25" customHeight="1" x14ac:dyDescent="0.35">
      <c r="O202" s="1"/>
    </row>
    <row r="203" spans="15:15" ht="14.25" customHeight="1" x14ac:dyDescent="0.35">
      <c r="O203" s="1"/>
    </row>
    <row r="204" spans="15:15" ht="14.25" customHeight="1" x14ac:dyDescent="0.35">
      <c r="O204" s="1"/>
    </row>
    <row r="205" spans="15:15" ht="14.25" customHeight="1" x14ac:dyDescent="0.35">
      <c r="O205" s="1"/>
    </row>
    <row r="206" spans="15:15" ht="14.25" customHeight="1" x14ac:dyDescent="0.35">
      <c r="O206" s="1"/>
    </row>
    <row r="207" spans="15:15" ht="14.25" customHeight="1" x14ac:dyDescent="0.35">
      <c r="O207" s="1"/>
    </row>
    <row r="208" spans="15:15" ht="14.25" customHeight="1" x14ac:dyDescent="0.35">
      <c r="O208" s="1"/>
    </row>
    <row r="209" spans="15:15" ht="14.25" customHeight="1" x14ac:dyDescent="0.35">
      <c r="O209" s="1"/>
    </row>
    <row r="210" spans="15:15" ht="14.25" customHeight="1" x14ac:dyDescent="0.35">
      <c r="O210" s="1"/>
    </row>
    <row r="211" spans="15:15" ht="14.25" customHeight="1" x14ac:dyDescent="0.35">
      <c r="O211" s="1"/>
    </row>
    <row r="212" spans="15:15" ht="14.25" customHeight="1" x14ac:dyDescent="0.35">
      <c r="O212" s="1"/>
    </row>
    <row r="213" spans="15:15" ht="14.25" customHeight="1" x14ac:dyDescent="0.35">
      <c r="O213" s="1"/>
    </row>
    <row r="214" spans="15:15" ht="14.25" customHeight="1" x14ac:dyDescent="0.35">
      <c r="O214" s="1"/>
    </row>
    <row r="215" spans="15:15" ht="14.25" customHeight="1" x14ac:dyDescent="0.35">
      <c r="O215" s="1"/>
    </row>
    <row r="216" spans="15:15" ht="14.25" customHeight="1" x14ac:dyDescent="0.35">
      <c r="O216" s="1"/>
    </row>
    <row r="217" spans="15:15" ht="14.25" customHeight="1" x14ac:dyDescent="0.35">
      <c r="O217" s="1"/>
    </row>
    <row r="218" spans="15:15" ht="14.25" customHeight="1" x14ac:dyDescent="0.35">
      <c r="O218" s="1"/>
    </row>
    <row r="219" spans="15:15" ht="14.25" customHeight="1" x14ac:dyDescent="0.35">
      <c r="O219" s="1"/>
    </row>
    <row r="220" spans="15:15" ht="14.25" customHeight="1" x14ac:dyDescent="0.35">
      <c r="O220" s="1"/>
    </row>
    <row r="221" spans="15:15" ht="14.25" customHeight="1" x14ac:dyDescent="0.35">
      <c r="O221" s="1"/>
    </row>
    <row r="222" spans="15:15" ht="14.25" customHeight="1" x14ac:dyDescent="0.35">
      <c r="O222" s="1"/>
    </row>
    <row r="223" spans="15:15" ht="14.25" customHeight="1" x14ac:dyDescent="0.35">
      <c r="O223" s="1"/>
    </row>
    <row r="224" spans="15:15" ht="14.25" customHeight="1" x14ac:dyDescent="0.35">
      <c r="O224" s="1"/>
    </row>
    <row r="225" spans="15:15" ht="14.25" customHeight="1" x14ac:dyDescent="0.35">
      <c r="O225" s="1"/>
    </row>
    <row r="226" spans="15:15" ht="14.25" customHeight="1" x14ac:dyDescent="0.35">
      <c r="O226" s="1"/>
    </row>
    <row r="227" spans="15:15" ht="14.25" customHeight="1" x14ac:dyDescent="0.35">
      <c r="O227" s="1"/>
    </row>
    <row r="228" spans="15:15" ht="14.25" customHeight="1" x14ac:dyDescent="0.35">
      <c r="O228" s="1"/>
    </row>
    <row r="229" spans="15:15" ht="14.25" customHeight="1" x14ac:dyDescent="0.35">
      <c r="O229" s="1"/>
    </row>
    <row r="230" spans="15:15" ht="14.25" customHeight="1" x14ac:dyDescent="0.35">
      <c r="O230" s="1"/>
    </row>
    <row r="231" spans="15:15" ht="14.25" customHeight="1" x14ac:dyDescent="0.35">
      <c r="O231" s="1"/>
    </row>
    <row r="232" spans="15:15" ht="14.25" customHeight="1" x14ac:dyDescent="0.35">
      <c r="O232" s="1"/>
    </row>
    <row r="233" spans="15:15" ht="14.25" customHeight="1" x14ac:dyDescent="0.35">
      <c r="O233" s="1"/>
    </row>
    <row r="234" spans="15:15" ht="14.25" customHeight="1" x14ac:dyDescent="0.35">
      <c r="O234" s="1"/>
    </row>
    <row r="235" spans="15:15" ht="14.25" customHeight="1" x14ac:dyDescent="0.35">
      <c r="O235" s="1"/>
    </row>
    <row r="236" spans="15:15" ht="14.25" customHeight="1" x14ac:dyDescent="0.35">
      <c r="O236" s="1"/>
    </row>
    <row r="237" spans="15:15" ht="14.25" customHeight="1" x14ac:dyDescent="0.35">
      <c r="O237" s="1"/>
    </row>
    <row r="238" spans="15:15" ht="14.25" customHeight="1" x14ac:dyDescent="0.35">
      <c r="O238" s="1"/>
    </row>
    <row r="239" spans="15:15" ht="14.25" customHeight="1" x14ac:dyDescent="0.35">
      <c r="O239" s="1"/>
    </row>
    <row r="240" spans="15:15" ht="14.25" customHeight="1" x14ac:dyDescent="0.35">
      <c r="O240" s="1"/>
    </row>
    <row r="241" spans="15:15" ht="14.25" customHeight="1" x14ac:dyDescent="0.35">
      <c r="O241" s="1"/>
    </row>
    <row r="242" spans="15:15" ht="14.25" customHeight="1" x14ac:dyDescent="0.35">
      <c r="O242" s="1"/>
    </row>
    <row r="243" spans="15:15" ht="14.25" customHeight="1" x14ac:dyDescent="0.35">
      <c r="O243" s="1"/>
    </row>
    <row r="244" spans="15:15" ht="14.25" customHeight="1" x14ac:dyDescent="0.35">
      <c r="O244" s="1"/>
    </row>
    <row r="245" spans="15:15" ht="14.25" customHeight="1" x14ac:dyDescent="0.35">
      <c r="O245" s="1"/>
    </row>
    <row r="246" spans="15:15" ht="14.25" customHeight="1" x14ac:dyDescent="0.35">
      <c r="O246" s="1"/>
    </row>
    <row r="247" spans="15:15" ht="14.25" customHeight="1" x14ac:dyDescent="0.35">
      <c r="O247" s="1"/>
    </row>
    <row r="248" spans="15:15" ht="14.25" customHeight="1" x14ac:dyDescent="0.35">
      <c r="O248" s="1"/>
    </row>
    <row r="249" spans="15:15" ht="14.25" customHeight="1" x14ac:dyDescent="0.35">
      <c r="O249" s="1"/>
    </row>
    <row r="250" spans="15:15" ht="14.25" customHeight="1" x14ac:dyDescent="0.35">
      <c r="O250" s="1"/>
    </row>
    <row r="251" spans="15:15" ht="14.25" customHeight="1" x14ac:dyDescent="0.35">
      <c r="O251" s="1"/>
    </row>
    <row r="252" spans="15:15" ht="14.25" customHeight="1" x14ac:dyDescent="0.35">
      <c r="O252" s="1"/>
    </row>
    <row r="253" spans="15:15" ht="14.25" customHeight="1" x14ac:dyDescent="0.35">
      <c r="O253" s="1"/>
    </row>
    <row r="254" spans="15:15" ht="14.25" customHeight="1" x14ac:dyDescent="0.35">
      <c r="O254" s="1"/>
    </row>
    <row r="255" spans="15:15" ht="14.25" customHeight="1" x14ac:dyDescent="0.35">
      <c r="O255" s="1"/>
    </row>
    <row r="256" spans="15:15" ht="14.25" customHeight="1" x14ac:dyDescent="0.35">
      <c r="O256" s="1"/>
    </row>
    <row r="257" spans="15:15" ht="14.25" customHeight="1" x14ac:dyDescent="0.35">
      <c r="O257" s="1"/>
    </row>
    <row r="258" spans="15:15" ht="14.25" customHeight="1" x14ac:dyDescent="0.35">
      <c r="O258" s="1"/>
    </row>
    <row r="259" spans="15:15" ht="14.25" customHeight="1" x14ac:dyDescent="0.35">
      <c r="O259" s="1"/>
    </row>
    <row r="260" spans="15:15" ht="14.25" customHeight="1" x14ac:dyDescent="0.35">
      <c r="O260" s="1"/>
    </row>
    <row r="261" spans="15:15" ht="14.25" customHeight="1" x14ac:dyDescent="0.35">
      <c r="O261" s="1"/>
    </row>
    <row r="262" spans="15:15" ht="14.25" customHeight="1" x14ac:dyDescent="0.35">
      <c r="O262" s="1"/>
    </row>
    <row r="263" spans="15:15" ht="14.25" customHeight="1" x14ac:dyDescent="0.35">
      <c r="O263" s="1"/>
    </row>
    <row r="264" spans="15:15" ht="14.25" customHeight="1" x14ac:dyDescent="0.35">
      <c r="O264" s="1"/>
    </row>
    <row r="265" spans="15:15" ht="14.25" customHeight="1" x14ac:dyDescent="0.35">
      <c r="O265" s="1"/>
    </row>
    <row r="266" spans="15:15" ht="14.25" customHeight="1" x14ac:dyDescent="0.35">
      <c r="O266" s="1"/>
    </row>
    <row r="267" spans="15:15" ht="14.25" customHeight="1" x14ac:dyDescent="0.35">
      <c r="O267" s="1"/>
    </row>
    <row r="268" spans="15:15" ht="14.25" customHeight="1" x14ac:dyDescent="0.35">
      <c r="O268" s="1"/>
    </row>
    <row r="269" spans="15:15" ht="14.25" customHeight="1" x14ac:dyDescent="0.35">
      <c r="O269" s="1"/>
    </row>
    <row r="270" spans="15:15" ht="14.25" customHeight="1" x14ac:dyDescent="0.35">
      <c r="O270" s="1"/>
    </row>
    <row r="271" spans="15:15" ht="14.25" customHeight="1" x14ac:dyDescent="0.35">
      <c r="O271" s="1"/>
    </row>
    <row r="272" spans="15:15" ht="14.25" customHeight="1" x14ac:dyDescent="0.35">
      <c r="O272" s="1"/>
    </row>
    <row r="273" spans="15:15" ht="14.25" customHeight="1" x14ac:dyDescent="0.35">
      <c r="O273" s="1"/>
    </row>
    <row r="274" spans="15:15" ht="14.25" customHeight="1" x14ac:dyDescent="0.35">
      <c r="O274" s="1"/>
    </row>
    <row r="275" spans="15:15" ht="14.25" customHeight="1" x14ac:dyDescent="0.35">
      <c r="O275" s="1"/>
    </row>
    <row r="276" spans="15:15" ht="14.25" customHeight="1" x14ac:dyDescent="0.35">
      <c r="O276" s="1"/>
    </row>
    <row r="277" spans="15:15" ht="14.25" customHeight="1" x14ac:dyDescent="0.35">
      <c r="O277" s="1"/>
    </row>
    <row r="278" spans="15:15" ht="14.25" customHeight="1" x14ac:dyDescent="0.35">
      <c r="O278" s="1"/>
    </row>
    <row r="279" spans="15:15" ht="14.25" customHeight="1" x14ac:dyDescent="0.35">
      <c r="O279" s="1"/>
    </row>
    <row r="280" spans="15:15" ht="14.25" customHeight="1" x14ac:dyDescent="0.35">
      <c r="O280" s="1"/>
    </row>
    <row r="281" spans="15:15" ht="14.25" customHeight="1" x14ac:dyDescent="0.35">
      <c r="O281" s="1"/>
    </row>
    <row r="282" spans="15:15" ht="14.25" customHeight="1" x14ac:dyDescent="0.35">
      <c r="O282" s="1"/>
    </row>
    <row r="283" spans="15:15" ht="14.25" customHeight="1" x14ac:dyDescent="0.35">
      <c r="O283" s="1"/>
    </row>
    <row r="284" spans="15:15" ht="14.25" customHeight="1" x14ac:dyDescent="0.35">
      <c r="O284" s="1"/>
    </row>
    <row r="285" spans="15:15" ht="14.25" customHeight="1" x14ac:dyDescent="0.35">
      <c r="O285" s="1"/>
    </row>
    <row r="286" spans="15:15" ht="14.25" customHeight="1" x14ac:dyDescent="0.35">
      <c r="O286" s="1"/>
    </row>
    <row r="287" spans="15:15" ht="14.25" customHeight="1" x14ac:dyDescent="0.35">
      <c r="O287" s="1"/>
    </row>
    <row r="288" spans="15:15" ht="14.25" customHeight="1" x14ac:dyDescent="0.35">
      <c r="O288" s="1"/>
    </row>
    <row r="289" spans="15:15" ht="14.25" customHeight="1" x14ac:dyDescent="0.35">
      <c r="O289" s="1"/>
    </row>
    <row r="290" spans="15:15" ht="14.25" customHeight="1" x14ac:dyDescent="0.35">
      <c r="O290" s="1"/>
    </row>
    <row r="291" spans="15:15" ht="14.25" customHeight="1" x14ac:dyDescent="0.35">
      <c r="O291" s="1"/>
    </row>
    <row r="292" spans="15:15" ht="14.25" customHeight="1" x14ac:dyDescent="0.35">
      <c r="O292" s="1"/>
    </row>
    <row r="293" spans="15:15" ht="14.25" customHeight="1" x14ac:dyDescent="0.35">
      <c r="O293" s="1"/>
    </row>
    <row r="294" spans="15:15" ht="14.25" customHeight="1" x14ac:dyDescent="0.35">
      <c r="O294" s="1"/>
    </row>
    <row r="295" spans="15:15" ht="14.25" customHeight="1" x14ac:dyDescent="0.35">
      <c r="O295" s="1"/>
    </row>
    <row r="296" spans="15:15" ht="14.25" customHeight="1" x14ac:dyDescent="0.35">
      <c r="O296" s="1"/>
    </row>
    <row r="297" spans="15:15" ht="14.25" customHeight="1" x14ac:dyDescent="0.35">
      <c r="O297" s="1"/>
    </row>
    <row r="298" spans="15:15" ht="14.25" customHeight="1" x14ac:dyDescent="0.35">
      <c r="O298" s="1"/>
    </row>
    <row r="299" spans="15:15" ht="14.25" customHeight="1" x14ac:dyDescent="0.35">
      <c r="O299" s="1"/>
    </row>
    <row r="300" spans="15:15" ht="14.25" customHeight="1" x14ac:dyDescent="0.35">
      <c r="O300" s="1"/>
    </row>
    <row r="301" spans="15:15" ht="14.25" customHeight="1" x14ac:dyDescent="0.35">
      <c r="O301" s="1"/>
    </row>
    <row r="302" spans="15:15" ht="14.25" customHeight="1" x14ac:dyDescent="0.35">
      <c r="O302" s="1"/>
    </row>
    <row r="303" spans="15:15" ht="14.25" customHeight="1" x14ac:dyDescent="0.35">
      <c r="O303" s="1"/>
    </row>
    <row r="304" spans="15:15" ht="14.25" customHeight="1" x14ac:dyDescent="0.35">
      <c r="O304" s="1"/>
    </row>
    <row r="305" spans="15:15" ht="14.25" customHeight="1" x14ac:dyDescent="0.35">
      <c r="O305" s="1"/>
    </row>
    <row r="306" spans="15:15" ht="14.25" customHeight="1" x14ac:dyDescent="0.35">
      <c r="O306" s="1"/>
    </row>
    <row r="307" spans="15:15" ht="14.25" customHeight="1" x14ac:dyDescent="0.35">
      <c r="O307" s="1"/>
    </row>
    <row r="308" spans="15:15" ht="14.25" customHeight="1" x14ac:dyDescent="0.35">
      <c r="O308" s="1"/>
    </row>
    <row r="309" spans="15:15" ht="14.25" customHeight="1" x14ac:dyDescent="0.35">
      <c r="O309" s="1"/>
    </row>
    <row r="310" spans="15:15" ht="14.25" customHeight="1" x14ac:dyDescent="0.35">
      <c r="O310" s="1"/>
    </row>
    <row r="311" spans="15:15" ht="14.25" customHeight="1" x14ac:dyDescent="0.35">
      <c r="O311" s="1"/>
    </row>
    <row r="312" spans="15:15" ht="14.25" customHeight="1" x14ac:dyDescent="0.35">
      <c r="O312" s="1"/>
    </row>
    <row r="313" spans="15:15" ht="14.25" customHeight="1" x14ac:dyDescent="0.35">
      <c r="O313" s="1"/>
    </row>
    <row r="314" spans="15:15" ht="14.25" customHeight="1" x14ac:dyDescent="0.35">
      <c r="O314" s="1"/>
    </row>
    <row r="315" spans="15:15" ht="14.25" customHeight="1" x14ac:dyDescent="0.35">
      <c r="O315" s="1"/>
    </row>
    <row r="316" spans="15:15" ht="14.25" customHeight="1" x14ac:dyDescent="0.35">
      <c r="O316" s="1"/>
    </row>
    <row r="317" spans="15:15" ht="14.25" customHeight="1" x14ac:dyDescent="0.35">
      <c r="O317" s="1"/>
    </row>
    <row r="318" spans="15:15" ht="14.25" customHeight="1" x14ac:dyDescent="0.35">
      <c r="O318" s="1"/>
    </row>
    <row r="319" spans="15:15" ht="14.25" customHeight="1" x14ac:dyDescent="0.35">
      <c r="O319" s="1"/>
    </row>
    <row r="320" spans="15:15" ht="14.25" customHeight="1" x14ac:dyDescent="0.35">
      <c r="O320" s="1"/>
    </row>
    <row r="321" spans="15:15" ht="14.25" customHeight="1" x14ac:dyDescent="0.35">
      <c r="O321" s="1"/>
    </row>
    <row r="322" spans="15:15" ht="14.25" customHeight="1" x14ac:dyDescent="0.35">
      <c r="O322" s="1"/>
    </row>
    <row r="323" spans="15:15" ht="14.25" customHeight="1" x14ac:dyDescent="0.35">
      <c r="O323" s="1"/>
    </row>
    <row r="324" spans="15:15" ht="14.25" customHeight="1" x14ac:dyDescent="0.35">
      <c r="O324" s="1"/>
    </row>
    <row r="325" spans="15:15" ht="14.25" customHeight="1" x14ac:dyDescent="0.35">
      <c r="O325" s="1"/>
    </row>
    <row r="326" spans="15:15" ht="14.25" customHeight="1" x14ac:dyDescent="0.35">
      <c r="O326" s="1"/>
    </row>
    <row r="327" spans="15:15" ht="14.25" customHeight="1" x14ac:dyDescent="0.35">
      <c r="O327" s="1"/>
    </row>
    <row r="328" spans="15:15" ht="14.25" customHeight="1" x14ac:dyDescent="0.35">
      <c r="O328" s="1"/>
    </row>
    <row r="329" spans="15:15" ht="14.25" customHeight="1" x14ac:dyDescent="0.35">
      <c r="O329" s="1"/>
    </row>
    <row r="330" spans="15:15" ht="14.25" customHeight="1" x14ac:dyDescent="0.35">
      <c r="O330" s="1"/>
    </row>
    <row r="331" spans="15:15" ht="14.25" customHeight="1" x14ac:dyDescent="0.35">
      <c r="O331" s="1"/>
    </row>
    <row r="332" spans="15:15" ht="14.25" customHeight="1" x14ac:dyDescent="0.35">
      <c r="O332" s="1"/>
    </row>
    <row r="333" spans="15:15" ht="14.25" customHeight="1" x14ac:dyDescent="0.35">
      <c r="O333" s="1"/>
    </row>
    <row r="334" spans="15:15" ht="14.25" customHeight="1" x14ac:dyDescent="0.35">
      <c r="O334" s="1"/>
    </row>
    <row r="335" spans="15:15" ht="14.25" customHeight="1" x14ac:dyDescent="0.35">
      <c r="O335" s="1"/>
    </row>
    <row r="336" spans="15:15" ht="14.25" customHeight="1" x14ac:dyDescent="0.35">
      <c r="O336" s="1"/>
    </row>
    <row r="337" spans="15:15" ht="14.25" customHeight="1" x14ac:dyDescent="0.35">
      <c r="O337" s="1"/>
    </row>
    <row r="338" spans="15:15" ht="14.25" customHeight="1" x14ac:dyDescent="0.35">
      <c r="O338" s="1"/>
    </row>
    <row r="339" spans="15:15" ht="14.25" customHeight="1" x14ac:dyDescent="0.35">
      <c r="O339" s="1"/>
    </row>
    <row r="340" spans="15:15" ht="14.25" customHeight="1" x14ac:dyDescent="0.35">
      <c r="O340" s="1"/>
    </row>
    <row r="341" spans="15:15" ht="14.25" customHeight="1" x14ac:dyDescent="0.35">
      <c r="O341" s="1"/>
    </row>
    <row r="342" spans="15:15" ht="14.25" customHeight="1" x14ac:dyDescent="0.35">
      <c r="O342" s="1"/>
    </row>
    <row r="343" spans="15:15" ht="14.25" customHeight="1" x14ac:dyDescent="0.35">
      <c r="O343" s="1"/>
    </row>
    <row r="344" spans="15:15" ht="14.25" customHeight="1" x14ac:dyDescent="0.35">
      <c r="O344" s="1"/>
    </row>
    <row r="345" spans="15:15" ht="14.25" customHeight="1" x14ac:dyDescent="0.35">
      <c r="O345" s="1"/>
    </row>
    <row r="346" spans="15:15" ht="14.25" customHeight="1" x14ac:dyDescent="0.35">
      <c r="O346" s="1"/>
    </row>
    <row r="347" spans="15:15" ht="14.25" customHeight="1" x14ac:dyDescent="0.35">
      <c r="O347" s="1"/>
    </row>
    <row r="348" spans="15:15" ht="14.25" customHeight="1" x14ac:dyDescent="0.35">
      <c r="O348" s="1"/>
    </row>
    <row r="349" spans="15:15" ht="14.25" customHeight="1" x14ac:dyDescent="0.35">
      <c r="O349" s="1"/>
    </row>
    <row r="350" spans="15:15" ht="14.25" customHeight="1" x14ac:dyDescent="0.35">
      <c r="O350" s="1"/>
    </row>
    <row r="351" spans="15:15" ht="14.25" customHeight="1" x14ac:dyDescent="0.35">
      <c r="O351" s="1"/>
    </row>
    <row r="352" spans="15:15" ht="14.25" customHeight="1" x14ac:dyDescent="0.35">
      <c r="O352" s="1"/>
    </row>
    <row r="353" spans="15:15" ht="14.25" customHeight="1" x14ac:dyDescent="0.35">
      <c r="O353" s="1"/>
    </row>
    <row r="354" spans="15:15" ht="14.25" customHeight="1" x14ac:dyDescent="0.35">
      <c r="O354" s="1"/>
    </row>
    <row r="355" spans="15:15" ht="14.25" customHeight="1" x14ac:dyDescent="0.35">
      <c r="O355" s="1"/>
    </row>
    <row r="356" spans="15:15" ht="14.25" customHeight="1" x14ac:dyDescent="0.35">
      <c r="O356" s="1"/>
    </row>
    <row r="357" spans="15:15" ht="14.25" customHeight="1" x14ac:dyDescent="0.35">
      <c r="O357" s="1"/>
    </row>
    <row r="358" spans="15:15" ht="14.25" customHeight="1" x14ac:dyDescent="0.35">
      <c r="O358" s="1"/>
    </row>
    <row r="359" spans="15:15" ht="14.25" customHeight="1" x14ac:dyDescent="0.35">
      <c r="O359" s="1"/>
    </row>
    <row r="360" spans="15:15" ht="14.25" customHeight="1" x14ac:dyDescent="0.35">
      <c r="O360" s="1"/>
    </row>
    <row r="361" spans="15:15" ht="14.25" customHeight="1" x14ac:dyDescent="0.35">
      <c r="O361" s="1"/>
    </row>
    <row r="362" spans="15:15" ht="14.25" customHeight="1" x14ac:dyDescent="0.35">
      <c r="O362" s="1"/>
    </row>
    <row r="363" spans="15:15" ht="14.25" customHeight="1" x14ac:dyDescent="0.35">
      <c r="O363" s="1"/>
    </row>
    <row r="364" spans="15:15" ht="14.25" customHeight="1" x14ac:dyDescent="0.35">
      <c r="O364" s="1"/>
    </row>
    <row r="365" spans="15:15" ht="14.25" customHeight="1" x14ac:dyDescent="0.35">
      <c r="O365" s="1"/>
    </row>
    <row r="366" spans="15:15" ht="14.25" customHeight="1" x14ac:dyDescent="0.35">
      <c r="O366" s="1"/>
    </row>
    <row r="367" spans="15:15" ht="14.25" customHeight="1" x14ac:dyDescent="0.35">
      <c r="O367" s="1"/>
    </row>
    <row r="368" spans="15:15" ht="14.25" customHeight="1" x14ac:dyDescent="0.35">
      <c r="O368" s="1"/>
    </row>
    <row r="369" spans="15:15" ht="14.25" customHeight="1" x14ac:dyDescent="0.35">
      <c r="O369" s="1"/>
    </row>
    <row r="370" spans="15:15" ht="14.25" customHeight="1" x14ac:dyDescent="0.35">
      <c r="O370" s="1"/>
    </row>
    <row r="371" spans="15:15" ht="14.25" customHeight="1" x14ac:dyDescent="0.35">
      <c r="O371" s="1"/>
    </row>
    <row r="372" spans="15:15" ht="14.25" customHeight="1" x14ac:dyDescent="0.35">
      <c r="O372" s="1"/>
    </row>
    <row r="373" spans="15:15" ht="14.25" customHeight="1" x14ac:dyDescent="0.35">
      <c r="O373" s="1"/>
    </row>
    <row r="374" spans="15:15" ht="14.25" customHeight="1" x14ac:dyDescent="0.35">
      <c r="O374" s="1"/>
    </row>
    <row r="375" spans="15:15" ht="14.25" customHeight="1" x14ac:dyDescent="0.35">
      <c r="O375" s="1"/>
    </row>
    <row r="376" spans="15:15" ht="14.25" customHeight="1" x14ac:dyDescent="0.35">
      <c r="O376" s="1"/>
    </row>
    <row r="377" spans="15:15" ht="14.25" customHeight="1" x14ac:dyDescent="0.35">
      <c r="O377" s="1"/>
    </row>
    <row r="378" spans="15:15" ht="14.25" customHeight="1" x14ac:dyDescent="0.35">
      <c r="O378" s="1"/>
    </row>
    <row r="379" spans="15:15" ht="14.25" customHeight="1" x14ac:dyDescent="0.35">
      <c r="O379" s="1"/>
    </row>
    <row r="380" spans="15:15" ht="14.25" customHeight="1" x14ac:dyDescent="0.35">
      <c r="O380" s="1"/>
    </row>
    <row r="381" spans="15:15" ht="14.25" customHeight="1" x14ac:dyDescent="0.35">
      <c r="O381" s="1"/>
    </row>
    <row r="382" spans="15:15" ht="14.25" customHeight="1" x14ac:dyDescent="0.35">
      <c r="O382" s="1"/>
    </row>
    <row r="383" spans="15:15" ht="14.25" customHeight="1" x14ac:dyDescent="0.35">
      <c r="O383" s="1"/>
    </row>
    <row r="384" spans="15:15" ht="14.25" customHeight="1" x14ac:dyDescent="0.35">
      <c r="O384" s="1"/>
    </row>
    <row r="385" spans="15:15" ht="14.25" customHeight="1" x14ac:dyDescent="0.35">
      <c r="O385" s="1"/>
    </row>
    <row r="386" spans="15:15" ht="14.25" customHeight="1" x14ac:dyDescent="0.35">
      <c r="O386" s="1"/>
    </row>
    <row r="387" spans="15:15" ht="14.25" customHeight="1" x14ac:dyDescent="0.35">
      <c r="O387" s="1"/>
    </row>
    <row r="388" spans="15:15" ht="14.25" customHeight="1" x14ac:dyDescent="0.35">
      <c r="O388" s="1"/>
    </row>
    <row r="389" spans="15:15" ht="14.25" customHeight="1" x14ac:dyDescent="0.35">
      <c r="O389" s="1"/>
    </row>
    <row r="390" spans="15:15" ht="14.25" customHeight="1" x14ac:dyDescent="0.35">
      <c r="O390" s="1"/>
    </row>
    <row r="391" spans="15:15" ht="14.25" customHeight="1" x14ac:dyDescent="0.35">
      <c r="O391" s="1"/>
    </row>
    <row r="392" spans="15:15" ht="14.25" customHeight="1" x14ac:dyDescent="0.35">
      <c r="O392" s="1"/>
    </row>
    <row r="393" spans="15:15" ht="14.25" customHeight="1" x14ac:dyDescent="0.35">
      <c r="O393" s="1"/>
    </row>
    <row r="394" spans="15:15" ht="14.25" customHeight="1" x14ac:dyDescent="0.35">
      <c r="O394" s="1"/>
    </row>
    <row r="395" spans="15:15" ht="14.25" customHeight="1" x14ac:dyDescent="0.35">
      <c r="O395" s="1"/>
    </row>
    <row r="396" spans="15:15" ht="14.25" customHeight="1" x14ac:dyDescent="0.35">
      <c r="O396" s="1"/>
    </row>
    <row r="397" spans="15:15" ht="14.25" customHeight="1" x14ac:dyDescent="0.35">
      <c r="O397" s="1"/>
    </row>
    <row r="398" spans="15:15" ht="14.25" customHeight="1" x14ac:dyDescent="0.35">
      <c r="O398" s="1"/>
    </row>
    <row r="399" spans="15:15" ht="14.25" customHeight="1" x14ac:dyDescent="0.35">
      <c r="O399" s="1"/>
    </row>
    <row r="400" spans="15:15" ht="14.25" customHeight="1" x14ac:dyDescent="0.35">
      <c r="O400" s="1"/>
    </row>
    <row r="401" spans="15:15" ht="14.25" customHeight="1" x14ac:dyDescent="0.35">
      <c r="O401" s="1"/>
    </row>
    <row r="402" spans="15:15" ht="14.25" customHeight="1" x14ac:dyDescent="0.35">
      <c r="O402" s="1"/>
    </row>
    <row r="403" spans="15:15" ht="14.25" customHeight="1" x14ac:dyDescent="0.35">
      <c r="O403" s="1"/>
    </row>
    <row r="404" spans="15:15" ht="14.25" customHeight="1" x14ac:dyDescent="0.35">
      <c r="O404" s="1"/>
    </row>
    <row r="405" spans="15:15" ht="14.25" customHeight="1" x14ac:dyDescent="0.35">
      <c r="O405" s="1"/>
    </row>
    <row r="406" spans="15:15" ht="14.25" customHeight="1" x14ac:dyDescent="0.35">
      <c r="O406" s="1"/>
    </row>
    <row r="407" spans="15:15" ht="14.25" customHeight="1" x14ac:dyDescent="0.35">
      <c r="O407" s="1"/>
    </row>
    <row r="408" spans="15:15" ht="14.25" customHeight="1" x14ac:dyDescent="0.35">
      <c r="O408" s="1"/>
    </row>
    <row r="409" spans="15:15" ht="14.25" customHeight="1" x14ac:dyDescent="0.35">
      <c r="O409" s="1"/>
    </row>
    <row r="410" spans="15:15" ht="14.25" customHeight="1" x14ac:dyDescent="0.35">
      <c r="O410" s="1"/>
    </row>
    <row r="411" spans="15:15" ht="14.25" customHeight="1" x14ac:dyDescent="0.35">
      <c r="O411" s="1"/>
    </row>
    <row r="412" spans="15:15" ht="14.25" customHeight="1" x14ac:dyDescent="0.35">
      <c r="O412" s="1"/>
    </row>
    <row r="413" spans="15:15" ht="14.25" customHeight="1" x14ac:dyDescent="0.35">
      <c r="O413" s="1"/>
    </row>
    <row r="414" spans="15:15" ht="14.25" customHeight="1" x14ac:dyDescent="0.35">
      <c r="O414" s="1"/>
    </row>
    <row r="415" spans="15:15" ht="14.25" customHeight="1" x14ac:dyDescent="0.35">
      <c r="O415" s="1"/>
    </row>
    <row r="416" spans="15:15" ht="14.25" customHeight="1" x14ac:dyDescent="0.35">
      <c r="O416" s="1"/>
    </row>
    <row r="417" spans="15:15" ht="14.25" customHeight="1" x14ac:dyDescent="0.35">
      <c r="O417" s="1"/>
    </row>
    <row r="418" spans="15:15" ht="14.25" customHeight="1" x14ac:dyDescent="0.35">
      <c r="O418" s="1"/>
    </row>
    <row r="419" spans="15:15" ht="14.25" customHeight="1" x14ac:dyDescent="0.35">
      <c r="O419" s="1"/>
    </row>
    <row r="420" spans="15:15" ht="14.25" customHeight="1" x14ac:dyDescent="0.35">
      <c r="O420" s="1"/>
    </row>
    <row r="421" spans="15:15" ht="14.25" customHeight="1" x14ac:dyDescent="0.35">
      <c r="O421" s="1"/>
    </row>
    <row r="422" spans="15:15" ht="14.25" customHeight="1" x14ac:dyDescent="0.35">
      <c r="O422" s="1"/>
    </row>
    <row r="423" spans="15:15" ht="14.25" customHeight="1" x14ac:dyDescent="0.35">
      <c r="O423" s="1"/>
    </row>
    <row r="424" spans="15:15" ht="14.25" customHeight="1" x14ac:dyDescent="0.35">
      <c r="O424" s="1"/>
    </row>
    <row r="425" spans="15:15" ht="14.25" customHeight="1" x14ac:dyDescent="0.35">
      <c r="O425" s="1"/>
    </row>
    <row r="426" spans="15:15" ht="14.25" customHeight="1" x14ac:dyDescent="0.35">
      <c r="O426" s="1"/>
    </row>
    <row r="427" spans="15:15" ht="14.25" customHeight="1" x14ac:dyDescent="0.35">
      <c r="O427" s="1"/>
    </row>
    <row r="428" spans="15:15" ht="14.25" customHeight="1" x14ac:dyDescent="0.35">
      <c r="O428" s="1"/>
    </row>
    <row r="429" spans="15:15" ht="14.25" customHeight="1" x14ac:dyDescent="0.35">
      <c r="O429" s="1"/>
    </row>
    <row r="430" spans="15:15" ht="14.25" customHeight="1" x14ac:dyDescent="0.35">
      <c r="O430" s="1"/>
    </row>
    <row r="431" spans="15:15" ht="14.25" customHeight="1" x14ac:dyDescent="0.35">
      <c r="O431" s="1"/>
    </row>
    <row r="432" spans="15:15" ht="14.25" customHeight="1" x14ac:dyDescent="0.35">
      <c r="O432" s="1"/>
    </row>
    <row r="433" spans="15:15" ht="14.25" customHeight="1" x14ac:dyDescent="0.35">
      <c r="O433" s="1"/>
    </row>
    <row r="434" spans="15:15" ht="14.25" customHeight="1" x14ac:dyDescent="0.35">
      <c r="O434" s="1"/>
    </row>
    <row r="435" spans="15:15" ht="14.25" customHeight="1" x14ac:dyDescent="0.35">
      <c r="O435" s="1"/>
    </row>
    <row r="436" spans="15:15" ht="14.25" customHeight="1" x14ac:dyDescent="0.35">
      <c r="O436" s="1"/>
    </row>
    <row r="437" spans="15:15" ht="14.25" customHeight="1" x14ac:dyDescent="0.35">
      <c r="O437" s="1"/>
    </row>
    <row r="438" spans="15:15" ht="14.25" customHeight="1" x14ac:dyDescent="0.35">
      <c r="O438" s="1"/>
    </row>
    <row r="439" spans="15:15" ht="14.25" customHeight="1" x14ac:dyDescent="0.35">
      <c r="O439" s="1"/>
    </row>
    <row r="440" spans="15:15" ht="14.25" customHeight="1" x14ac:dyDescent="0.35">
      <c r="O440" s="1"/>
    </row>
    <row r="441" spans="15:15" ht="14.25" customHeight="1" x14ac:dyDescent="0.35">
      <c r="O441" s="1"/>
    </row>
    <row r="442" spans="15:15" ht="14.25" customHeight="1" x14ac:dyDescent="0.35">
      <c r="O442" s="1"/>
    </row>
    <row r="443" spans="15:15" ht="14.25" customHeight="1" x14ac:dyDescent="0.35">
      <c r="O443" s="1"/>
    </row>
    <row r="444" spans="15:15" ht="14.25" customHeight="1" x14ac:dyDescent="0.35">
      <c r="O444" s="1"/>
    </row>
    <row r="445" spans="15:15" ht="14.25" customHeight="1" x14ac:dyDescent="0.35">
      <c r="O445" s="1"/>
    </row>
    <row r="446" spans="15:15" ht="14.25" customHeight="1" x14ac:dyDescent="0.35">
      <c r="O446" s="1"/>
    </row>
    <row r="447" spans="15:15" ht="14.25" customHeight="1" x14ac:dyDescent="0.35">
      <c r="O447" s="1"/>
    </row>
    <row r="448" spans="15:15" ht="14.25" customHeight="1" x14ac:dyDescent="0.35">
      <c r="O448" s="1"/>
    </row>
    <row r="449" spans="15:15" ht="14.25" customHeight="1" x14ac:dyDescent="0.35">
      <c r="O449" s="1"/>
    </row>
    <row r="450" spans="15:15" ht="14.25" customHeight="1" x14ac:dyDescent="0.35">
      <c r="O450" s="1"/>
    </row>
    <row r="451" spans="15:15" ht="14.25" customHeight="1" x14ac:dyDescent="0.35">
      <c r="O451" s="1"/>
    </row>
    <row r="452" spans="15:15" ht="14.25" customHeight="1" x14ac:dyDescent="0.35">
      <c r="O452" s="1"/>
    </row>
    <row r="453" spans="15:15" ht="14.25" customHeight="1" x14ac:dyDescent="0.35">
      <c r="O453" s="1"/>
    </row>
    <row r="454" spans="15:15" ht="14.25" customHeight="1" x14ac:dyDescent="0.35">
      <c r="O454" s="1"/>
    </row>
    <row r="455" spans="15:15" ht="14.25" customHeight="1" x14ac:dyDescent="0.35">
      <c r="O455" s="1"/>
    </row>
    <row r="456" spans="15:15" ht="14.25" customHeight="1" x14ac:dyDescent="0.35">
      <c r="O456" s="1"/>
    </row>
    <row r="457" spans="15:15" ht="14.25" customHeight="1" x14ac:dyDescent="0.35">
      <c r="O457" s="1"/>
    </row>
    <row r="458" spans="15:15" ht="14.25" customHeight="1" x14ac:dyDescent="0.35">
      <c r="O458" s="1"/>
    </row>
    <row r="459" spans="15:15" ht="14.25" customHeight="1" x14ac:dyDescent="0.35">
      <c r="O459" s="1"/>
    </row>
    <row r="460" spans="15:15" ht="14.25" customHeight="1" x14ac:dyDescent="0.35">
      <c r="O460" s="1"/>
    </row>
    <row r="461" spans="15:15" ht="14.25" customHeight="1" x14ac:dyDescent="0.35">
      <c r="O461" s="1"/>
    </row>
    <row r="462" spans="15:15" ht="14.25" customHeight="1" x14ac:dyDescent="0.35">
      <c r="O462" s="1"/>
    </row>
    <row r="463" spans="15:15" ht="14.25" customHeight="1" x14ac:dyDescent="0.35">
      <c r="O463" s="1"/>
    </row>
    <row r="464" spans="15:15" ht="14.25" customHeight="1" x14ac:dyDescent="0.35">
      <c r="O464" s="1"/>
    </row>
    <row r="465" spans="15:15" ht="14.25" customHeight="1" x14ac:dyDescent="0.35">
      <c r="O465" s="1"/>
    </row>
    <row r="466" spans="15:15" ht="14.25" customHeight="1" x14ac:dyDescent="0.35">
      <c r="O466" s="1"/>
    </row>
    <row r="467" spans="15:15" ht="14.25" customHeight="1" x14ac:dyDescent="0.35">
      <c r="O467" s="1"/>
    </row>
    <row r="468" spans="15:15" ht="14.25" customHeight="1" x14ac:dyDescent="0.35">
      <c r="O468" s="1"/>
    </row>
    <row r="469" spans="15:15" ht="14.25" customHeight="1" x14ac:dyDescent="0.35">
      <c r="O469" s="1"/>
    </row>
    <row r="470" spans="15:15" ht="14.25" customHeight="1" x14ac:dyDescent="0.35">
      <c r="O470" s="1"/>
    </row>
    <row r="471" spans="15:15" ht="14.25" customHeight="1" x14ac:dyDescent="0.35">
      <c r="O471" s="1"/>
    </row>
    <row r="472" spans="15:15" ht="14.25" customHeight="1" x14ac:dyDescent="0.35">
      <c r="O472" s="1"/>
    </row>
    <row r="473" spans="15:15" ht="14.25" customHeight="1" x14ac:dyDescent="0.35">
      <c r="O473" s="1"/>
    </row>
    <row r="474" spans="15:15" ht="14.25" customHeight="1" x14ac:dyDescent="0.35">
      <c r="O474" s="1"/>
    </row>
    <row r="475" spans="15:15" ht="14.25" customHeight="1" x14ac:dyDescent="0.35">
      <c r="O475" s="1"/>
    </row>
    <row r="476" spans="15:15" ht="14.25" customHeight="1" x14ac:dyDescent="0.35">
      <c r="O476" s="1"/>
    </row>
    <row r="477" spans="15:15" ht="14.25" customHeight="1" x14ac:dyDescent="0.35">
      <c r="O477" s="1"/>
    </row>
    <row r="478" spans="15:15" ht="14.25" customHeight="1" x14ac:dyDescent="0.35">
      <c r="O478" s="1"/>
    </row>
    <row r="479" spans="15:15" ht="14.25" customHeight="1" x14ac:dyDescent="0.35">
      <c r="O479" s="1"/>
    </row>
    <row r="480" spans="15:15" ht="14.25" customHeight="1" x14ac:dyDescent="0.35">
      <c r="O480" s="1"/>
    </row>
    <row r="481" spans="15:15" ht="14.25" customHeight="1" x14ac:dyDescent="0.35">
      <c r="O481" s="1"/>
    </row>
    <row r="482" spans="15:15" ht="14.25" customHeight="1" x14ac:dyDescent="0.35">
      <c r="O482" s="1"/>
    </row>
    <row r="483" spans="15:15" ht="14.25" customHeight="1" x14ac:dyDescent="0.35">
      <c r="O483" s="1"/>
    </row>
    <row r="484" spans="15:15" ht="14.25" customHeight="1" x14ac:dyDescent="0.35">
      <c r="O484" s="1"/>
    </row>
    <row r="485" spans="15:15" ht="14.25" customHeight="1" x14ac:dyDescent="0.35">
      <c r="O485" s="1"/>
    </row>
    <row r="486" spans="15:15" ht="14.25" customHeight="1" x14ac:dyDescent="0.35">
      <c r="O486" s="1"/>
    </row>
    <row r="487" spans="15:15" ht="14.25" customHeight="1" x14ac:dyDescent="0.35">
      <c r="O487" s="1"/>
    </row>
    <row r="488" spans="15:15" ht="14.25" customHeight="1" x14ac:dyDescent="0.35">
      <c r="O488" s="1"/>
    </row>
    <row r="489" spans="15:15" ht="14.25" customHeight="1" x14ac:dyDescent="0.35">
      <c r="O489" s="1"/>
    </row>
    <row r="490" spans="15:15" ht="14.25" customHeight="1" x14ac:dyDescent="0.35">
      <c r="O490" s="1"/>
    </row>
    <row r="491" spans="15:15" ht="14.25" customHeight="1" x14ac:dyDescent="0.35">
      <c r="O491" s="1"/>
    </row>
    <row r="492" spans="15:15" ht="14.25" customHeight="1" x14ac:dyDescent="0.35">
      <c r="O492" s="1"/>
    </row>
    <row r="493" spans="15:15" ht="14.25" customHeight="1" x14ac:dyDescent="0.35">
      <c r="O493" s="1"/>
    </row>
    <row r="494" spans="15:15" ht="14.25" customHeight="1" x14ac:dyDescent="0.35">
      <c r="O494" s="1"/>
    </row>
    <row r="495" spans="15:15" ht="14.25" customHeight="1" x14ac:dyDescent="0.35">
      <c r="O495" s="1"/>
    </row>
    <row r="496" spans="15:15" ht="14.25" customHeight="1" x14ac:dyDescent="0.35">
      <c r="O496" s="1"/>
    </row>
    <row r="497" spans="15:15" ht="14.25" customHeight="1" x14ac:dyDescent="0.35">
      <c r="O497" s="1"/>
    </row>
    <row r="498" spans="15:15" ht="14.25" customHeight="1" x14ac:dyDescent="0.35">
      <c r="O498" s="1"/>
    </row>
    <row r="499" spans="15:15" ht="14.25" customHeight="1" x14ac:dyDescent="0.35">
      <c r="O499" s="1"/>
    </row>
    <row r="500" spans="15:15" ht="14.25" customHeight="1" x14ac:dyDescent="0.35">
      <c r="O500" s="1"/>
    </row>
    <row r="501" spans="15:15" ht="14.25" customHeight="1" x14ac:dyDescent="0.35">
      <c r="O501" s="1"/>
    </row>
    <row r="502" spans="15:15" ht="14.25" customHeight="1" x14ac:dyDescent="0.35">
      <c r="O502" s="1"/>
    </row>
    <row r="503" spans="15:15" ht="14.25" customHeight="1" x14ac:dyDescent="0.35">
      <c r="O503" s="1"/>
    </row>
    <row r="504" spans="15:15" ht="14.25" customHeight="1" x14ac:dyDescent="0.35">
      <c r="O504" s="1"/>
    </row>
    <row r="505" spans="15:15" ht="14.25" customHeight="1" x14ac:dyDescent="0.35">
      <c r="O505" s="1"/>
    </row>
    <row r="506" spans="15:15" ht="14.25" customHeight="1" x14ac:dyDescent="0.35">
      <c r="O506" s="1"/>
    </row>
    <row r="507" spans="15:15" ht="14.25" customHeight="1" x14ac:dyDescent="0.35">
      <c r="O507" s="1"/>
    </row>
    <row r="508" spans="15:15" ht="14.25" customHeight="1" x14ac:dyDescent="0.35">
      <c r="O508" s="1"/>
    </row>
    <row r="509" spans="15:15" ht="14.25" customHeight="1" x14ac:dyDescent="0.35">
      <c r="O509" s="1"/>
    </row>
    <row r="510" spans="15:15" ht="14.25" customHeight="1" x14ac:dyDescent="0.35">
      <c r="O510" s="1"/>
    </row>
    <row r="511" spans="15:15" ht="14.25" customHeight="1" x14ac:dyDescent="0.35">
      <c r="O511" s="1"/>
    </row>
    <row r="512" spans="15:15" ht="14.25" customHeight="1" x14ac:dyDescent="0.35">
      <c r="O512" s="1"/>
    </row>
    <row r="513" spans="15:15" ht="14.25" customHeight="1" x14ac:dyDescent="0.35">
      <c r="O513" s="1"/>
    </row>
    <row r="514" spans="15:15" ht="14.25" customHeight="1" x14ac:dyDescent="0.35">
      <c r="O514" s="1"/>
    </row>
    <row r="515" spans="15:15" ht="14.25" customHeight="1" x14ac:dyDescent="0.35">
      <c r="O515" s="1"/>
    </row>
    <row r="516" spans="15:15" ht="14.25" customHeight="1" x14ac:dyDescent="0.35">
      <c r="O516" s="1"/>
    </row>
    <row r="517" spans="15:15" ht="14.25" customHeight="1" x14ac:dyDescent="0.35">
      <c r="O517" s="1"/>
    </row>
    <row r="518" spans="15:15" ht="14.25" customHeight="1" x14ac:dyDescent="0.35">
      <c r="O518" s="1"/>
    </row>
    <row r="519" spans="15:15" ht="14.25" customHeight="1" x14ac:dyDescent="0.35">
      <c r="O519" s="1"/>
    </row>
    <row r="520" spans="15:15" ht="14.25" customHeight="1" x14ac:dyDescent="0.35">
      <c r="O520" s="1"/>
    </row>
    <row r="521" spans="15:15" ht="14.25" customHeight="1" x14ac:dyDescent="0.35">
      <c r="O521" s="1"/>
    </row>
    <row r="522" spans="15:15" ht="14.25" customHeight="1" x14ac:dyDescent="0.35">
      <c r="O522" s="1"/>
    </row>
    <row r="523" spans="15:15" ht="14.25" customHeight="1" x14ac:dyDescent="0.35">
      <c r="O523" s="1"/>
    </row>
    <row r="524" spans="15:15" ht="14.25" customHeight="1" x14ac:dyDescent="0.35">
      <c r="O524" s="1"/>
    </row>
    <row r="525" spans="15:15" ht="14.25" customHeight="1" x14ac:dyDescent="0.35">
      <c r="O525" s="1"/>
    </row>
    <row r="526" spans="15:15" ht="14.25" customHeight="1" x14ac:dyDescent="0.35">
      <c r="O526" s="1"/>
    </row>
    <row r="527" spans="15:15" ht="14.25" customHeight="1" x14ac:dyDescent="0.35">
      <c r="O527" s="1"/>
    </row>
    <row r="528" spans="15:15" ht="14.25" customHeight="1" x14ac:dyDescent="0.35">
      <c r="O528" s="1"/>
    </row>
    <row r="529" spans="15:15" ht="14.25" customHeight="1" x14ac:dyDescent="0.35">
      <c r="O529" s="1"/>
    </row>
    <row r="530" spans="15:15" ht="14.25" customHeight="1" x14ac:dyDescent="0.35">
      <c r="O530" s="1"/>
    </row>
    <row r="531" spans="15:15" ht="14.25" customHeight="1" x14ac:dyDescent="0.35">
      <c r="O531" s="1"/>
    </row>
    <row r="532" spans="15:15" ht="14.25" customHeight="1" x14ac:dyDescent="0.35">
      <c r="O532" s="1"/>
    </row>
    <row r="533" spans="15:15" ht="14.25" customHeight="1" x14ac:dyDescent="0.35">
      <c r="O533" s="1"/>
    </row>
    <row r="534" spans="15:15" ht="14.25" customHeight="1" x14ac:dyDescent="0.35">
      <c r="O534" s="1"/>
    </row>
    <row r="535" spans="15:15" ht="14.25" customHeight="1" x14ac:dyDescent="0.35">
      <c r="O535" s="1"/>
    </row>
    <row r="536" spans="15:15" ht="14.25" customHeight="1" x14ac:dyDescent="0.35">
      <c r="O536" s="1"/>
    </row>
    <row r="537" spans="15:15" ht="14.25" customHeight="1" x14ac:dyDescent="0.35">
      <c r="O537" s="1"/>
    </row>
    <row r="538" spans="15:15" ht="14.25" customHeight="1" x14ac:dyDescent="0.35">
      <c r="O538" s="1"/>
    </row>
    <row r="539" spans="15:15" ht="14.25" customHeight="1" x14ac:dyDescent="0.35">
      <c r="O539" s="1"/>
    </row>
    <row r="540" spans="15:15" ht="14.25" customHeight="1" x14ac:dyDescent="0.35">
      <c r="O540" s="1"/>
    </row>
    <row r="541" spans="15:15" ht="14.25" customHeight="1" x14ac:dyDescent="0.35">
      <c r="O541" s="1"/>
    </row>
    <row r="542" spans="15:15" ht="14.25" customHeight="1" x14ac:dyDescent="0.35">
      <c r="O542" s="1"/>
    </row>
    <row r="543" spans="15:15" ht="14.25" customHeight="1" x14ac:dyDescent="0.35">
      <c r="O543" s="1"/>
    </row>
    <row r="544" spans="15:15" ht="14.25" customHeight="1" x14ac:dyDescent="0.35">
      <c r="O544" s="1"/>
    </row>
    <row r="545" spans="15:15" ht="14.25" customHeight="1" x14ac:dyDescent="0.35">
      <c r="O545" s="1"/>
    </row>
    <row r="546" spans="15:15" ht="14.25" customHeight="1" x14ac:dyDescent="0.35">
      <c r="O546" s="1"/>
    </row>
    <row r="547" spans="15:15" ht="14.25" customHeight="1" x14ac:dyDescent="0.35">
      <c r="O547" s="1"/>
    </row>
    <row r="548" spans="15:15" ht="14.25" customHeight="1" x14ac:dyDescent="0.35">
      <c r="O548" s="1"/>
    </row>
    <row r="549" spans="15:15" ht="14.25" customHeight="1" x14ac:dyDescent="0.35">
      <c r="O549" s="1"/>
    </row>
    <row r="550" spans="15:15" ht="14.25" customHeight="1" x14ac:dyDescent="0.35">
      <c r="O550" s="1"/>
    </row>
    <row r="551" spans="15:15" ht="14.25" customHeight="1" x14ac:dyDescent="0.35">
      <c r="O551" s="1"/>
    </row>
    <row r="552" spans="15:15" ht="14.25" customHeight="1" x14ac:dyDescent="0.35">
      <c r="O552" s="1"/>
    </row>
    <row r="553" spans="15:15" ht="14.25" customHeight="1" x14ac:dyDescent="0.35">
      <c r="O553" s="1"/>
    </row>
    <row r="554" spans="15:15" ht="14.25" customHeight="1" x14ac:dyDescent="0.35">
      <c r="O554" s="1"/>
    </row>
    <row r="555" spans="15:15" ht="14.25" customHeight="1" x14ac:dyDescent="0.35">
      <c r="O555" s="1"/>
    </row>
    <row r="556" spans="15:15" ht="14.25" customHeight="1" x14ac:dyDescent="0.35">
      <c r="O556" s="1"/>
    </row>
    <row r="557" spans="15:15" ht="14.25" customHeight="1" x14ac:dyDescent="0.35">
      <c r="O557" s="1"/>
    </row>
    <row r="558" spans="15:15" ht="14.25" customHeight="1" x14ac:dyDescent="0.35">
      <c r="O558" s="1"/>
    </row>
    <row r="559" spans="15:15" ht="14.25" customHeight="1" x14ac:dyDescent="0.35">
      <c r="O559" s="1"/>
    </row>
    <row r="560" spans="15:15" ht="14.25" customHeight="1" x14ac:dyDescent="0.35">
      <c r="O560" s="1"/>
    </row>
    <row r="561" spans="15:15" ht="14.25" customHeight="1" x14ac:dyDescent="0.35">
      <c r="O561" s="1"/>
    </row>
    <row r="562" spans="15:15" ht="14.25" customHeight="1" x14ac:dyDescent="0.35">
      <c r="O562" s="1"/>
    </row>
    <row r="563" spans="15:15" ht="14.25" customHeight="1" x14ac:dyDescent="0.35">
      <c r="O563" s="1"/>
    </row>
    <row r="564" spans="15:15" ht="14.25" customHeight="1" x14ac:dyDescent="0.35">
      <c r="O564" s="1"/>
    </row>
    <row r="565" spans="15:15" ht="14.25" customHeight="1" x14ac:dyDescent="0.35">
      <c r="O565" s="1"/>
    </row>
    <row r="566" spans="15:15" ht="14.25" customHeight="1" x14ac:dyDescent="0.35">
      <c r="O566" s="1"/>
    </row>
    <row r="567" spans="15:15" ht="14.25" customHeight="1" x14ac:dyDescent="0.35">
      <c r="O567" s="1"/>
    </row>
    <row r="568" spans="15:15" ht="14.25" customHeight="1" x14ac:dyDescent="0.35">
      <c r="O568" s="1"/>
    </row>
    <row r="569" spans="15:15" ht="14.25" customHeight="1" x14ac:dyDescent="0.35">
      <c r="O569" s="1"/>
    </row>
    <row r="570" spans="15:15" ht="14.25" customHeight="1" x14ac:dyDescent="0.35">
      <c r="O570" s="1"/>
    </row>
    <row r="571" spans="15:15" ht="14.25" customHeight="1" x14ac:dyDescent="0.35">
      <c r="O571" s="1"/>
    </row>
    <row r="572" spans="15:15" ht="14.25" customHeight="1" x14ac:dyDescent="0.35">
      <c r="O572" s="1"/>
    </row>
    <row r="573" spans="15:15" ht="14.25" customHeight="1" x14ac:dyDescent="0.35">
      <c r="O573" s="1"/>
    </row>
    <row r="574" spans="15:15" ht="14.25" customHeight="1" x14ac:dyDescent="0.35">
      <c r="O574" s="1"/>
    </row>
    <row r="575" spans="15:15" ht="14.25" customHeight="1" x14ac:dyDescent="0.35">
      <c r="O575" s="1"/>
    </row>
    <row r="576" spans="15:15" ht="14.25" customHeight="1" x14ac:dyDescent="0.35">
      <c r="O576" s="1"/>
    </row>
    <row r="577" spans="15:15" ht="14.25" customHeight="1" x14ac:dyDescent="0.35">
      <c r="O577" s="1"/>
    </row>
    <row r="578" spans="15:15" ht="14.25" customHeight="1" x14ac:dyDescent="0.35">
      <c r="O578" s="1"/>
    </row>
    <row r="579" spans="15:15" ht="14.25" customHeight="1" x14ac:dyDescent="0.35">
      <c r="O579" s="1"/>
    </row>
    <row r="580" spans="15:15" ht="14.25" customHeight="1" x14ac:dyDescent="0.35">
      <c r="O580" s="1"/>
    </row>
    <row r="581" spans="15:15" ht="14.25" customHeight="1" x14ac:dyDescent="0.35">
      <c r="O581" s="1"/>
    </row>
    <row r="582" spans="15:15" ht="14.25" customHeight="1" x14ac:dyDescent="0.35">
      <c r="O582" s="1"/>
    </row>
    <row r="583" spans="15:15" ht="14.25" customHeight="1" x14ac:dyDescent="0.35">
      <c r="O583" s="1"/>
    </row>
    <row r="584" spans="15:15" ht="14.25" customHeight="1" x14ac:dyDescent="0.35">
      <c r="O584" s="1"/>
    </row>
    <row r="585" spans="15:15" ht="14.25" customHeight="1" x14ac:dyDescent="0.35">
      <c r="O585" s="1"/>
    </row>
    <row r="586" spans="15:15" ht="14.25" customHeight="1" x14ac:dyDescent="0.35">
      <c r="O586" s="1"/>
    </row>
    <row r="587" spans="15:15" ht="14.25" customHeight="1" x14ac:dyDescent="0.35">
      <c r="O587" s="1"/>
    </row>
    <row r="588" spans="15:15" ht="14.25" customHeight="1" x14ac:dyDescent="0.35">
      <c r="O588" s="1"/>
    </row>
    <row r="589" spans="15:15" ht="14.25" customHeight="1" x14ac:dyDescent="0.35">
      <c r="O589" s="1"/>
    </row>
    <row r="590" spans="15:15" ht="14.25" customHeight="1" x14ac:dyDescent="0.35">
      <c r="O590" s="1"/>
    </row>
    <row r="591" spans="15:15" ht="14.25" customHeight="1" x14ac:dyDescent="0.35">
      <c r="O591" s="1"/>
    </row>
    <row r="592" spans="15:15" ht="14.25" customHeight="1" x14ac:dyDescent="0.35">
      <c r="O592" s="1"/>
    </row>
    <row r="593" spans="15:15" ht="14.25" customHeight="1" x14ac:dyDescent="0.35">
      <c r="O593" s="1"/>
    </row>
    <row r="594" spans="15:15" ht="14.25" customHeight="1" x14ac:dyDescent="0.35">
      <c r="O594" s="1"/>
    </row>
    <row r="595" spans="15:15" ht="14.25" customHeight="1" x14ac:dyDescent="0.35">
      <c r="O595" s="1"/>
    </row>
    <row r="596" spans="15:15" ht="14.25" customHeight="1" x14ac:dyDescent="0.35">
      <c r="O596" s="1"/>
    </row>
    <row r="597" spans="15:15" ht="14.25" customHeight="1" x14ac:dyDescent="0.35">
      <c r="O597" s="1"/>
    </row>
    <row r="598" spans="15:15" ht="14.25" customHeight="1" x14ac:dyDescent="0.35">
      <c r="O598" s="1"/>
    </row>
    <row r="599" spans="15:15" ht="14.25" customHeight="1" x14ac:dyDescent="0.35">
      <c r="O599" s="1"/>
    </row>
    <row r="600" spans="15:15" ht="14.25" customHeight="1" x14ac:dyDescent="0.35">
      <c r="O600" s="1"/>
    </row>
    <row r="601" spans="15:15" ht="14.25" customHeight="1" x14ac:dyDescent="0.35">
      <c r="O601" s="1"/>
    </row>
    <row r="602" spans="15:15" ht="14.25" customHeight="1" x14ac:dyDescent="0.35">
      <c r="O602" s="1"/>
    </row>
    <row r="603" spans="15:15" ht="14.25" customHeight="1" x14ac:dyDescent="0.35">
      <c r="O603" s="1"/>
    </row>
    <row r="604" spans="15:15" ht="14.25" customHeight="1" x14ac:dyDescent="0.35">
      <c r="O604" s="1"/>
    </row>
    <row r="605" spans="15:15" ht="14.25" customHeight="1" x14ac:dyDescent="0.35">
      <c r="O605" s="1"/>
    </row>
    <row r="606" spans="15:15" ht="14.25" customHeight="1" x14ac:dyDescent="0.35">
      <c r="O606" s="1"/>
    </row>
    <row r="607" spans="15:15" ht="14.25" customHeight="1" x14ac:dyDescent="0.35">
      <c r="O607" s="1"/>
    </row>
    <row r="608" spans="15:15" ht="14.25" customHeight="1" x14ac:dyDescent="0.35">
      <c r="O608" s="1"/>
    </row>
    <row r="609" spans="15:15" ht="14.25" customHeight="1" x14ac:dyDescent="0.35">
      <c r="O609" s="1"/>
    </row>
    <row r="610" spans="15:15" ht="14.25" customHeight="1" x14ac:dyDescent="0.35">
      <c r="O610" s="1"/>
    </row>
    <row r="611" spans="15:15" ht="14.25" customHeight="1" x14ac:dyDescent="0.35">
      <c r="O611" s="1"/>
    </row>
    <row r="612" spans="15:15" ht="14.25" customHeight="1" x14ac:dyDescent="0.35">
      <c r="O612" s="1"/>
    </row>
    <row r="613" spans="15:15" ht="14.25" customHeight="1" x14ac:dyDescent="0.35">
      <c r="O613" s="1"/>
    </row>
    <row r="614" spans="15:15" ht="14.25" customHeight="1" x14ac:dyDescent="0.35">
      <c r="O614" s="1"/>
    </row>
    <row r="615" spans="15:15" ht="14.25" customHeight="1" x14ac:dyDescent="0.35">
      <c r="O615" s="1"/>
    </row>
    <row r="616" spans="15:15" ht="14.25" customHeight="1" x14ac:dyDescent="0.35">
      <c r="O616" s="1"/>
    </row>
    <row r="617" spans="15:15" ht="14.25" customHeight="1" x14ac:dyDescent="0.35">
      <c r="O617" s="1"/>
    </row>
    <row r="618" spans="15:15" ht="14.25" customHeight="1" x14ac:dyDescent="0.35">
      <c r="O618" s="1"/>
    </row>
    <row r="619" spans="15:15" ht="14.25" customHeight="1" x14ac:dyDescent="0.35">
      <c r="O619" s="1"/>
    </row>
    <row r="620" spans="15:15" ht="14.25" customHeight="1" x14ac:dyDescent="0.35">
      <c r="O620" s="1"/>
    </row>
    <row r="621" spans="15:15" ht="14.25" customHeight="1" x14ac:dyDescent="0.35">
      <c r="O621" s="1"/>
    </row>
    <row r="622" spans="15:15" ht="14.25" customHeight="1" x14ac:dyDescent="0.35">
      <c r="O622" s="1"/>
    </row>
    <row r="623" spans="15:15" ht="14.25" customHeight="1" x14ac:dyDescent="0.35">
      <c r="O623" s="1"/>
    </row>
    <row r="624" spans="15:15" ht="14.25" customHeight="1" x14ac:dyDescent="0.35">
      <c r="O624" s="1"/>
    </row>
    <row r="625" spans="15:15" ht="14.25" customHeight="1" x14ac:dyDescent="0.35">
      <c r="O625" s="1"/>
    </row>
    <row r="626" spans="15:15" ht="14.25" customHeight="1" x14ac:dyDescent="0.35">
      <c r="O626" s="1"/>
    </row>
    <row r="627" spans="15:15" ht="14.25" customHeight="1" x14ac:dyDescent="0.35">
      <c r="O627" s="1"/>
    </row>
    <row r="628" spans="15:15" ht="14.25" customHeight="1" x14ac:dyDescent="0.35">
      <c r="O628" s="1"/>
    </row>
    <row r="629" spans="15:15" ht="14.25" customHeight="1" x14ac:dyDescent="0.35">
      <c r="O629" s="1"/>
    </row>
    <row r="630" spans="15:15" ht="14.25" customHeight="1" x14ac:dyDescent="0.35">
      <c r="O630" s="1"/>
    </row>
    <row r="631" spans="15:15" ht="14.25" customHeight="1" x14ac:dyDescent="0.35">
      <c r="O631" s="1"/>
    </row>
    <row r="632" spans="15:15" ht="14.25" customHeight="1" x14ac:dyDescent="0.35">
      <c r="O632" s="1"/>
    </row>
    <row r="633" spans="15:15" ht="14.25" customHeight="1" x14ac:dyDescent="0.35">
      <c r="O633" s="1"/>
    </row>
    <row r="634" spans="15:15" ht="14.25" customHeight="1" x14ac:dyDescent="0.35">
      <c r="O634" s="1"/>
    </row>
    <row r="635" spans="15:15" ht="14.25" customHeight="1" x14ac:dyDescent="0.35">
      <c r="O635" s="1"/>
    </row>
    <row r="636" spans="15:15" ht="14.25" customHeight="1" x14ac:dyDescent="0.35">
      <c r="O636" s="1"/>
    </row>
    <row r="637" spans="15:15" ht="14.25" customHeight="1" x14ac:dyDescent="0.35">
      <c r="O637" s="1"/>
    </row>
    <row r="638" spans="15:15" ht="14.25" customHeight="1" x14ac:dyDescent="0.35">
      <c r="O638" s="1"/>
    </row>
    <row r="639" spans="15:15" ht="14.25" customHeight="1" x14ac:dyDescent="0.35">
      <c r="O639" s="1"/>
    </row>
    <row r="640" spans="15:15" ht="14.25" customHeight="1" x14ac:dyDescent="0.35">
      <c r="O640" s="1"/>
    </row>
    <row r="641" spans="15:15" ht="14.25" customHeight="1" x14ac:dyDescent="0.35">
      <c r="O641" s="1"/>
    </row>
    <row r="642" spans="15:15" ht="14.25" customHeight="1" x14ac:dyDescent="0.35">
      <c r="O642" s="1"/>
    </row>
    <row r="643" spans="15:15" ht="14.25" customHeight="1" x14ac:dyDescent="0.35">
      <c r="O643" s="1"/>
    </row>
    <row r="644" spans="15:15" ht="14.25" customHeight="1" x14ac:dyDescent="0.35">
      <c r="O644" s="1"/>
    </row>
    <row r="645" spans="15:15" ht="14.25" customHeight="1" x14ac:dyDescent="0.35">
      <c r="O645" s="1"/>
    </row>
    <row r="646" spans="15:15" ht="14.25" customHeight="1" x14ac:dyDescent="0.35">
      <c r="O646" s="1"/>
    </row>
    <row r="647" spans="15:15" ht="14.25" customHeight="1" x14ac:dyDescent="0.35">
      <c r="O647" s="1"/>
    </row>
    <row r="648" spans="15:15" ht="14.25" customHeight="1" x14ac:dyDescent="0.35">
      <c r="O648" s="1"/>
    </row>
    <row r="649" spans="15:15" ht="14.25" customHeight="1" x14ac:dyDescent="0.35">
      <c r="O649" s="1"/>
    </row>
    <row r="650" spans="15:15" ht="14.25" customHeight="1" x14ac:dyDescent="0.35">
      <c r="O650" s="1"/>
    </row>
    <row r="651" spans="15:15" ht="14.25" customHeight="1" x14ac:dyDescent="0.35">
      <c r="O651" s="1"/>
    </row>
    <row r="652" spans="15:15" ht="14.25" customHeight="1" x14ac:dyDescent="0.35">
      <c r="O652" s="1"/>
    </row>
    <row r="653" spans="15:15" ht="14.25" customHeight="1" x14ac:dyDescent="0.35">
      <c r="O653" s="1"/>
    </row>
    <row r="654" spans="15:15" ht="14.25" customHeight="1" x14ac:dyDescent="0.35">
      <c r="O654" s="1"/>
    </row>
    <row r="655" spans="15:15" ht="14.25" customHeight="1" x14ac:dyDescent="0.35">
      <c r="O655" s="1"/>
    </row>
    <row r="656" spans="15:15" ht="14.25" customHeight="1" x14ac:dyDescent="0.35">
      <c r="O656" s="1"/>
    </row>
    <row r="657" spans="15:15" ht="14.25" customHeight="1" x14ac:dyDescent="0.35">
      <c r="O657" s="1"/>
    </row>
    <row r="658" spans="15:15" ht="14.25" customHeight="1" x14ac:dyDescent="0.35">
      <c r="O658" s="1"/>
    </row>
    <row r="659" spans="15:15" ht="14.25" customHeight="1" x14ac:dyDescent="0.35">
      <c r="O659" s="1"/>
    </row>
    <row r="660" spans="15:15" ht="14.25" customHeight="1" x14ac:dyDescent="0.35">
      <c r="O660" s="1"/>
    </row>
    <row r="661" spans="15:15" ht="14.25" customHeight="1" x14ac:dyDescent="0.35">
      <c r="O661" s="1"/>
    </row>
    <row r="662" spans="15:15" ht="14.25" customHeight="1" x14ac:dyDescent="0.35">
      <c r="O662" s="1"/>
    </row>
    <row r="663" spans="15:15" ht="14.25" customHeight="1" x14ac:dyDescent="0.35">
      <c r="O663" s="1"/>
    </row>
    <row r="664" spans="15:15" ht="14.25" customHeight="1" x14ac:dyDescent="0.35">
      <c r="O664" s="1"/>
    </row>
    <row r="665" spans="15:15" ht="14.25" customHeight="1" x14ac:dyDescent="0.35">
      <c r="O665" s="1"/>
    </row>
    <row r="666" spans="15:15" ht="14.25" customHeight="1" x14ac:dyDescent="0.35">
      <c r="O666" s="1"/>
    </row>
    <row r="667" spans="15:15" ht="14.25" customHeight="1" x14ac:dyDescent="0.35">
      <c r="O667" s="1"/>
    </row>
    <row r="668" spans="15:15" ht="14.25" customHeight="1" x14ac:dyDescent="0.35">
      <c r="O668" s="1"/>
    </row>
    <row r="669" spans="15:15" ht="14.25" customHeight="1" x14ac:dyDescent="0.35">
      <c r="O669" s="1"/>
    </row>
    <row r="670" spans="15:15" ht="14.25" customHeight="1" x14ac:dyDescent="0.35">
      <c r="O670" s="1"/>
    </row>
    <row r="671" spans="15:15" ht="14.25" customHeight="1" x14ac:dyDescent="0.35">
      <c r="O671" s="1"/>
    </row>
    <row r="672" spans="15:15" ht="14.25" customHeight="1" x14ac:dyDescent="0.35">
      <c r="O672" s="1"/>
    </row>
    <row r="673" spans="15:15" ht="14.25" customHeight="1" x14ac:dyDescent="0.35">
      <c r="O673" s="1"/>
    </row>
    <row r="674" spans="15:15" ht="14.25" customHeight="1" x14ac:dyDescent="0.35">
      <c r="O674" s="1"/>
    </row>
    <row r="675" spans="15:15" ht="14.25" customHeight="1" x14ac:dyDescent="0.35">
      <c r="O675" s="1"/>
    </row>
    <row r="676" spans="15:15" ht="14.25" customHeight="1" x14ac:dyDescent="0.35">
      <c r="O676" s="1"/>
    </row>
    <row r="677" spans="15:15" ht="14.25" customHeight="1" x14ac:dyDescent="0.35">
      <c r="O677" s="1"/>
    </row>
    <row r="678" spans="15:15" ht="14.25" customHeight="1" x14ac:dyDescent="0.35">
      <c r="O678" s="1"/>
    </row>
    <row r="679" spans="15:15" ht="14.25" customHeight="1" x14ac:dyDescent="0.35">
      <c r="O679" s="1"/>
    </row>
    <row r="680" spans="15:15" ht="14.25" customHeight="1" x14ac:dyDescent="0.35">
      <c r="O680" s="1"/>
    </row>
    <row r="681" spans="15:15" ht="14.25" customHeight="1" x14ac:dyDescent="0.35">
      <c r="O681" s="1"/>
    </row>
    <row r="682" spans="15:15" ht="14.25" customHeight="1" x14ac:dyDescent="0.35">
      <c r="O682" s="1"/>
    </row>
    <row r="683" spans="15:15" ht="14.25" customHeight="1" x14ac:dyDescent="0.35">
      <c r="O683" s="1"/>
    </row>
    <row r="684" spans="15:15" ht="14.25" customHeight="1" x14ac:dyDescent="0.35">
      <c r="O684" s="1"/>
    </row>
    <row r="685" spans="15:15" ht="14.25" customHeight="1" x14ac:dyDescent="0.35">
      <c r="O685" s="1"/>
    </row>
    <row r="686" spans="15:15" ht="14.25" customHeight="1" x14ac:dyDescent="0.35">
      <c r="O686" s="1"/>
    </row>
    <row r="687" spans="15:15" ht="14.25" customHeight="1" x14ac:dyDescent="0.35">
      <c r="O687" s="1"/>
    </row>
    <row r="688" spans="15:15" ht="14.25" customHeight="1" x14ac:dyDescent="0.35">
      <c r="O688" s="1"/>
    </row>
    <row r="689" spans="15:15" ht="14.25" customHeight="1" x14ac:dyDescent="0.35">
      <c r="O689" s="1"/>
    </row>
    <row r="690" spans="15:15" ht="14.25" customHeight="1" x14ac:dyDescent="0.35">
      <c r="O690" s="1"/>
    </row>
    <row r="691" spans="15:15" ht="14.25" customHeight="1" x14ac:dyDescent="0.35">
      <c r="O691" s="1"/>
    </row>
    <row r="692" spans="15:15" ht="14.25" customHeight="1" x14ac:dyDescent="0.35">
      <c r="O692" s="1"/>
    </row>
    <row r="693" spans="15:15" ht="14.25" customHeight="1" x14ac:dyDescent="0.35">
      <c r="O693" s="1"/>
    </row>
    <row r="694" spans="15:15" ht="14.25" customHeight="1" x14ac:dyDescent="0.35">
      <c r="O694" s="1"/>
    </row>
    <row r="695" spans="15:15" ht="14.25" customHeight="1" x14ac:dyDescent="0.35">
      <c r="O695" s="1"/>
    </row>
    <row r="696" spans="15:15" ht="14.25" customHeight="1" x14ac:dyDescent="0.35">
      <c r="O696" s="1"/>
    </row>
    <row r="697" spans="15:15" ht="14.25" customHeight="1" x14ac:dyDescent="0.35">
      <c r="O697" s="1"/>
    </row>
    <row r="698" spans="15:15" ht="14.25" customHeight="1" x14ac:dyDescent="0.35">
      <c r="O698" s="1"/>
    </row>
    <row r="699" spans="15:15" ht="14.25" customHeight="1" x14ac:dyDescent="0.35">
      <c r="O699" s="1"/>
    </row>
    <row r="700" spans="15:15" ht="14.25" customHeight="1" x14ac:dyDescent="0.35">
      <c r="O700" s="1"/>
    </row>
    <row r="701" spans="15:15" ht="14.25" customHeight="1" x14ac:dyDescent="0.35">
      <c r="O701" s="1"/>
    </row>
    <row r="702" spans="15:15" ht="14.25" customHeight="1" x14ac:dyDescent="0.35">
      <c r="O702" s="1"/>
    </row>
    <row r="703" spans="15:15" ht="14.25" customHeight="1" x14ac:dyDescent="0.35">
      <c r="O703" s="1"/>
    </row>
    <row r="704" spans="15:15" ht="14.25" customHeight="1" x14ac:dyDescent="0.35">
      <c r="O704" s="1"/>
    </row>
    <row r="705" spans="15:15" ht="14.25" customHeight="1" x14ac:dyDescent="0.35">
      <c r="O705" s="1"/>
    </row>
    <row r="706" spans="15:15" ht="14.25" customHeight="1" x14ac:dyDescent="0.35">
      <c r="O706" s="1"/>
    </row>
    <row r="707" spans="15:15" ht="14.25" customHeight="1" x14ac:dyDescent="0.35">
      <c r="O707" s="1"/>
    </row>
    <row r="708" spans="15:15" ht="14.25" customHeight="1" x14ac:dyDescent="0.35">
      <c r="O708" s="1"/>
    </row>
    <row r="709" spans="15:15" ht="14.25" customHeight="1" x14ac:dyDescent="0.35">
      <c r="O709" s="1"/>
    </row>
    <row r="710" spans="15:15" ht="14.25" customHeight="1" x14ac:dyDescent="0.35">
      <c r="O710" s="1"/>
    </row>
    <row r="711" spans="15:15" ht="14.25" customHeight="1" x14ac:dyDescent="0.35">
      <c r="O711" s="1"/>
    </row>
    <row r="712" spans="15:15" ht="14.25" customHeight="1" x14ac:dyDescent="0.35">
      <c r="O712" s="1"/>
    </row>
    <row r="713" spans="15:15" ht="14.25" customHeight="1" x14ac:dyDescent="0.35">
      <c r="O713" s="1"/>
    </row>
    <row r="714" spans="15:15" ht="14.25" customHeight="1" x14ac:dyDescent="0.35">
      <c r="O714" s="1"/>
    </row>
    <row r="715" spans="15:15" ht="14.25" customHeight="1" x14ac:dyDescent="0.35">
      <c r="O715" s="1"/>
    </row>
    <row r="716" spans="15:15" ht="14.25" customHeight="1" x14ac:dyDescent="0.35">
      <c r="O716" s="1"/>
    </row>
    <row r="717" spans="15:15" ht="14.25" customHeight="1" x14ac:dyDescent="0.35">
      <c r="O717" s="1"/>
    </row>
    <row r="718" spans="15:15" ht="14.25" customHeight="1" x14ac:dyDescent="0.35">
      <c r="O718" s="1"/>
    </row>
    <row r="719" spans="15:15" ht="14.25" customHeight="1" x14ac:dyDescent="0.35">
      <c r="O719" s="1"/>
    </row>
    <row r="720" spans="15:15" ht="14.25" customHeight="1" x14ac:dyDescent="0.35">
      <c r="O720" s="1"/>
    </row>
    <row r="721" spans="15:15" ht="14.25" customHeight="1" x14ac:dyDescent="0.35">
      <c r="O721" s="1"/>
    </row>
    <row r="722" spans="15:15" ht="14.25" customHeight="1" x14ac:dyDescent="0.35">
      <c r="O722" s="1"/>
    </row>
    <row r="723" spans="15:15" ht="14.25" customHeight="1" x14ac:dyDescent="0.35">
      <c r="O723" s="1"/>
    </row>
    <row r="724" spans="15:15" ht="14.25" customHeight="1" x14ac:dyDescent="0.35">
      <c r="O724" s="1"/>
    </row>
    <row r="725" spans="15:15" ht="14.25" customHeight="1" x14ac:dyDescent="0.35">
      <c r="O725" s="1"/>
    </row>
    <row r="726" spans="15:15" ht="14.25" customHeight="1" x14ac:dyDescent="0.35">
      <c r="O726" s="1"/>
    </row>
    <row r="727" spans="15:15" ht="14.25" customHeight="1" x14ac:dyDescent="0.35">
      <c r="O727" s="1"/>
    </row>
    <row r="728" spans="15:15" ht="14.25" customHeight="1" x14ac:dyDescent="0.35">
      <c r="O728" s="1"/>
    </row>
    <row r="729" spans="15:15" ht="14.25" customHeight="1" x14ac:dyDescent="0.35">
      <c r="O729" s="1"/>
    </row>
    <row r="730" spans="15:15" ht="14.25" customHeight="1" x14ac:dyDescent="0.35">
      <c r="O730" s="1"/>
    </row>
    <row r="731" spans="15:15" ht="14.25" customHeight="1" x14ac:dyDescent="0.35">
      <c r="O731" s="1"/>
    </row>
    <row r="732" spans="15:15" ht="14.25" customHeight="1" x14ac:dyDescent="0.35">
      <c r="O732" s="1"/>
    </row>
    <row r="733" spans="15:15" ht="14.25" customHeight="1" x14ac:dyDescent="0.35">
      <c r="O733" s="1"/>
    </row>
    <row r="734" spans="15:15" ht="14.25" customHeight="1" x14ac:dyDescent="0.35">
      <c r="O734" s="1"/>
    </row>
    <row r="735" spans="15:15" ht="14.25" customHeight="1" x14ac:dyDescent="0.35">
      <c r="O735" s="1"/>
    </row>
    <row r="736" spans="15:15" ht="14.25" customHeight="1" x14ac:dyDescent="0.35">
      <c r="O736" s="1"/>
    </row>
    <row r="737" spans="15:15" ht="14.25" customHeight="1" x14ac:dyDescent="0.35">
      <c r="O737" s="1"/>
    </row>
    <row r="738" spans="15:15" ht="14.25" customHeight="1" x14ac:dyDescent="0.35">
      <c r="O738" s="1"/>
    </row>
    <row r="739" spans="15:15" ht="14.25" customHeight="1" x14ac:dyDescent="0.35">
      <c r="O739" s="1"/>
    </row>
    <row r="740" spans="15:15" ht="14.25" customHeight="1" x14ac:dyDescent="0.35">
      <c r="O740" s="1"/>
    </row>
    <row r="741" spans="15:15" ht="14.25" customHeight="1" x14ac:dyDescent="0.35">
      <c r="O741" s="1"/>
    </row>
    <row r="742" spans="15:15" ht="14.25" customHeight="1" x14ac:dyDescent="0.35">
      <c r="O742" s="1"/>
    </row>
    <row r="743" spans="15:15" ht="14.25" customHeight="1" x14ac:dyDescent="0.35">
      <c r="O743" s="1"/>
    </row>
    <row r="744" spans="15:15" ht="14.25" customHeight="1" x14ac:dyDescent="0.35">
      <c r="O744" s="1"/>
    </row>
    <row r="745" spans="15:15" ht="14.25" customHeight="1" x14ac:dyDescent="0.35">
      <c r="O745" s="1"/>
    </row>
    <row r="746" spans="15:15" ht="14.25" customHeight="1" x14ac:dyDescent="0.35">
      <c r="O746" s="1"/>
    </row>
    <row r="747" spans="15:15" ht="14.25" customHeight="1" x14ac:dyDescent="0.35">
      <c r="O747" s="1"/>
    </row>
    <row r="748" spans="15:15" ht="14.25" customHeight="1" x14ac:dyDescent="0.35">
      <c r="O748" s="1"/>
    </row>
    <row r="749" spans="15:15" ht="14.25" customHeight="1" x14ac:dyDescent="0.35">
      <c r="O749" s="1"/>
    </row>
    <row r="750" spans="15:15" ht="14.25" customHeight="1" x14ac:dyDescent="0.35">
      <c r="O750" s="1"/>
    </row>
    <row r="751" spans="15:15" ht="14.25" customHeight="1" x14ac:dyDescent="0.35">
      <c r="O751" s="1"/>
    </row>
    <row r="752" spans="15:15" ht="14.25" customHeight="1" x14ac:dyDescent="0.35">
      <c r="O752" s="1"/>
    </row>
    <row r="753" spans="15:15" ht="14.25" customHeight="1" x14ac:dyDescent="0.35">
      <c r="O753" s="1"/>
    </row>
    <row r="754" spans="15:15" ht="14.25" customHeight="1" x14ac:dyDescent="0.35">
      <c r="O754" s="1"/>
    </row>
    <row r="755" spans="15:15" ht="14.25" customHeight="1" x14ac:dyDescent="0.35">
      <c r="O755" s="1"/>
    </row>
    <row r="756" spans="15:15" ht="14.25" customHeight="1" x14ac:dyDescent="0.35">
      <c r="O756" s="1"/>
    </row>
    <row r="757" spans="15:15" ht="14.25" customHeight="1" x14ac:dyDescent="0.35">
      <c r="O757" s="1"/>
    </row>
    <row r="758" spans="15:15" ht="14.25" customHeight="1" x14ac:dyDescent="0.35">
      <c r="O758" s="1"/>
    </row>
    <row r="759" spans="15:15" ht="14.25" customHeight="1" x14ac:dyDescent="0.35">
      <c r="O759" s="1"/>
    </row>
    <row r="760" spans="15:15" ht="14.25" customHeight="1" x14ac:dyDescent="0.35">
      <c r="O760" s="1"/>
    </row>
    <row r="761" spans="15:15" ht="14.25" customHeight="1" x14ac:dyDescent="0.35">
      <c r="O761" s="1"/>
    </row>
    <row r="762" spans="15:15" ht="14.25" customHeight="1" x14ac:dyDescent="0.35">
      <c r="O762" s="1"/>
    </row>
    <row r="763" spans="15:15" ht="14.25" customHeight="1" x14ac:dyDescent="0.35">
      <c r="O763" s="1"/>
    </row>
    <row r="764" spans="15:15" ht="14.25" customHeight="1" x14ac:dyDescent="0.35">
      <c r="O764" s="1"/>
    </row>
    <row r="765" spans="15:15" ht="14.25" customHeight="1" x14ac:dyDescent="0.35">
      <c r="O765" s="1"/>
    </row>
    <row r="766" spans="15:15" ht="14.25" customHeight="1" x14ac:dyDescent="0.35">
      <c r="O766" s="1"/>
    </row>
    <row r="767" spans="15:15" ht="14.25" customHeight="1" x14ac:dyDescent="0.35">
      <c r="O767" s="1"/>
    </row>
    <row r="768" spans="15:15" ht="14.25" customHeight="1" x14ac:dyDescent="0.35">
      <c r="O768" s="1"/>
    </row>
    <row r="769" spans="15:15" ht="14.25" customHeight="1" x14ac:dyDescent="0.35">
      <c r="O769" s="1"/>
    </row>
    <row r="770" spans="15:15" ht="14.25" customHeight="1" x14ac:dyDescent="0.35">
      <c r="O770" s="1"/>
    </row>
    <row r="771" spans="15:15" ht="14.25" customHeight="1" x14ac:dyDescent="0.35">
      <c r="O771" s="1"/>
    </row>
    <row r="772" spans="15:15" ht="14.25" customHeight="1" x14ac:dyDescent="0.35">
      <c r="O772" s="1"/>
    </row>
    <row r="773" spans="15:15" ht="14.25" customHeight="1" x14ac:dyDescent="0.35">
      <c r="O773" s="1"/>
    </row>
    <row r="774" spans="15:15" ht="14.25" customHeight="1" x14ac:dyDescent="0.35">
      <c r="O774" s="1"/>
    </row>
    <row r="775" spans="15:15" ht="14.25" customHeight="1" x14ac:dyDescent="0.35">
      <c r="O775" s="1"/>
    </row>
    <row r="776" spans="15:15" ht="14.25" customHeight="1" x14ac:dyDescent="0.35">
      <c r="O776" s="1"/>
    </row>
    <row r="777" spans="15:15" ht="14.25" customHeight="1" x14ac:dyDescent="0.35">
      <c r="O777" s="1"/>
    </row>
    <row r="778" spans="15:15" ht="14.25" customHeight="1" x14ac:dyDescent="0.35">
      <c r="O778" s="1"/>
    </row>
    <row r="779" spans="15:15" ht="14.25" customHeight="1" x14ac:dyDescent="0.35">
      <c r="O779" s="1"/>
    </row>
    <row r="780" spans="15:15" ht="14.25" customHeight="1" x14ac:dyDescent="0.35">
      <c r="O780" s="1"/>
    </row>
    <row r="781" spans="15:15" ht="14.25" customHeight="1" x14ac:dyDescent="0.35">
      <c r="O781" s="1"/>
    </row>
    <row r="782" spans="15:15" ht="14.25" customHeight="1" x14ac:dyDescent="0.35">
      <c r="O782" s="1"/>
    </row>
    <row r="783" spans="15:15" ht="14.25" customHeight="1" x14ac:dyDescent="0.35">
      <c r="O783" s="1"/>
    </row>
    <row r="784" spans="15:15" ht="14.25" customHeight="1" x14ac:dyDescent="0.35">
      <c r="O784" s="1"/>
    </row>
    <row r="785" spans="15:15" ht="14.25" customHeight="1" x14ac:dyDescent="0.35">
      <c r="O785" s="1"/>
    </row>
    <row r="786" spans="15:15" ht="14.25" customHeight="1" x14ac:dyDescent="0.35">
      <c r="O786" s="1"/>
    </row>
    <row r="787" spans="15:15" ht="14.25" customHeight="1" x14ac:dyDescent="0.35">
      <c r="O787" s="1"/>
    </row>
    <row r="788" spans="15:15" ht="14.25" customHeight="1" x14ac:dyDescent="0.35">
      <c r="O788" s="1"/>
    </row>
    <row r="789" spans="15:15" ht="14.25" customHeight="1" x14ac:dyDescent="0.35">
      <c r="O789" s="1"/>
    </row>
    <row r="790" spans="15:15" ht="14.25" customHeight="1" x14ac:dyDescent="0.35">
      <c r="O790" s="1"/>
    </row>
    <row r="791" spans="15:15" ht="14.25" customHeight="1" x14ac:dyDescent="0.35">
      <c r="O791" s="1"/>
    </row>
    <row r="792" spans="15:15" ht="14.25" customHeight="1" x14ac:dyDescent="0.35">
      <c r="O792" s="1"/>
    </row>
    <row r="793" spans="15:15" ht="14.25" customHeight="1" x14ac:dyDescent="0.35">
      <c r="O793" s="1"/>
    </row>
    <row r="794" spans="15:15" ht="14.25" customHeight="1" x14ac:dyDescent="0.35">
      <c r="O794" s="1"/>
    </row>
    <row r="795" spans="15:15" ht="14.25" customHeight="1" x14ac:dyDescent="0.35">
      <c r="O795" s="1"/>
    </row>
    <row r="796" spans="15:15" ht="14.25" customHeight="1" x14ac:dyDescent="0.35">
      <c r="O796" s="1"/>
    </row>
    <row r="797" spans="15:15" ht="14.25" customHeight="1" x14ac:dyDescent="0.35">
      <c r="O797" s="1"/>
    </row>
    <row r="798" spans="15:15" ht="14.25" customHeight="1" x14ac:dyDescent="0.35">
      <c r="O798" s="1"/>
    </row>
    <row r="799" spans="15:15" ht="14.25" customHeight="1" x14ac:dyDescent="0.35">
      <c r="O799" s="1"/>
    </row>
    <row r="800" spans="15:15" ht="14.25" customHeight="1" x14ac:dyDescent="0.35">
      <c r="O800" s="1"/>
    </row>
    <row r="801" spans="15:15" ht="14.25" customHeight="1" x14ac:dyDescent="0.35">
      <c r="O801" s="1"/>
    </row>
    <row r="802" spans="15:15" ht="14.25" customHeight="1" x14ac:dyDescent="0.35">
      <c r="O802" s="1"/>
    </row>
    <row r="803" spans="15:15" ht="14.25" customHeight="1" x14ac:dyDescent="0.35">
      <c r="O803" s="1"/>
    </row>
    <row r="804" spans="15:15" ht="14.25" customHeight="1" x14ac:dyDescent="0.35">
      <c r="O804" s="1"/>
    </row>
    <row r="805" spans="15:15" ht="14.25" customHeight="1" x14ac:dyDescent="0.35">
      <c r="O805" s="1"/>
    </row>
    <row r="806" spans="15:15" ht="14.25" customHeight="1" x14ac:dyDescent="0.35">
      <c r="O806" s="1"/>
    </row>
    <row r="807" spans="15:15" ht="14.25" customHeight="1" x14ac:dyDescent="0.35">
      <c r="O807" s="1"/>
    </row>
    <row r="808" spans="15:15" ht="14.25" customHeight="1" x14ac:dyDescent="0.35">
      <c r="O808" s="1"/>
    </row>
    <row r="809" spans="15:15" ht="14.25" customHeight="1" x14ac:dyDescent="0.35">
      <c r="O809" s="1"/>
    </row>
    <row r="810" spans="15:15" ht="14.25" customHeight="1" x14ac:dyDescent="0.35">
      <c r="O810" s="1"/>
    </row>
    <row r="811" spans="15:15" ht="14.25" customHeight="1" x14ac:dyDescent="0.35">
      <c r="O811" s="1"/>
    </row>
    <row r="812" spans="15:15" ht="14.25" customHeight="1" x14ac:dyDescent="0.35">
      <c r="O812" s="1"/>
    </row>
    <row r="813" spans="15:15" ht="14.25" customHeight="1" x14ac:dyDescent="0.35">
      <c r="O813" s="1"/>
    </row>
    <row r="814" spans="15:15" ht="14.25" customHeight="1" x14ac:dyDescent="0.35">
      <c r="O814" s="1"/>
    </row>
    <row r="815" spans="15:15" ht="14.25" customHeight="1" x14ac:dyDescent="0.35">
      <c r="O815" s="1"/>
    </row>
    <row r="816" spans="15:15" ht="14.25" customHeight="1" x14ac:dyDescent="0.35">
      <c r="O816" s="1"/>
    </row>
    <row r="817" spans="15:15" ht="14.25" customHeight="1" x14ac:dyDescent="0.35">
      <c r="O817" s="1"/>
    </row>
    <row r="818" spans="15:15" ht="14.25" customHeight="1" x14ac:dyDescent="0.35">
      <c r="O818" s="1"/>
    </row>
    <row r="819" spans="15:15" ht="14.25" customHeight="1" x14ac:dyDescent="0.35">
      <c r="O819" s="1"/>
    </row>
    <row r="820" spans="15:15" ht="14.25" customHeight="1" x14ac:dyDescent="0.35">
      <c r="O820" s="1"/>
    </row>
    <row r="821" spans="15:15" ht="14.25" customHeight="1" x14ac:dyDescent="0.35">
      <c r="O821" s="1"/>
    </row>
    <row r="822" spans="15:15" ht="14.25" customHeight="1" x14ac:dyDescent="0.35">
      <c r="O822" s="1"/>
    </row>
    <row r="823" spans="15:15" ht="14.25" customHeight="1" x14ac:dyDescent="0.35">
      <c r="O823" s="1"/>
    </row>
    <row r="824" spans="15:15" ht="14.25" customHeight="1" x14ac:dyDescent="0.35">
      <c r="O824" s="1"/>
    </row>
    <row r="825" spans="15:15" ht="14.25" customHeight="1" x14ac:dyDescent="0.35">
      <c r="O825" s="1"/>
    </row>
    <row r="826" spans="15:15" ht="14.25" customHeight="1" x14ac:dyDescent="0.35">
      <c r="O826" s="1"/>
    </row>
    <row r="827" spans="15:15" ht="14.25" customHeight="1" x14ac:dyDescent="0.35">
      <c r="O827" s="1"/>
    </row>
    <row r="828" spans="15:15" ht="14.25" customHeight="1" x14ac:dyDescent="0.35">
      <c r="O828" s="1"/>
    </row>
    <row r="829" spans="15:15" ht="14.25" customHeight="1" x14ac:dyDescent="0.35">
      <c r="O829" s="1"/>
    </row>
    <row r="830" spans="15:15" ht="14.25" customHeight="1" x14ac:dyDescent="0.35">
      <c r="O830" s="1"/>
    </row>
    <row r="831" spans="15:15" ht="14.25" customHeight="1" x14ac:dyDescent="0.35">
      <c r="O831" s="1"/>
    </row>
    <row r="832" spans="15:15" ht="14.25" customHeight="1" x14ac:dyDescent="0.35">
      <c r="O832" s="1"/>
    </row>
    <row r="833" spans="15:15" ht="14.25" customHeight="1" x14ac:dyDescent="0.35">
      <c r="O833" s="1"/>
    </row>
    <row r="834" spans="15:15" ht="14.25" customHeight="1" x14ac:dyDescent="0.35">
      <c r="O834" s="1"/>
    </row>
    <row r="835" spans="15:15" ht="14.25" customHeight="1" x14ac:dyDescent="0.35">
      <c r="O835" s="1"/>
    </row>
    <row r="836" spans="15:15" ht="14.25" customHeight="1" x14ac:dyDescent="0.35">
      <c r="O836" s="1"/>
    </row>
    <row r="837" spans="15:15" ht="14.25" customHeight="1" x14ac:dyDescent="0.35">
      <c r="O837" s="1"/>
    </row>
    <row r="838" spans="15:15" ht="14.25" customHeight="1" x14ac:dyDescent="0.35">
      <c r="O838" s="1"/>
    </row>
    <row r="839" spans="15:15" ht="14.25" customHeight="1" x14ac:dyDescent="0.35">
      <c r="O839" s="1"/>
    </row>
    <row r="840" spans="15:15" ht="14.25" customHeight="1" x14ac:dyDescent="0.35">
      <c r="O840" s="1"/>
    </row>
    <row r="841" spans="15:15" ht="14.25" customHeight="1" x14ac:dyDescent="0.35">
      <c r="O841" s="1"/>
    </row>
    <row r="842" spans="15:15" ht="14.25" customHeight="1" x14ac:dyDescent="0.35">
      <c r="O842" s="1"/>
    </row>
    <row r="843" spans="15:15" ht="14.25" customHeight="1" x14ac:dyDescent="0.35">
      <c r="O843" s="1"/>
    </row>
    <row r="844" spans="15:15" ht="14.25" customHeight="1" x14ac:dyDescent="0.35">
      <c r="O844" s="1"/>
    </row>
    <row r="845" spans="15:15" ht="14.25" customHeight="1" x14ac:dyDescent="0.35">
      <c r="O845" s="1"/>
    </row>
    <row r="846" spans="15:15" ht="14.25" customHeight="1" x14ac:dyDescent="0.35">
      <c r="O846" s="1"/>
    </row>
    <row r="847" spans="15:15" ht="14.25" customHeight="1" x14ac:dyDescent="0.35">
      <c r="O847" s="1"/>
    </row>
    <row r="848" spans="15:15" ht="14.25" customHeight="1" x14ac:dyDescent="0.35">
      <c r="O848" s="1"/>
    </row>
    <row r="849" spans="15:15" ht="14.25" customHeight="1" x14ac:dyDescent="0.35">
      <c r="O849" s="1"/>
    </row>
    <row r="850" spans="15:15" ht="14.25" customHeight="1" x14ac:dyDescent="0.35">
      <c r="O850" s="1"/>
    </row>
    <row r="851" spans="15:15" ht="14.25" customHeight="1" x14ac:dyDescent="0.35">
      <c r="O851" s="1"/>
    </row>
    <row r="852" spans="15:15" ht="14.25" customHeight="1" x14ac:dyDescent="0.35">
      <c r="O852" s="1"/>
    </row>
    <row r="853" spans="15:15" ht="14.25" customHeight="1" x14ac:dyDescent="0.35">
      <c r="O853" s="1"/>
    </row>
    <row r="854" spans="15:15" ht="14.25" customHeight="1" x14ac:dyDescent="0.35">
      <c r="O854" s="1"/>
    </row>
    <row r="855" spans="15:15" ht="14.25" customHeight="1" x14ac:dyDescent="0.35">
      <c r="O855" s="1"/>
    </row>
    <row r="856" spans="15:15" ht="14.25" customHeight="1" x14ac:dyDescent="0.35">
      <c r="O856" s="1"/>
    </row>
    <row r="857" spans="15:15" ht="14.25" customHeight="1" x14ac:dyDescent="0.35">
      <c r="O857" s="1"/>
    </row>
    <row r="858" spans="15:15" ht="14.25" customHeight="1" x14ac:dyDescent="0.35">
      <c r="O858" s="1"/>
    </row>
    <row r="859" spans="15:15" ht="14.25" customHeight="1" x14ac:dyDescent="0.35">
      <c r="O859" s="1"/>
    </row>
    <row r="860" spans="15:15" ht="14.25" customHeight="1" x14ac:dyDescent="0.35">
      <c r="O860" s="1"/>
    </row>
    <row r="861" spans="15:15" ht="14.25" customHeight="1" x14ac:dyDescent="0.35">
      <c r="O861" s="1"/>
    </row>
    <row r="862" spans="15:15" ht="14.25" customHeight="1" x14ac:dyDescent="0.35">
      <c r="O862" s="1"/>
    </row>
    <row r="863" spans="15:15" ht="14.25" customHeight="1" x14ac:dyDescent="0.35">
      <c r="O863" s="1"/>
    </row>
    <row r="864" spans="15:15" ht="14.25" customHeight="1" x14ac:dyDescent="0.35">
      <c r="O864" s="1"/>
    </row>
    <row r="865" spans="15:15" ht="14.25" customHeight="1" x14ac:dyDescent="0.35">
      <c r="O865" s="1"/>
    </row>
    <row r="866" spans="15:15" ht="14.25" customHeight="1" x14ac:dyDescent="0.35">
      <c r="O866" s="1"/>
    </row>
    <row r="867" spans="15:15" ht="14.25" customHeight="1" x14ac:dyDescent="0.35">
      <c r="O867" s="1"/>
    </row>
    <row r="868" spans="15:15" ht="14.25" customHeight="1" x14ac:dyDescent="0.35">
      <c r="O868" s="1"/>
    </row>
    <row r="869" spans="15:15" ht="14.25" customHeight="1" x14ac:dyDescent="0.35">
      <c r="O869" s="1"/>
    </row>
    <row r="870" spans="15:15" ht="14.25" customHeight="1" x14ac:dyDescent="0.35">
      <c r="O870" s="1"/>
    </row>
    <row r="871" spans="15:15" ht="14.25" customHeight="1" x14ac:dyDescent="0.35">
      <c r="O871" s="1"/>
    </row>
    <row r="872" spans="15:15" ht="14.25" customHeight="1" x14ac:dyDescent="0.35">
      <c r="O872" s="1"/>
    </row>
    <row r="873" spans="15:15" ht="14.25" customHeight="1" x14ac:dyDescent="0.35">
      <c r="O873" s="1"/>
    </row>
    <row r="874" spans="15:15" ht="14.25" customHeight="1" x14ac:dyDescent="0.35">
      <c r="O874" s="1"/>
    </row>
    <row r="875" spans="15:15" ht="14.25" customHeight="1" x14ac:dyDescent="0.35">
      <c r="O875" s="1"/>
    </row>
    <row r="876" spans="15:15" ht="14.25" customHeight="1" x14ac:dyDescent="0.35">
      <c r="O876" s="1"/>
    </row>
    <row r="877" spans="15:15" ht="14.25" customHeight="1" x14ac:dyDescent="0.35">
      <c r="O877" s="1"/>
    </row>
    <row r="878" spans="15:15" ht="14.25" customHeight="1" x14ac:dyDescent="0.35">
      <c r="O878" s="1"/>
    </row>
    <row r="879" spans="15:15" ht="14.25" customHeight="1" x14ac:dyDescent="0.35">
      <c r="O879" s="1"/>
    </row>
    <row r="880" spans="15:15" ht="14.25" customHeight="1" x14ac:dyDescent="0.35">
      <c r="O880" s="1"/>
    </row>
    <row r="881" spans="15:15" ht="14.25" customHeight="1" x14ac:dyDescent="0.35">
      <c r="O881" s="1"/>
    </row>
    <row r="882" spans="15:15" ht="14.25" customHeight="1" x14ac:dyDescent="0.35">
      <c r="O882" s="1"/>
    </row>
    <row r="883" spans="15:15" ht="14.25" customHeight="1" x14ac:dyDescent="0.35">
      <c r="O883" s="1"/>
    </row>
    <row r="884" spans="15:15" ht="14.25" customHeight="1" x14ac:dyDescent="0.35">
      <c r="O884" s="1"/>
    </row>
    <row r="885" spans="15:15" ht="14.25" customHeight="1" x14ac:dyDescent="0.35">
      <c r="O885" s="1"/>
    </row>
    <row r="886" spans="15:15" ht="14.25" customHeight="1" x14ac:dyDescent="0.35">
      <c r="O886" s="1"/>
    </row>
    <row r="887" spans="15:15" ht="14.25" customHeight="1" x14ac:dyDescent="0.35">
      <c r="O887" s="1"/>
    </row>
    <row r="888" spans="15:15" ht="14.25" customHeight="1" x14ac:dyDescent="0.35">
      <c r="O888" s="1"/>
    </row>
    <row r="889" spans="15:15" ht="14.25" customHeight="1" x14ac:dyDescent="0.35">
      <c r="O889" s="1"/>
    </row>
    <row r="890" spans="15:15" ht="14.25" customHeight="1" x14ac:dyDescent="0.35">
      <c r="O890" s="1"/>
    </row>
    <row r="891" spans="15:15" ht="14.25" customHeight="1" x14ac:dyDescent="0.35">
      <c r="O891" s="1"/>
    </row>
    <row r="892" spans="15:15" ht="14.25" customHeight="1" x14ac:dyDescent="0.35">
      <c r="O892" s="1"/>
    </row>
    <row r="893" spans="15:15" ht="14.25" customHeight="1" x14ac:dyDescent="0.35">
      <c r="O893" s="1"/>
    </row>
    <row r="894" spans="15:15" ht="14.25" customHeight="1" x14ac:dyDescent="0.35">
      <c r="O894" s="1"/>
    </row>
    <row r="895" spans="15:15" ht="14.25" customHeight="1" x14ac:dyDescent="0.35">
      <c r="O895" s="1"/>
    </row>
    <row r="896" spans="15:15" ht="14.25" customHeight="1" x14ac:dyDescent="0.35">
      <c r="O896" s="1"/>
    </row>
    <row r="897" spans="15:15" ht="14.25" customHeight="1" x14ac:dyDescent="0.35">
      <c r="O897" s="1"/>
    </row>
    <row r="898" spans="15:15" ht="14.25" customHeight="1" x14ac:dyDescent="0.35">
      <c r="O898" s="1"/>
    </row>
    <row r="899" spans="15:15" ht="14.25" customHeight="1" x14ac:dyDescent="0.35">
      <c r="O899" s="1"/>
    </row>
    <row r="900" spans="15:15" ht="14.25" customHeight="1" x14ac:dyDescent="0.35">
      <c r="O900" s="1"/>
    </row>
    <row r="901" spans="15:15" ht="14.25" customHeight="1" x14ac:dyDescent="0.35">
      <c r="O901" s="1"/>
    </row>
    <row r="902" spans="15:15" ht="14.25" customHeight="1" x14ac:dyDescent="0.35">
      <c r="O902" s="1"/>
    </row>
    <row r="903" spans="15:15" ht="14.25" customHeight="1" x14ac:dyDescent="0.35">
      <c r="O903" s="1"/>
    </row>
    <row r="904" spans="15:15" ht="14.25" customHeight="1" x14ac:dyDescent="0.35">
      <c r="O904" s="1"/>
    </row>
    <row r="905" spans="15:15" ht="14.25" customHeight="1" x14ac:dyDescent="0.35">
      <c r="O905" s="1"/>
    </row>
    <row r="906" spans="15:15" ht="14.25" customHeight="1" x14ac:dyDescent="0.35">
      <c r="O906" s="1"/>
    </row>
    <row r="907" spans="15:15" ht="14.25" customHeight="1" x14ac:dyDescent="0.35">
      <c r="O907" s="1"/>
    </row>
    <row r="908" spans="15:15" ht="14.25" customHeight="1" x14ac:dyDescent="0.35">
      <c r="O908" s="1"/>
    </row>
    <row r="909" spans="15:15" ht="14.25" customHeight="1" x14ac:dyDescent="0.35">
      <c r="O909" s="1"/>
    </row>
    <row r="910" spans="15:15" ht="14.25" customHeight="1" x14ac:dyDescent="0.35">
      <c r="O910" s="1"/>
    </row>
    <row r="911" spans="15:15" ht="14.25" customHeight="1" x14ac:dyDescent="0.35">
      <c r="O911" s="1"/>
    </row>
    <row r="912" spans="15:15" ht="14.25" customHeight="1" x14ac:dyDescent="0.35">
      <c r="O912" s="1"/>
    </row>
    <row r="913" spans="15:15" ht="14.25" customHeight="1" x14ac:dyDescent="0.35">
      <c r="O913" s="1"/>
    </row>
    <row r="914" spans="15:15" ht="14.25" customHeight="1" x14ac:dyDescent="0.35">
      <c r="O914" s="1"/>
    </row>
    <row r="915" spans="15:15" ht="14.25" customHeight="1" x14ac:dyDescent="0.35">
      <c r="O915" s="1"/>
    </row>
    <row r="916" spans="15:15" ht="14.25" customHeight="1" x14ac:dyDescent="0.35">
      <c r="O916" s="1"/>
    </row>
    <row r="917" spans="15:15" ht="14.25" customHeight="1" x14ac:dyDescent="0.35">
      <c r="O917" s="1"/>
    </row>
    <row r="918" spans="15:15" ht="14.25" customHeight="1" x14ac:dyDescent="0.35">
      <c r="O918" s="1"/>
    </row>
    <row r="919" spans="15:15" ht="14.25" customHeight="1" x14ac:dyDescent="0.35">
      <c r="O919" s="1"/>
    </row>
    <row r="920" spans="15:15" ht="14.25" customHeight="1" x14ac:dyDescent="0.35">
      <c r="O920" s="1"/>
    </row>
    <row r="921" spans="15:15" ht="14.25" customHeight="1" x14ac:dyDescent="0.35">
      <c r="O921" s="1"/>
    </row>
    <row r="922" spans="15:15" ht="14.25" customHeight="1" x14ac:dyDescent="0.35">
      <c r="O922" s="1"/>
    </row>
    <row r="923" spans="15:15" ht="14.25" customHeight="1" x14ac:dyDescent="0.35">
      <c r="O923" s="1"/>
    </row>
    <row r="924" spans="15:15" ht="14.25" customHeight="1" x14ac:dyDescent="0.35">
      <c r="O924" s="1"/>
    </row>
    <row r="925" spans="15:15" ht="14.25" customHeight="1" x14ac:dyDescent="0.35">
      <c r="O925" s="1"/>
    </row>
    <row r="926" spans="15:15" ht="14.25" customHeight="1" x14ac:dyDescent="0.35">
      <c r="O926" s="1"/>
    </row>
    <row r="927" spans="15:15" ht="14.25" customHeight="1" x14ac:dyDescent="0.35">
      <c r="O927" s="1"/>
    </row>
    <row r="928" spans="15:15" ht="14.25" customHeight="1" x14ac:dyDescent="0.35">
      <c r="O928" s="1"/>
    </row>
    <row r="929" spans="15:15" ht="14.25" customHeight="1" x14ac:dyDescent="0.35">
      <c r="O929" s="1"/>
    </row>
    <row r="930" spans="15:15" ht="14.25" customHeight="1" x14ac:dyDescent="0.35">
      <c r="O930" s="1"/>
    </row>
    <row r="931" spans="15:15" ht="14.25" customHeight="1" x14ac:dyDescent="0.35">
      <c r="O931" s="1"/>
    </row>
    <row r="932" spans="15:15" ht="14.25" customHeight="1" x14ac:dyDescent="0.35">
      <c r="O932" s="1"/>
    </row>
    <row r="933" spans="15:15" ht="14.25" customHeight="1" x14ac:dyDescent="0.35">
      <c r="O933" s="1"/>
    </row>
    <row r="934" spans="15:15" ht="14.25" customHeight="1" x14ac:dyDescent="0.35">
      <c r="O934" s="1"/>
    </row>
    <row r="935" spans="15:15" ht="14.25" customHeight="1" x14ac:dyDescent="0.35">
      <c r="O935" s="1"/>
    </row>
    <row r="936" spans="15:15" ht="14.25" customHeight="1" x14ac:dyDescent="0.35">
      <c r="O936" s="1"/>
    </row>
    <row r="937" spans="15:15" ht="14.25" customHeight="1" x14ac:dyDescent="0.35">
      <c r="O937" s="1"/>
    </row>
    <row r="938" spans="15:15" ht="14.25" customHeight="1" x14ac:dyDescent="0.35">
      <c r="O938" s="1"/>
    </row>
    <row r="939" spans="15:15" ht="14.25" customHeight="1" x14ac:dyDescent="0.35">
      <c r="O939" s="1"/>
    </row>
    <row r="940" spans="15:15" ht="14.25" customHeight="1" x14ac:dyDescent="0.35">
      <c r="O940" s="1"/>
    </row>
    <row r="941" spans="15:15" ht="14.25" customHeight="1" x14ac:dyDescent="0.35">
      <c r="O941" s="1"/>
    </row>
    <row r="942" spans="15:15" ht="14.25" customHeight="1" x14ac:dyDescent="0.35">
      <c r="O942" s="1"/>
    </row>
    <row r="943" spans="15:15" ht="14.25" customHeight="1" x14ac:dyDescent="0.35">
      <c r="O943" s="1"/>
    </row>
    <row r="944" spans="15:15" ht="14.25" customHeight="1" x14ac:dyDescent="0.35">
      <c r="O944" s="1"/>
    </row>
    <row r="945" spans="15:15" ht="14.25" customHeight="1" x14ac:dyDescent="0.35">
      <c r="O945" s="1"/>
    </row>
    <row r="946" spans="15:15" ht="14.25" customHeight="1" x14ac:dyDescent="0.35">
      <c r="O946" s="1"/>
    </row>
    <row r="947" spans="15:15" ht="14.25" customHeight="1" x14ac:dyDescent="0.35">
      <c r="O947" s="1"/>
    </row>
    <row r="948" spans="15:15" ht="14.25" customHeight="1" x14ac:dyDescent="0.35">
      <c r="O948" s="1"/>
    </row>
    <row r="949" spans="15:15" ht="14.25" customHeight="1" x14ac:dyDescent="0.35">
      <c r="O949" s="1"/>
    </row>
    <row r="950" spans="15:15" ht="14.25" customHeight="1" x14ac:dyDescent="0.35">
      <c r="O950" s="1"/>
    </row>
    <row r="951" spans="15:15" ht="14.25" customHeight="1" x14ac:dyDescent="0.35">
      <c r="O951" s="1"/>
    </row>
    <row r="952" spans="15:15" ht="14.25" customHeight="1" x14ac:dyDescent="0.35">
      <c r="O952" s="1"/>
    </row>
    <row r="953" spans="15:15" ht="14.25" customHeight="1" x14ac:dyDescent="0.35">
      <c r="O953" s="1"/>
    </row>
    <row r="954" spans="15:15" ht="14.25" customHeight="1" x14ac:dyDescent="0.35">
      <c r="O954" s="1"/>
    </row>
    <row r="955" spans="15:15" ht="14.25" customHeight="1" x14ac:dyDescent="0.35">
      <c r="O955" s="1"/>
    </row>
    <row r="956" spans="15:15" ht="14.25" customHeight="1" x14ac:dyDescent="0.35">
      <c r="O956" s="1"/>
    </row>
    <row r="957" spans="15:15" ht="14.25" customHeight="1" x14ac:dyDescent="0.35">
      <c r="O957" s="1"/>
    </row>
    <row r="958" spans="15:15" ht="14.25" customHeight="1" x14ac:dyDescent="0.35">
      <c r="O958" s="1"/>
    </row>
    <row r="959" spans="15:15" ht="14.25" customHeight="1" x14ac:dyDescent="0.35">
      <c r="O959" s="1"/>
    </row>
    <row r="960" spans="15:15" ht="14.25" customHeight="1" x14ac:dyDescent="0.35">
      <c r="O960" s="1"/>
    </row>
    <row r="961" spans="15:15" ht="14.25" customHeight="1" x14ac:dyDescent="0.35">
      <c r="O961" s="1"/>
    </row>
    <row r="962" spans="15:15" ht="14.25" customHeight="1" x14ac:dyDescent="0.35">
      <c r="O962" s="1"/>
    </row>
    <row r="963" spans="15:15" ht="14.25" customHeight="1" x14ac:dyDescent="0.35">
      <c r="O963" s="1"/>
    </row>
    <row r="964" spans="15:15" ht="14.25" customHeight="1" x14ac:dyDescent="0.35">
      <c r="O964" s="1"/>
    </row>
    <row r="965" spans="15:15" ht="14.25" customHeight="1" x14ac:dyDescent="0.35">
      <c r="O965" s="1"/>
    </row>
    <row r="966" spans="15:15" ht="14.25" customHeight="1" x14ac:dyDescent="0.35">
      <c r="O966" s="1"/>
    </row>
    <row r="967" spans="15:15" ht="14.25" customHeight="1" x14ac:dyDescent="0.35">
      <c r="O967" s="1"/>
    </row>
    <row r="968" spans="15:15" ht="14.25" customHeight="1" x14ac:dyDescent="0.35">
      <c r="O968" s="1"/>
    </row>
    <row r="969" spans="15:15" ht="14.25" customHeight="1" x14ac:dyDescent="0.35">
      <c r="O969" s="1"/>
    </row>
    <row r="970" spans="15:15" ht="14.25" customHeight="1" x14ac:dyDescent="0.35">
      <c r="O970" s="1"/>
    </row>
    <row r="971" spans="15:15" ht="14.25" customHeight="1" x14ac:dyDescent="0.35">
      <c r="O971" s="1"/>
    </row>
    <row r="972" spans="15:15" ht="14.25" customHeight="1" x14ac:dyDescent="0.35">
      <c r="O972" s="1"/>
    </row>
    <row r="973" spans="15:15" ht="14.25" customHeight="1" x14ac:dyDescent="0.35">
      <c r="O973" s="1"/>
    </row>
    <row r="974" spans="15:15" ht="14.25" customHeight="1" x14ac:dyDescent="0.35">
      <c r="O974" s="1"/>
    </row>
    <row r="975" spans="15:15" ht="14.25" customHeight="1" x14ac:dyDescent="0.35">
      <c r="O975" s="1"/>
    </row>
    <row r="976" spans="15:15" ht="14.25" customHeight="1" x14ac:dyDescent="0.35">
      <c r="O976" s="1"/>
    </row>
    <row r="977" spans="15:15" ht="14.25" customHeight="1" x14ac:dyDescent="0.35">
      <c r="O977" s="1"/>
    </row>
    <row r="978" spans="15:15" ht="14.25" customHeight="1" x14ac:dyDescent="0.35">
      <c r="O978" s="1"/>
    </row>
    <row r="979" spans="15:15" ht="14.25" customHeight="1" x14ac:dyDescent="0.35">
      <c r="O979" s="1"/>
    </row>
    <row r="980" spans="15:15" ht="14.25" customHeight="1" x14ac:dyDescent="0.35">
      <c r="O980" s="1"/>
    </row>
    <row r="981" spans="15:15" ht="14.25" customHeight="1" x14ac:dyDescent="0.35">
      <c r="O981" s="1"/>
    </row>
    <row r="982" spans="15:15" ht="14.25" customHeight="1" x14ac:dyDescent="0.35">
      <c r="O982" s="1"/>
    </row>
    <row r="983" spans="15:15" ht="14.25" customHeight="1" x14ac:dyDescent="0.35">
      <c r="O983" s="1"/>
    </row>
    <row r="984" spans="15:15" ht="14.25" customHeight="1" x14ac:dyDescent="0.35">
      <c r="O984" s="1"/>
    </row>
    <row r="985" spans="15:15" ht="14.25" customHeight="1" x14ac:dyDescent="0.35">
      <c r="O985" s="1"/>
    </row>
    <row r="986" spans="15:15" ht="14.25" customHeight="1" x14ac:dyDescent="0.35">
      <c r="O986" s="1"/>
    </row>
    <row r="987" spans="15:15" ht="14.25" customHeight="1" x14ac:dyDescent="0.35">
      <c r="O987" s="1"/>
    </row>
    <row r="988" spans="15:15" ht="14.25" customHeight="1" x14ac:dyDescent="0.35">
      <c r="O988" s="1"/>
    </row>
    <row r="989" spans="15:15" ht="14.25" customHeight="1" x14ac:dyDescent="0.35">
      <c r="O989" s="1"/>
    </row>
    <row r="990" spans="15:15" ht="14.25" customHeight="1" x14ac:dyDescent="0.35">
      <c r="O990" s="1"/>
    </row>
    <row r="991" spans="15:15" ht="14.25" customHeight="1" x14ac:dyDescent="0.35">
      <c r="O991" s="1"/>
    </row>
    <row r="992" spans="15:15" ht="14.25" customHeight="1" x14ac:dyDescent="0.35">
      <c r="O992" s="1"/>
    </row>
    <row r="993" spans="15:15" ht="14.25" customHeight="1" x14ac:dyDescent="0.35">
      <c r="O993" s="1"/>
    </row>
    <row r="994" spans="15:15" ht="14.25" customHeight="1" x14ac:dyDescent="0.35">
      <c r="O994" s="1"/>
    </row>
    <row r="995" spans="15:15" ht="14.25" customHeight="1" x14ac:dyDescent="0.35">
      <c r="O995" s="1"/>
    </row>
    <row r="996" spans="15:15" ht="14.25" customHeight="1" x14ac:dyDescent="0.35">
      <c r="O996" s="1"/>
    </row>
    <row r="997" spans="15:15" ht="14.25" customHeight="1" x14ac:dyDescent="0.35">
      <c r="O997" s="1"/>
    </row>
    <row r="998" spans="15:15" ht="14.25" customHeight="1" x14ac:dyDescent="0.35">
      <c r="O998" s="1"/>
    </row>
    <row r="999" spans="15:15" ht="14.25" customHeight="1" x14ac:dyDescent="0.35">
      <c r="O999" s="1"/>
    </row>
    <row r="1000" spans="15:15" ht="14.25" customHeight="1" x14ac:dyDescent="0.35">
      <c r="O1000" s="1"/>
    </row>
  </sheetData>
  <mergeCells count="16">
    <mergeCell ref="B7:C7"/>
    <mergeCell ref="B2:C2"/>
    <mergeCell ref="B3:C3"/>
    <mergeCell ref="B4:C4"/>
    <mergeCell ref="B5:C5"/>
    <mergeCell ref="B6:C6"/>
    <mergeCell ref="B21:B23"/>
    <mergeCell ref="B24:B25"/>
    <mergeCell ref="B8:C8"/>
    <mergeCell ref="I8:J8"/>
    <mergeCell ref="B9:C9"/>
    <mergeCell ref="I9:J9"/>
    <mergeCell ref="F11:K11"/>
    <mergeCell ref="B13:B20"/>
    <mergeCell ref="C13:C16"/>
    <mergeCell ref="C17:C19"/>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74D60-7078-412E-8E78-3C8599DA7E76}">
  <sheetPr>
    <tabColor rgb="FFFEF2CB"/>
  </sheetPr>
  <dimension ref="A1:W834"/>
  <sheetViews>
    <sheetView topLeftCell="B1" zoomScale="137" zoomScaleNormal="80" workbookViewId="0">
      <pane ySplit="1" topLeftCell="A2" activePane="bottomLeft" state="frozen"/>
      <selection activeCell="E7" sqref="E7"/>
      <selection pane="bottomLeft" activeCell="D14" sqref="D14"/>
    </sheetView>
  </sheetViews>
  <sheetFormatPr defaultColWidth="14.453125" defaultRowHeight="15" customHeight="1" x14ac:dyDescent="0.35"/>
  <cols>
    <col min="1" max="1" width="9.453125" customWidth="1"/>
    <col min="2" max="2" width="28.1796875" customWidth="1"/>
    <col min="3" max="3" width="23" bestFit="1" customWidth="1"/>
    <col min="4" max="4" width="15.81640625" style="117" customWidth="1"/>
    <col min="5" max="5" width="18.90625" bestFit="1" customWidth="1"/>
    <col min="6" max="7" width="19.1796875" customWidth="1"/>
    <col min="8" max="8" width="12.81640625" customWidth="1"/>
    <col min="9" max="23" width="37.453125" customWidth="1"/>
  </cols>
  <sheetData>
    <row r="1" spans="1:23" ht="14.25" customHeight="1" x14ac:dyDescent="0.35">
      <c r="A1" s="68" t="s">
        <v>39</v>
      </c>
      <c r="B1" s="68" t="s">
        <v>49</v>
      </c>
      <c r="C1" s="68" t="s">
        <v>41</v>
      </c>
      <c r="D1" s="68" t="s">
        <v>50</v>
      </c>
      <c r="E1" s="68" t="s">
        <v>51</v>
      </c>
      <c r="F1" s="68" t="s">
        <v>52</v>
      </c>
      <c r="G1" s="68" t="s">
        <v>48</v>
      </c>
      <c r="H1" s="68" t="s">
        <v>46</v>
      </c>
    </row>
    <row r="2" spans="1:23" ht="14.25" customHeight="1" x14ac:dyDescent="0.35">
      <c r="A2" s="194">
        <v>1</v>
      </c>
      <c r="B2" s="194" t="s">
        <v>53</v>
      </c>
      <c r="C2" s="69" t="s">
        <v>54</v>
      </c>
      <c r="D2" s="116">
        <f>VLOOKUP(C2,Master!$B$1:$C$25,2,FALSE)</f>
        <v>27000</v>
      </c>
      <c r="E2" s="71">
        <v>1</v>
      </c>
      <c r="F2" s="71">
        <v>1</v>
      </c>
      <c r="G2" s="71">
        <f t="shared" ref="G2:G10" si="0">E2*F2</f>
        <v>1</v>
      </c>
      <c r="H2" s="70">
        <f t="shared" ref="H2:H10" si="1">D2*E2*F2</f>
        <v>27000</v>
      </c>
    </row>
    <row r="3" spans="1:23" ht="14.25" customHeight="1" x14ac:dyDescent="0.35">
      <c r="A3" s="195"/>
      <c r="B3" s="195"/>
      <c r="C3" s="69" t="s">
        <v>69</v>
      </c>
      <c r="D3" s="116">
        <f>VLOOKUP(C3,Master!$B$1:$C$25,2,FALSE)</f>
        <v>9200</v>
      </c>
      <c r="E3" s="71">
        <v>1</v>
      </c>
      <c r="F3" s="71">
        <v>1</v>
      </c>
      <c r="G3" s="71">
        <f t="shared" si="0"/>
        <v>1</v>
      </c>
      <c r="H3" s="70">
        <f t="shared" si="1"/>
        <v>9200</v>
      </c>
    </row>
    <row r="4" spans="1:23" ht="14.25" customHeight="1" x14ac:dyDescent="0.35">
      <c r="A4" s="195"/>
      <c r="B4" s="195"/>
      <c r="C4" s="69" t="s">
        <v>60</v>
      </c>
      <c r="D4" s="116">
        <f>VLOOKUP(C4,Master!$B$1:$C$25,2,FALSE)</f>
        <v>66000</v>
      </c>
      <c r="E4" s="71">
        <v>1</v>
      </c>
      <c r="F4" s="71">
        <v>1</v>
      </c>
      <c r="G4" s="71">
        <f t="shared" si="0"/>
        <v>1</v>
      </c>
      <c r="H4" s="70">
        <f t="shared" si="1"/>
        <v>66000</v>
      </c>
    </row>
    <row r="5" spans="1:23" ht="14.25" customHeight="1" x14ac:dyDescent="0.35">
      <c r="A5" s="195"/>
      <c r="B5" s="195"/>
      <c r="C5" s="69" t="s">
        <v>61</v>
      </c>
      <c r="D5" s="116">
        <f>VLOOKUP(C5,Master!$B$1:$C$25,2,FALSE)</f>
        <v>18400</v>
      </c>
      <c r="E5" s="71">
        <v>1</v>
      </c>
      <c r="F5" s="71">
        <v>1</v>
      </c>
      <c r="G5" s="71">
        <f t="shared" si="0"/>
        <v>1</v>
      </c>
      <c r="H5" s="70">
        <f t="shared" si="1"/>
        <v>18400</v>
      </c>
    </row>
    <row r="6" spans="1:23" ht="14.25" customHeight="1" x14ac:dyDescent="0.35">
      <c r="A6" s="194">
        <v>3</v>
      </c>
      <c r="B6" s="194" t="s">
        <v>65</v>
      </c>
      <c r="C6" s="69" t="s">
        <v>54</v>
      </c>
      <c r="D6" s="116">
        <f>VLOOKUP(C6,Master!$B$1:$C$25,2,FALSE)</f>
        <v>27000</v>
      </c>
      <c r="E6" s="71">
        <v>1</v>
      </c>
      <c r="F6" s="71">
        <v>1</v>
      </c>
      <c r="G6" s="71">
        <f t="shared" si="0"/>
        <v>1</v>
      </c>
      <c r="H6" s="70">
        <f t="shared" si="1"/>
        <v>27000</v>
      </c>
    </row>
    <row r="7" spans="1:23" ht="14.25" customHeight="1" x14ac:dyDescent="0.35">
      <c r="A7" s="195"/>
      <c r="B7" s="195"/>
      <c r="C7" s="69" t="s">
        <v>69</v>
      </c>
      <c r="D7" s="116">
        <f>VLOOKUP(C7,Master!$B$1:$C$25,2,FALSE)</f>
        <v>9200</v>
      </c>
      <c r="E7" s="71">
        <v>1</v>
      </c>
      <c r="F7" s="71">
        <v>1</v>
      </c>
      <c r="G7" s="71">
        <f t="shared" ref="G7" si="2">E7*F7</f>
        <v>1</v>
      </c>
      <c r="H7" s="70">
        <f t="shared" ref="H7" si="3">D7*E7*F7</f>
        <v>9200</v>
      </c>
    </row>
    <row r="8" spans="1:23" ht="14.25" customHeight="1" x14ac:dyDescent="0.35">
      <c r="A8" s="194">
        <v>4</v>
      </c>
      <c r="B8" s="194" t="s">
        <v>66</v>
      </c>
      <c r="C8" s="69" t="s">
        <v>54</v>
      </c>
      <c r="D8" s="116">
        <f>VLOOKUP(C8,Master!$B$1:$C$25,2,FALSE)</f>
        <v>27000</v>
      </c>
      <c r="E8" s="71">
        <v>1</v>
      </c>
      <c r="F8" s="71">
        <v>1</v>
      </c>
      <c r="G8" s="71">
        <f t="shared" si="0"/>
        <v>1</v>
      </c>
      <c r="H8" s="70">
        <f t="shared" si="1"/>
        <v>27000</v>
      </c>
    </row>
    <row r="9" spans="1:23" ht="14.25" customHeight="1" x14ac:dyDescent="0.35">
      <c r="A9" s="195"/>
      <c r="B9" s="195"/>
      <c r="C9" s="69" t="s">
        <v>59</v>
      </c>
      <c r="D9" s="116">
        <f>VLOOKUP(C9,Master!$B$1:$C$25,2,FALSE)</f>
        <v>35000</v>
      </c>
      <c r="E9" s="71">
        <v>1</v>
      </c>
      <c r="F9" s="71">
        <v>1</v>
      </c>
      <c r="G9" s="71">
        <f>E9*F9</f>
        <v>1</v>
      </c>
      <c r="H9" s="70">
        <f>D9*E9*F9</f>
        <v>35000</v>
      </c>
    </row>
    <row r="10" spans="1:23" ht="14.25" customHeight="1" x14ac:dyDescent="0.35">
      <c r="A10" s="118">
        <v>5</v>
      </c>
      <c r="B10" s="118" t="s">
        <v>67</v>
      </c>
      <c r="C10" s="69" t="s">
        <v>54</v>
      </c>
      <c r="D10" s="116">
        <f>VLOOKUP(C10,Master!$B$1:$C$25,2,FALSE)</f>
        <v>27000</v>
      </c>
      <c r="E10" s="71">
        <v>1</v>
      </c>
      <c r="F10" s="71">
        <v>1</v>
      </c>
      <c r="G10" s="71">
        <f t="shared" si="0"/>
        <v>1</v>
      </c>
      <c r="H10" s="70">
        <f t="shared" si="1"/>
        <v>27000</v>
      </c>
    </row>
    <row r="11" spans="1:23" ht="15.5" x14ac:dyDescent="0.35">
      <c r="A11" s="196" t="s">
        <v>46</v>
      </c>
      <c r="B11" s="197"/>
      <c r="C11" s="197"/>
      <c r="D11" s="197"/>
      <c r="E11" s="197"/>
      <c r="F11" s="179"/>
      <c r="G11" s="72">
        <f>SUM(G2:G10)</f>
        <v>9</v>
      </c>
      <c r="H11" s="73">
        <f>SUM(H2:H10)</f>
        <v>245800</v>
      </c>
      <c r="I11" s="4"/>
      <c r="J11" s="4"/>
      <c r="K11" s="4"/>
      <c r="L11" s="4"/>
      <c r="M11" s="4"/>
      <c r="N11" s="4"/>
      <c r="O11" s="4"/>
      <c r="P11" s="4"/>
      <c r="Q11" s="4"/>
      <c r="R11" s="4"/>
      <c r="S11" s="4"/>
      <c r="T11" s="4"/>
      <c r="U11" s="4"/>
      <c r="V11" s="4"/>
      <c r="W11" s="4"/>
    </row>
    <row r="12" spans="1:23" ht="14.25" customHeight="1" x14ac:dyDescent="0.35">
      <c r="B12" s="1"/>
      <c r="C12" s="74"/>
    </row>
    <row r="13" spans="1:23" ht="14.25" customHeight="1" x14ac:dyDescent="0.35">
      <c r="B13" s="1"/>
      <c r="C13" s="74"/>
    </row>
    <row r="14" spans="1:23" ht="14.25" customHeight="1" x14ac:dyDescent="0.35">
      <c r="B14" s="1"/>
      <c r="C14" s="74"/>
    </row>
    <row r="15" spans="1:23" ht="14.25" customHeight="1" x14ac:dyDescent="0.35">
      <c r="B15" s="1"/>
      <c r="C15" s="74"/>
    </row>
    <row r="16" spans="1:23" ht="14.25" customHeight="1" x14ac:dyDescent="0.35">
      <c r="B16" s="1"/>
      <c r="C16" s="74"/>
    </row>
    <row r="17" spans="2:3" ht="14.25" customHeight="1" x14ac:dyDescent="0.35">
      <c r="B17" s="1"/>
      <c r="C17" s="74"/>
    </row>
    <row r="18" spans="2:3" ht="14.25" customHeight="1" x14ac:dyDescent="0.35">
      <c r="B18" s="1"/>
      <c r="C18" s="74"/>
    </row>
    <row r="19" spans="2:3" ht="14.25" customHeight="1" x14ac:dyDescent="0.35">
      <c r="B19" s="1"/>
      <c r="C19" s="74"/>
    </row>
    <row r="20" spans="2:3" ht="14.25" customHeight="1" x14ac:dyDescent="0.35">
      <c r="B20" s="1"/>
      <c r="C20" s="74"/>
    </row>
    <row r="21" spans="2:3" ht="14.25" customHeight="1" x14ac:dyDescent="0.35">
      <c r="B21" s="1"/>
      <c r="C21" s="74"/>
    </row>
    <row r="22" spans="2:3" ht="14.25" customHeight="1" x14ac:dyDescent="0.35">
      <c r="B22" s="1"/>
      <c r="C22" s="74"/>
    </row>
    <row r="23" spans="2:3" ht="14.25" customHeight="1" x14ac:dyDescent="0.35">
      <c r="B23" s="1"/>
      <c r="C23" s="74"/>
    </row>
    <row r="24" spans="2:3" ht="14.25" customHeight="1" x14ac:dyDescent="0.35">
      <c r="B24" s="1"/>
      <c r="C24" s="74"/>
    </row>
    <row r="25" spans="2:3" ht="14.25" customHeight="1" x14ac:dyDescent="0.35">
      <c r="B25" s="1"/>
      <c r="C25" s="74"/>
    </row>
    <row r="26" spans="2:3" ht="14.25" customHeight="1" x14ac:dyDescent="0.35">
      <c r="B26" s="1"/>
      <c r="C26" s="74"/>
    </row>
    <row r="27" spans="2:3" ht="14.25" customHeight="1" x14ac:dyDescent="0.35">
      <c r="B27" s="1"/>
      <c r="C27" s="74"/>
    </row>
    <row r="28" spans="2:3" ht="14.25" customHeight="1" x14ac:dyDescent="0.35">
      <c r="B28" s="1"/>
      <c r="C28" s="74"/>
    </row>
    <row r="29" spans="2:3" ht="14.25" customHeight="1" x14ac:dyDescent="0.35">
      <c r="B29" s="1"/>
      <c r="C29" s="74"/>
    </row>
    <row r="30" spans="2:3" ht="14.25" customHeight="1" x14ac:dyDescent="0.35">
      <c r="B30" s="1"/>
      <c r="C30" s="74"/>
    </row>
    <row r="31" spans="2:3" ht="14.25" customHeight="1" x14ac:dyDescent="0.35">
      <c r="B31" s="1"/>
      <c r="C31" s="74"/>
    </row>
    <row r="32" spans="2:3" ht="14.25" customHeight="1" x14ac:dyDescent="0.35">
      <c r="B32" s="1"/>
      <c r="C32" s="74"/>
    </row>
    <row r="33" spans="2:3" ht="14.25" customHeight="1" x14ac:dyDescent="0.35">
      <c r="B33" s="1"/>
      <c r="C33" s="74"/>
    </row>
    <row r="34" spans="2:3" ht="14.25" customHeight="1" x14ac:dyDescent="0.35">
      <c r="B34" s="1"/>
      <c r="C34" s="74"/>
    </row>
    <row r="35" spans="2:3" ht="14.25" customHeight="1" x14ac:dyDescent="0.35">
      <c r="B35" s="1"/>
      <c r="C35" s="74"/>
    </row>
    <row r="36" spans="2:3" ht="14.25" customHeight="1" x14ac:dyDescent="0.35">
      <c r="B36" s="1"/>
      <c r="C36" s="74"/>
    </row>
    <row r="37" spans="2:3" ht="14.25" customHeight="1" x14ac:dyDescent="0.35">
      <c r="B37" s="1"/>
      <c r="C37" s="74"/>
    </row>
    <row r="38" spans="2:3" ht="14.25" customHeight="1" x14ac:dyDescent="0.35">
      <c r="B38" s="1"/>
      <c r="C38" s="74"/>
    </row>
    <row r="39" spans="2:3" ht="14.25" customHeight="1" x14ac:dyDescent="0.35">
      <c r="B39" s="1"/>
      <c r="C39" s="74"/>
    </row>
    <row r="40" spans="2:3" ht="14.25" customHeight="1" x14ac:dyDescent="0.35">
      <c r="B40" s="1"/>
      <c r="C40" s="74"/>
    </row>
    <row r="41" spans="2:3" ht="14.25" customHeight="1" x14ac:dyDescent="0.35">
      <c r="B41" s="1"/>
      <c r="C41" s="74"/>
    </row>
    <row r="42" spans="2:3" ht="14.25" customHeight="1" x14ac:dyDescent="0.35">
      <c r="B42" s="1"/>
      <c r="C42" s="74"/>
    </row>
    <row r="43" spans="2:3" ht="14.25" customHeight="1" x14ac:dyDescent="0.35">
      <c r="B43" s="1"/>
      <c r="C43" s="74"/>
    </row>
    <row r="44" spans="2:3" ht="14.25" customHeight="1" x14ac:dyDescent="0.35">
      <c r="B44" s="1"/>
      <c r="C44" s="74"/>
    </row>
    <row r="45" spans="2:3" ht="14.25" customHeight="1" x14ac:dyDescent="0.35">
      <c r="B45" s="1"/>
      <c r="C45" s="74"/>
    </row>
    <row r="46" spans="2:3" ht="14.25" customHeight="1" x14ac:dyDescent="0.35">
      <c r="B46" s="1"/>
      <c r="C46" s="74"/>
    </row>
    <row r="47" spans="2:3" ht="14.25" customHeight="1" x14ac:dyDescent="0.35">
      <c r="B47" s="1"/>
      <c r="C47" s="74"/>
    </row>
    <row r="48" spans="2:3" ht="14.25" customHeight="1" x14ac:dyDescent="0.35">
      <c r="B48" s="1"/>
      <c r="C48" s="74"/>
    </row>
    <row r="49" spans="2:3" ht="14.25" customHeight="1" x14ac:dyDescent="0.35">
      <c r="B49" s="1"/>
      <c r="C49" s="74"/>
    </row>
    <row r="50" spans="2:3" ht="14.25" customHeight="1" x14ac:dyDescent="0.35">
      <c r="B50" s="1"/>
      <c r="C50" s="74"/>
    </row>
    <row r="51" spans="2:3" ht="14.25" customHeight="1" x14ac:dyDescent="0.35">
      <c r="B51" s="1"/>
      <c r="C51" s="74"/>
    </row>
    <row r="52" spans="2:3" ht="14.25" customHeight="1" x14ac:dyDescent="0.35">
      <c r="B52" s="1"/>
      <c r="C52" s="74"/>
    </row>
    <row r="53" spans="2:3" ht="14.25" customHeight="1" x14ac:dyDescent="0.35">
      <c r="B53" s="1"/>
      <c r="C53" s="74"/>
    </row>
    <row r="54" spans="2:3" ht="14.25" customHeight="1" x14ac:dyDescent="0.35">
      <c r="B54" s="1"/>
      <c r="C54" s="74"/>
    </row>
    <row r="55" spans="2:3" ht="14.25" customHeight="1" x14ac:dyDescent="0.35">
      <c r="B55" s="1"/>
      <c r="C55" s="74"/>
    </row>
    <row r="56" spans="2:3" ht="14.25" customHeight="1" x14ac:dyDescent="0.35">
      <c r="B56" s="1"/>
      <c r="C56" s="74"/>
    </row>
    <row r="57" spans="2:3" ht="14.25" customHeight="1" x14ac:dyDescent="0.35">
      <c r="B57" s="1"/>
      <c r="C57" s="74"/>
    </row>
    <row r="58" spans="2:3" ht="14.25" customHeight="1" x14ac:dyDescent="0.35">
      <c r="B58" s="1"/>
      <c r="C58" s="74"/>
    </row>
    <row r="59" spans="2:3" ht="14.25" customHeight="1" x14ac:dyDescent="0.35">
      <c r="B59" s="1"/>
      <c r="C59" s="74"/>
    </row>
    <row r="60" spans="2:3" ht="14.25" customHeight="1" x14ac:dyDescent="0.35">
      <c r="B60" s="1"/>
      <c r="C60" s="74"/>
    </row>
    <row r="61" spans="2:3" ht="14.25" customHeight="1" x14ac:dyDescent="0.35">
      <c r="B61" s="1"/>
      <c r="C61" s="74"/>
    </row>
    <row r="62" spans="2:3" ht="14.25" customHeight="1" x14ac:dyDescent="0.35">
      <c r="B62" s="1"/>
      <c r="C62" s="74"/>
    </row>
    <row r="63" spans="2:3" ht="14.25" customHeight="1" x14ac:dyDescent="0.35">
      <c r="B63" s="1"/>
      <c r="C63" s="74"/>
    </row>
    <row r="64" spans="2:3" ht="14.25" customHeight="1" x14ac:dyDescent="0.35">
      <c r="B64" s="1"/>
      <c r="C64" s="74"/>
    </row>
    <row r="65" spans="2:3" ht="14.25" customHeight="1" x14ac:dyDescent="0.35">
      <c r="B65" s="1"/>
      <c r="C65" s="74"/>
    </row>
    <row r="66" spans="2:3" ht="14.25" customHeight="1" x14ac:dyDescent="0.35">
      <c r="B66" s="1"/>
      <c r="C66" s="74"/>
    </row>
    <row r="67" spans="2:3" ht="14.25" customHeight="1" x14ac:dyDescent="0.35">
      <c r="B67" s="1"/>
      <c r="C67" s="74"/>
    </row>
    <row r="68" spans="2:3" ht="14.25" customHeight="1" x14ac:dyDescent="0.35">
      <c r="B68" s="1"/>
      <c r="C68" s="74"/>
    </row>
    <row r="69" spans="2:3" ht="14.25" customHeight="1" x14ac:dyDescent="0.35">
      <c r="B69" s="1"/>
      <c r="C69" s="74"/>
    </row>
    <row r="70" spans="2:3" ht="14.25" customHeight="1" x14ac:dyDescent="0.35">
      <c r="B70" s="1"/>
      <c r="C70" s="74"/>
    </row>
    <row r="71" spans="2:3" ht="14.25" customHeight="1" x14ac:dyDescent="0.35">
      <c r="B71" s="1"/>
      <c r="C71" s="74"/>
    </row>
    <row r="72" spans="2:3" ht="14.25" customHeight="1" x14ac:dyDescent="0.35">
      <c r="B72" s="1"/>
      <c r="C72" s="74"/>
    </row>
    <row r="73" spans="2:3" ht="14.25" customHeight="1" x14ac:dyDescent="0.35">
      <c r="B73" s="1"/>
      <c r="C73" s="74"/>
    </row>
    <row r="74" spans="2:3" ht="14.25" customHeight="1" x14ac:dyDescent="0.35">
      <c r="B74" s="1"/>
      <c r="C74" s="74"/>
    </row>
    <row r="75" spans="2:3" ht="14.25" customHeight="1" x14ac:dyDescent="0.35">
      <c r="B75" s="1"/>
      <c r="C75" s="74"/>
    </row>
    <row r="76" spans="2:3" ht="14.25" customHeight="1" x14ac:dyDescent="0.35">
      <c r="B76" s="1"/>
      <c r="C76" s="74"/>
    </row>
    <row r="77" spans="2:3" ht="14.25" customHeight="1" x14ac:dyDescent="0.35">
      <c r="B77" s="1"/>
      <c r="C77" s="74"/>
    </row>
    <row r="78" spans="2:3" ht="14.25" customHeight="1" x14ac:dyDescent="0.35">
      <c r="B78" s="1"/>
      <c r="C78" s="74"/>
    </row>
    <row r="79" spans="2:3" ht="14.25" customHeight="1" x14ac:dyDescent="0.35">
      <c r="B79" s="1"/>
      <c r="C79" s="74"/>
    </row>
    <row r="80" spans="2:3" ht="14.25" customHeight="1" x14ac:dyDescent="0.35">
      <c r="B80" s="1"/>
      <c r="C80" s="74"/>
    </row>
    <row r="81" spans="2:3" ht="14.25" customHeight="1" x14ac:dyDescent="0.35">
      <c r="B81" s="1"/>
      <c r="C81" s="74"/>
    </row>
    <row r="82" spans="2:3" ht="14.25" customHeight="1" x14ac:dyDescent="0.35">
      <c r="B82" s="1"/>
      <c r="C82" s="74"/>
    </row>
    <row r="83" spans="2:3" ht="14.25" customHeight="1" x14ac:dyDescent="0.35">
      <c r="B83" s="1"/>
      <c r="C83" s="74"/>
    </row>
    <row r="84" spans="2:3" ht="14.25" customHeight="1" x14ac:dyDescent="0.35">
      <c r="B84" s="1"/>
      <c r="C84" s="74"/>
    </row>
    <row r="85" spans="2:3" ht="14.25" customHeight="1" x14ac:dyDescent="0.35">
      <c r="B85" s="1"/>
      <c r="C85" s="74"/>
    </row>
    <row r="86" spans="2:3" ht="14.25" customHeight="1" x14ac:dyDescent="0.35">
      <c r="B86" s="1"/>
      <c r="C86" s="74"/>
    </row>
    <row r="87" spans="2:3" ht="14.25" customHeight="1" x14ac:dyDescent="0.35">
      <c r="B87" s="1"/>
      <c r="C87" s="74"/>
    </row>
    <row r="88" spans="2:3" ht="14.25" customHeight="1" x14ac:dyDescent="0.35">
      <c r="B88" s="1"/>
      <c r="C88" s="74"/>
    </row>
    <row r="89" spans="2:3" ht="14.25" customHeight="1" x14ac:dyDescent="0.35">
      <c r="B89" s="1"/>
      <c r="C89" s="74"/>
    </row>
    <row r="90" spans="2:3" ht="14.25" customHeight="1" x14ac:dyDescent="0.35">
      <c r="B90" s="1"/>
      <c r="C90" s="74"/>
    </row>
    <row r="91" spans="2:3" ht="14.25" customHeight="1" x14ac:dyDescent="0.35">
      <c r="B91" s="1"/>
      <c r="C91" s="74"/>
    </row>
    <row r="92" spans="2:3" ht="14.25" customHeight="1" x14ac:dyDescent="0.35">
      <c r="B92" s="1"/>
      <c r="C92" s="74"/>
    </row>
    <row r="93" spans="2:3" ht="14.25" customHeight="1" x14ac:dyDescent="0.35">
      <c r="B93" s="1"/>
      <c r="C93" s="74"/>
    </row>
    <row r="94" spans="2:3" ht="14.25" customHeight="1" x14ac:dyDescent="0.35">
      <c r="B94" s="1"/>
      <c r="C94" s="74"/>
    </row>
    <row r="95" spans="2:3" ht="14.25" customHeight="1" x14ac:dyDescent="0.35">
      <c r="B95" s="1"/>
      <c r="C95" s="74"/>
    </row>
    <row r="96" spans="2:3" ht="14.25" customHeight="1" x14ac:dyDescent="0.35">
      <c r="B96" s="1"/>
      <c r="C96" s="74"/>
    </row>
    <row r="97" spans="2:3" ht="14.25" customHeight="1" x14ac:dyDescent="0.35">
      <c r="B97" s="1"/>
      <c r="C97" s="74"/>
    </row>
    <row r="98" spans="2:3" ht="14.25" customHeight="1" x14ac:dyDescent="0.35">
      <c r="B98" s="1"/>
      <c r="C98" s="74"/>
    </row>
    <row r="99" spans="2:3" ht="14.25" customHeight="1" x14ac:dyDescent="0.35">
      <c r="B99" s="1"/>
      <c r="C99" s="74"/>
    </row>
    <row r="100" spans="2:3" ht="14.25" customHeight="1" x14ac:dyDescent="0.35">
      <c r="B100" s="1"/>
      <c r="C100" s="74"/>
    </row>
    <row r="101" spans="2:3" ht="14.25" customHeight="1" x14ac:dyDescent="0.35">
      <c r="B101" s="1"/>
      <c r="C101" s="74"/>
    </row>
    <row r="102" spans="2:3" ht="14.25" customHeight="1" x14ac:dyDescent="0.35">
      <c r="B102" s="1"/>
      <c r="C102" s="74"/>
    </row>
    <row r="103" spans="2:3" ht="14.25" customHeight="1" x14ac:dyDescent="0.35">
      <c r="B103" s="1"/>
      <c r="C103" s="74"/>
    </row>
    <row r="104" spans="2:3" ht="14.25" customHeight="1" x14ac:dyDescent="0.35">
      <c r="B104" s="1"/>
      <c r="C104" s="74"/>
    </row>
    <row r="105" spans="2:3" ht="14.25" customHeight="1" x14ac:dyDescent="0.35">
      <c r="B105" s="1"/>
      <c r="C105" s="74"/>
    </row>
    <row r="106" spans="2:3" ht="14.25" customHeight="1" x14ac:dyDescent="0.35">
      <c r="B106" s="1"/>
      <c r="C106" s="74"/>
    </row>
    <row r="107" spans="2:3" ht="14.25" customHeight="1" x14ac:dyDescent="0.35">
      <c r="B107" s="1"/>
      <c r="C107" s="74"/>
    </row>
    <row r="108" spans="2:3" ht="14.25" customHeight="1" x14ac:dyDescent="0.35">
      <c r="B108" s="1"/>
      <c r="C108" s="74"/>
    </row>
    <row r="109" spans="2:3" ht="14.25" customHeight="1" x14ac:dyDescent="0.35">
      <c r="B109" s="1"/>
      <c r="C109" s="74"/>
    </row>
    <row r="110" spans="2:3" ht="14.25" customHeight="1" x14ac:dyDescent="0.35">
      <c r="B110" s="1"/>
      <c r="C110" s="74"/>
    </row>
    <row r="111" spans="2:3" ht="14.25" customHeight="1" x14ac:dyDescent="0.35">
      <c r="B111" s="1"/>
      <c r="C111" s="74"/>
    </row>
    <row r="112" spans="2:3" ht="14.25" customHeight="1" x14ac:dyDescent="0.35">
      <c r="B112" s="1"/>
      <c r="C112" s="74"/>
    </row>
    <row r="113" spans="2:3" ht="14.25" customHeight="1" x14ac:dyDescent="0.35">
      <c r="B113" s="1"/>
      <c r="C113" s="74"/>
    </row>
    <row r="114" spans="2:3" ht="14.25" customHeight="1" x14ac:dyDescent="0.35">
      <c r="B114" s="1"/>
      <c r="C114" s="74"/>
    </row>
    <row r="115" spans="2:3" ht="14.25" customHeight="1" x14ac:dyDescent="0.35">
      <c r="B115" s="1"/>
      <c r="C115" s="74"/>
    </row>
    <row r="116" spans="2:3" ht="14.25" customHeight="1" x14ac:dyDescent="0.35">
      <c r="B116" s="1"/>
      <c r="C116" s="74"/>
    </row>
    <row r="117" spans="2:3" ht="14.25" customHeight="1" x14ac:dyDescent="0.35">
      <c r="B117" s="1"/>
      <c r="C117" s="74"/>
    </row>
    <row r="118" spans="2:3" ht="14.25" customHeight="1" x14ac:dyDescent="0.35">
      <c r="B118" s="1"/>
      <c r="C118" s="74"/>
    </row>
    <row r="119" spans="2:3" ht="14.25" customHeight="1" x14ac:dyDescent="0.35">
      <c r="B119" s="1"/>
      <c r="C119" s="74"/>
    </row>
    <row r="120" spans="2:3" ht="14.25" customHeight="1" x14ac:dyDescent="0.35">
      <c r="B120" s="1"/>
      <c r="C120" s="74"/>
    </row>
    <row r="121" spans="2:3" ht="14.25" customHeight="1" x14ac:dyDescent="0.35">
      <c r="B121" s="1"/>
      <c r="C121" s="74"/>
    </row>
    <row r="122" spans="2:3" ht="14.25" customHeight="1" x14ac:dyDescent="0.35">
      <c r="B122" s="1"/>
      <c r="C122" s="74"/>
    </row>
    <row r="123" spans="2:3" ht="14.25" customHeight="1" x14ac:dyDescent="0.35">
      <c r="B123" s="1"/>
      <c r="C123" s="74"/>
    </row>
    <row r="124" spans="2:3" ht="14.25" customHeight="1" x14ac:dyDescent="0.35">
      <c r="B124" s="1"/>
      <c r="C124" s="74"/>
    </row>
    <row r="125" spans="2:3" ht="14.25" customHeight="1" x14ac:dyDescent="0.35">
      <c r="B125" s="1"/>
      <c r="C125" s="74"/>
    </row>
    <row r="126" spans="2:3" ht="14.25" customHeight="1" x14ac:dyDescent="0.35">
      <c r="B126" s="1"/>
      <c r="C126" s="74"/>
    </row>
    <row r="127" spans="2:3" ht="14.25" customHeight="1" x14ac:dyDescent="0.35">
      <c r="B127" s="1"/>
      <c r="C127" s="74"/>
    </row>
    <row r="128" spans="2:3" ht="14.25" customHeight="1" x14ac:dyDescent="0.35">
      <c r="B128" s="1"/>
      <c r="C128" s="74"/>
    </row>
    <row r="129" spans="2:3" ht="14.25" customHeight="1" x14ac:dyDescent="0.35">
      <c r="B129" s="1"/>
      <c r="C129" s="74"/>
    </row>
    <row r="130" spans="2:3" ht="14.25" customHeight="1" x14ac:dyDescent="0.35">
      <c r="B130" s="1"/>
      <c r="C130" s="74"/>
    </row>
    <row r="131" spans="2:3" ht="14.25" customHeight="1" x14ac:dyDescent="0.35">
      <c r="B131" s="1"/>
      <c r="C131" s="74"/>
    </row>
    <row r="132" spans="2:3" ht="14.25" customHeight="1" x14ac:dyDescent="0.35">
      <c r="B132" s="1"/>
      <c r="C132" s="74"/>
    </row>
    <row r="133" spans="2:3" ht="14.25" customHeight="1" x14ac:dyDescent="0.35">
      <c r="B133" s="1"/>
      <c r="C133" s="74"/>
    </row>
    <row r="134" spans="2:3" ht="14.25" customHeight="1" x14ac:dyDescent="0.35">
      <c r="B134" s="1"/>
      <c r="C134" s="74"/>
    </row>
    <row r="135" spans="2:3" ht="14.25" customHeight="1" x14ac:dyDescent="0.35">
      <c r="B135" s="1"/>
      <c r="C135" s="74"/>
    </row>
    <row r="136" spans="2:3" ht="14.25" customHeight="1" x14ac:dyDescent="0.35">
      <c r="B136" s="1"/>
      <c r="C136" s="74"/>
    </row>
    <row r="137" spans="2:3" ht="14.25" customHeight="1" x14ac:dyDescent="0.35">
      <c r="B137" s="1"/>
      <c r="C137" s="74"/>
    </row>
    <row r="138" spans="2:3" ht="14.25" customHeight="1" x14ac:dyDescent="0.35">
      <c r="B138" s="1"/>
      <c r="C138" s="74"/>
    </row>
    <row r="139" spans="2:3" ht="14.25" customHeight="1" x14ac:dyDescent="0.35">
      <c r="B139" s="1"/>
      <c r="C139" s="74"/>
    </row>
    <row r="140" spans="2:3" ht="14.25" customHeight="1" x14ac:dyDescent="0.35">
      <c r="B140" s="1"/>
      <c r="C140" s="74"/>
    </row>
    <row r="141" spans="2:3" ht="14.25" customHeight="1" x14ac:dyDescent="0.35">
      <c r="B141" s="1"/>
      <c r="C141" s="74"/>
    </row>
    <row r="142" spans="2:3" ht="14.25" customHeight="1" x14ac:dyDescent="0.35">
      <c r="B142" s="1"/>
      <c r="C142" s="74"/>
    </row>
    <row r="143" spans="2:3" ht="14.25" customHeight="1" x14ac:dyDescent="0.35">
      <c r="B143" s="1"/>
      <c r="C143" s="74"/>
    </row>
    <row r="144" spans="2:3" ht="14.25" customHeight="1" x14ac:dyDescent="0.35">
      <c r="B144" s="1"/>
      <c r="C144" s="74"/>
    </row>
    <row r="145" spans="2:3" ht="14.25" customHeight="1" x14ac:dyDescent="0.35">
      <c r="B145" s="1"/>
      <c r="C145" s="74"/>
    </row>
    <row r="146" spans="2:3" ht="14.25" customHeight="1" x14ac:dyDescent="0.35">
      <c r="B146" s="1"/>
      <c r="C146" s="74"/>
    </row>
    <row r="147" spans="2:3" ht="14.25" customHeight="1" x14ac:dyDescent="0.35">
      <c r="B147" s="1"/>
      <c r="C147" s="74"/>
    </row>
    <row r="148" spans="2:3" ht="14.25" customHeight="1" x14ac:dyDescent="0.35">
      <c r="B148" s="1"/>
      <c r="C148" s="74"/>
    </row>
    <row r="149" spans="2:3" ht="14.25" customHeight="1" x14ac:dyDescent="0.35">
      <c r="B149" s="1"/>
      <c r="C149" s="74"/>
    </row>
    <row r="150" spans="2:3" ht="14.25" customHeight="1" x14ac:dyDescent="0.35">
      <c r="B150" s="1"/>
      <c r="C150" s="74"/>
    </row>
    <row r="151" spans="2:3" ht="14.25" customHeight="1" x14ac:dyDescent="0.35">
      <c r="B151" s="1"/>
      <c r="C151" s="74"/>
    </row>
    <row r="152" spans="2:3" ht="14.25" customHeight="1" x14ac:dyDescent="0.35">
      <c r="B152" s="1"/>
      <c r="C152" s="74"/>
    </row>
    <row r="153" spans="2:3" ht="14.25" customHeight="1" x14ac:dyDescent="0.35">
      <c r="B153" s="1"/>
      <c r="C153" s="74"/>
    </row>
    <row r="154" spans="2:3" ht="14.25" customHeight="1" x14ac:dyDescent="0.35">
      <c r="B154" s="1"/>
      <c r="C154" s="74"/>
    </row>
    <row r="155" spans="2:3" ht="14.25" customHeight="1" x14ac:dyDescent="0.35">
      <c r="B155" s="1"/>
      <c r="C155" s="74"/>
    </row>
    <row r="156" spans="2:3" ht="14.25" customHeight="1" x14ac:dyDescent="0.35">
      <c r="B156" s="1"/>
      <c r="C156" s="74"/>
    </row>
    <row r="157" spans="2:3" ht="14.25" customHeight="1" x14ac:dyDescent="0.35">
      <c r="B157" s="1"/>
      <c r="C157" s="74"/>
    </row>
    <row r="158" spans="2:3" ht="14.25" customHeight="1" x14ac:dyDescent="0.35">
      <c r="B158" s="1"/>
      <c r="C158" s="74"/>
    </row>
    <row r="159" spans="2:3" ht="14.25" customHeight="1" x14ac:dyDescent="0.35">
      <c r="B159" s="1"/>
      <c r="C159" s="74"/>
    </row>
    <row r="160" spans="2:3" ht="14.25" customHeight="1" x14ac:dyDescent="0.35">
      <c r="B160" s="1"/>
      <c r="C160" s="74"/>
    </row>
    <row r="161" spans="2:3" ht="14.25" customHeight="1" x14ac:dyDescent="0.35">
      <c r="B161" s="1"/>
      <c r="C161" s="74"/>
    </row>
    <row r="162" spans="2:3" ht="14.25" customHeight="1" x14ac:dyDescent="0.35">
      <c r="B162" s="1"/>
      <c r="C162" s="74"/>
    </row>
    <row r="163" spans="2:3" ht="14.25" customHeight="1" x14ac:dyDescent="0.35">
      <c r="B163" s="1"/>
      <c r="C163" s="74"/>
    </row>
    <row r="164" spans="2:3" ht="14.25" customHeight="1" x14ac:dyDescent="0.35">
      <c r="B164" s="1"/>
      <c r="C164" s="74"/>
    </row>
    <row r="165" spans="2:3" ht="14.25" customHeight="1" x14ac:dyDescent="0.35">
      <c r="B165" s="1"/>
      <c r="C165" s="74"/>
    </row>
    <row r="166" spans="2:3" ht="14.25" customHeight="1" x14ac:dyDescent="0.35">
      <c r="B166" s="1"/>
      <c r="C166" s="74"/>
    </row>
    <row r="167" spans="2:3" ht="14.25" customHeight="1" x14ac:dyDescent="0.35">
      <c r="B167" s="1"/>
      <c r="C167" s="74"/>
    </row>
    <row r="168" spans="2:3" ht="14.25" customHeight="1" x14ac:dyDescent="0.35">
      <c r="B168" s="1"/>
      <c r="C168" s="74"/>
    </row>
    <row r="169" spans="2:3" ht="14.25" customHeight="1" x14ac:dyDescent="0.35">
      <c r="B169" s="1"/>
      <c r="C169" s="74"/>
    </row>
    <row r="170" spans="2:3" ht="14.25" customHeight="1" x14ac:dyDescent="0.35">
      <c r="B170" s="1"/>
      <c r="C170" s="74"/>
    </row>
    <row r="171" spans="2:3" ht="14.25" customHeight="1" x14ac:dyDescent="0.35">
      <c r="B171" s="1"/>
      <c r="C171" s="74"/>
    </row>
    <row r="172" spans="2:3" ht="14.25" customHeight="1" x14ac:dyDescent="0.35">
      <c r="B172" s="1"/>
      <c r="C172" s="74"/>
    </row>
    <row r="173" spans="2:3" ht="14.25" customHeight="1" x14ac:dyDescent="0.35">
      <c r="B173" s="1"/>
      <c r="C173" s="74"/>
    </row>
    <row r="174" spans="2:3" ht="14.25" customHeight="1" x14ac:dyDescent="0.35">
      <c r="B174" s="1"/>
      <c r="C174" s="74"/>
    </row>
    <row r="175" spans="2:3" ht="14.25" customHeight="1" x14ac:dyDescent="0.35">
      <c r="B175" s="1"/>
      <c r="C175" s="74"/>
    </row>
    <row r="176" spans="2:3" ht="14.25" customHeight="1" x14ac:dyDescent="0.35">
      <c r="B176" s="1"/>
      <c r="C176" s="74"/>
    </row>
    <row r="177" spans="2:3" ht="14.25" customHeight="1" x14ac:dyDescent="0.35">
      <c r="B177" s="1"/>
      <c r="C177" s="74"/>
    </row>
    <row r="178" spans="2:3" ht="14.25" customHeight="1" x14ac:dyDescent="0.35">
      <c r="B178" s="1"/>
      <c r="C178" s="74"/>
    </row>
    <row r="179" spans="2:3" ht="14.25" customHeight="1" x14ac:dyDescent="0.35">
      <c r="B179" s="1"/>
      <c r="C179" s="74"/>
    </row>
    <row r="180" spans="2:3" ht="14.25" customHeight="1" x14ac:dyDescent="0.35">
      <c r="B180" s="1"/>
      <c r="C180" s="74"/>
    </row>
    <row r="181" spans="2:3" ht="14.25" customHeight="1" x14ac:dyDescent="0.35">
      <c r="B181" s="1"/>
      <c r="C181" s="74"/>
    </row>
    <row r="182" spans="2:3" ht="14.25" customHeight="1" x14ac:dyDescent="0.35">
      <c r="B182" s="1"/>
      <c r="C182" s="74"/>
    </row>
    <row r="183" spans="2:3" ht="14.25" customHeight="1" x14ac:dyDescent="0.35">
      <c r="B183" s="1"/>
      <c r="C183" s="74"/>
    </row>
    <row r="184" spans="2:3" ht="14.25" customHeight="1" x14ac:dyDescent="0.35">
      <c r="B184" s="1"/>
      <c r="C184" s="74"/>
    </row>
    <row r="185" spans="2:3" ht="14.25" customHeight="1" x14ac:dyDescent="0.35">
      <c r="B185" s="1"/>
      <c r="C185" s="74"/>
    </row>
    <row r="186" spans="2:3" ht="14.25" customHeight="1" x14ac:dyDescent="0.35">
      <c r="B186" s="1"/>
      <c r="C186" s="74"/>
    </row>
    <row r="187" spans="2:3" ht="14.25" customHeight="1" x14ac:dyDescent="0.35">
      <c r="B187" s="1"/>
      <c r="C187" s="74"/>
    </row>
    <row r="188" spans="2:3" ht="14.25" customHeight="1" x14ac:dyDescent="0.35">
      <c r="B188" s="1"/>
      <c r="C188" s="74"/>
    </row>
    <row r="189" spans="2:3" ht="14.25" customHeight="1" x14ac:dyDescent="0.35">
      <c r="B189" s="1"/>
      <c r="C189" s="74"/>
    </row>
    <row r="190" spans="2:3" ht="14.25" customHeight="1" x14ac:dyDescent="0.35">
      <c r="B190" s="1"/>
      <c r="C190" s="74"/>
    </row>
    <row r="191" spans="2:3" ht="14.25" customHeight="1" x14ac:dyDescent="0.35">
      <c r="B191" s="1"/>
      <c r="C191" s="74"/>
    </row>
    <row r="192" spans="2:3" ht="14.25" customHeight="1" x14ac:dyDescent="0.35">
      <c r="B192" s="1"/>
      <c r="C192" s="74"/>
    </row>
    <row r="193" spans="2:3" ht="14.25" customHeight="1" x14ac:dyDescent="0.35">
      <c r="B193" s="1"/>
      <c r="C193" s="74"/>
    </row>
    <row r="194" spans="2:3" ht="14.25" customHeight="1" x14ac:dyDescent="0.35">
      <c r="B194" s="1"/>
      <c r="C194" s="74"/>
    </row>
    <row r="195" spans="2:3" ht="14.25" customHeight="1" x14ac:dyDescent="0.35">
      <c r="B195" s="1"/>
      <c r="C195" s="74"/>
    </row>
    <row r="196" spans="2:3" ht="14.25" customHeight="1" x14ac:dyDescent="0.35">
      <c r="B196" s="1"/>
      <c r="C196" s="74"/>
    </row>
    <row r="197" spans="2:3" ht="14.25" customHeight="1" x14ac:dyDescent="0.35">
      <c r="B197" s="1"/>
      <c r="C197" s="74"/>
    </row>
    <row r="198" spans="2:3" ht="14.25" customHeight="1" x14ac:dyDescent="0.35">
      <c r="B198" s="1"/>
      <c r="C198" s="74"/>
    </row>
    <row r="199" spans="2:3" ht="14.25" customHeight="1" x14ac:dyDescent="0.35">
      <c r="B199" s="1"/>
      <c r="C199" s="74"/>
    </row>
    <row r="200" spans="2:3" ht="14.25" customHeight="1" x14ac:dyDescent="0.35">
      <c r="B200" s="1"/>
      <c r="C200" s="74"/>
    </row>
    <row r="201" spans="2:3" ht="14.25" customHeight="1" x14ac:dyDescent="0.35">
      <c r="B201" s="1"/>
      <c r="C201" s="74"/>
    </row>
    <row r="202" spans="2:3" ht="14.25" customHeight="1" x14ac:dyDescent="0.35">
      <c r="B202" s="1"/>
      <c r="C202" s="74"/>
    </row>
    <row r="203" spans="2:3" ht="14.25" customHeight="1" x14ac:dyDescent="0.35">
      <c r="B203" s="1"/>
      <c r="C203" s="74"/>
    </row>
    <row r="204" spans="2:3" ht="14.25" customHeight="1" x14ac:dyDescent="0.35">
      <c r="B204" s="1"/>
      <c r="C204" s="74"/>
    </row>
    <row r="205" spans="2:3" ht="14.25" customHeight="1" x14ac:dyDescent="0.35">
      <c r="B205" s="1"/>
      <c r="C205" s="74"/>
    </row>
    <row r="206" spans="2:3" ht="14.25" customHeight="1" x14ac:dyDescent="0.35">
      <c r="B206" s="1"/>
      <c r="C206" s="74"/>
    </row>
    <row r="207" spans="2:3" ht="14.25" customHeight="1" x14ac:dyDescent="0.35">
      <c r="B207" s="1"/>
      <c r="C207" s="74"/>
    </row>
    <row r="208" spans="2:3" ht="14.25" customHeight="1" x14ac:dyDescent="0.35">
      <c r="B208" s="1"/>
      <c r="C208" s="74"/>
    </row>
    <row r="209" spans="2:3" ht="14.25" customHeight="1" x14ac:dyDescent="0.35">
      <c r="B209" s="1"/>
      <c r="C209" s="74"/>
    </row>
    <row r="210" spans="2:3" ht="14.25" customHeight="1" x14ac:dyDescent="0.35">
      <c r="B210" s="1"/>
      <c r="C210" s="74"/>
    </row>
    <row r="211" spans="2:3" ht="14.25" customHeight="1" x14ac:dyDescent="0.35">
      <c r="B211" s="1"/>
      <c r="C211" s="74"/>
    </row>
    <row r="212" spans="2:3" ht="14.25" customHeight="1" x14ac:dyDescent="0.35">
      <c r="B212" s="1"/>
      <c r="C212" s="74"/>
    </row>
    <row r="213" spans="2:3" ht="14.25" customHeight="1" x14ac:dyDescent="0.35">
      <c r="B213" s="1"/>
      <c r="C213" s="74"/>
    </row>
    <row r="214" spans="2:3" ht="14.25" customHeight="1" x14ac:dyDescent="0.35">
      <c r="B214" s="1"/>
      <c r="C214" s="74"/>
    </row>
    <row r="215" spans="2:3" ht="14.25" customHeight="1" x14ac:dyDescent="0.35">
      <c r="B215" s="1"/>
      <c r="C215" s="74"/>
    </row>
    <row r="216" spans="2:3" ht="14.25" customHeight="1" x14ac:dyDescent="0.35">
      <c r="B216" s="1"/>
      <c r="C216" s="74"/>
    </row>
    <row r="217" spans="2:3" ht="14.25" customHeight="1" x14ac:dyDescent="0.35">
      <c r="B217" s="1"/>
      <c r="C217" s="74"/>
    </row>
    <row r="218" spans="2:3" ht="14.25" customHeight="1" x14ac:dyDescent="0.35">
      <c r="B218" s="1"/>
      <c r="C218" s="74"/>
    </row>
    <row r="219" spans="2:3" ht="14.25" customHeight="1" x14ac:dyDescent="0.35">
      <c r="B219" s="1"/>
      <c r="C219" s="74"/>
    </row>
    <row r="220" spans="2:3" ht="14.25" customHeight="1" x14ac:dyDescent="0.35">
      <c r="B220" s="1"/>
      <c r="C220" s="74"/>
    </row>
    <row r="221" spans="2:3" ht="14.25" customHeight="1" x14ac:dyDescent="0.35">
      <c r="B221" s="1"/>
      <c r="C221" s="74"/>
    </row>
    <row r="222" spans="2:3" ht="14.25" customHeight="1" x14ac:dyDescent="0.35">
      <c r="B222" s="1"/>
      <c r="C222" s="74"/>
    </row>
    <row r="223" spans="2:3" ht="14.25" customHeight="1" x14ac:dyDescent="0.35">
      <c r="B223" s="1"/>
      <c r="C223" s="74"/>
    </row>
    <row r="224" spans="2:3" ht="14.25" customHeight="1" x14ac:dyDescent="0.35">
      <c r="B224" s="1"/>
      <c r="C224" s="74"/>
    </row>
    <row r="225" spans="2:3" ht="14.25" customHeight="1" x14ac:dyDescent="0.35">
      <c r="B225" s="1"/>
      <c r="C225" s="74"/>
    </row>
    <row r="226" spans="2:3" ht="14.25" customHeight="1" x14ac:dyDescent="0.35">
      <c r="B226" s="1"/>
      <c r="C226" s="74"/>
    </row>
    <row r="227" spans="2:3" ht="14.25" customHeight="1" x14ac:dyDescent="0.35">
      <c r="B227" s="1"/>
      <c r="C227" s="74"/>
    </row>
    <row r="228" spans="2:3" ht="14.25" customHeight="1" x14ac:dyDescent="0.35">
      <c r="B228" s="1"/>
      <c r="C228" s="74"/>
    </row>
    <row r="229" spans="2:3" ht="14.25" customHeight="1" x14ac:dyDescent="0.35">
      <c r="B229" s="1"/>
      <c r="C229" s="74"/>
    </row>
    <row r="230" spans="2:3" ht="14.25" customHeight="1" x14ac:dyDescent="0.35">
      <c r="B230" s="1"/>
      <c r="C230" s="74"/>
    </row>
    <row r="231" spans="2:3" ht="14.25" customHeight="1" x14ac:dyDescent="0.35">
      <c r="B231" s="1"/>
      <c r="C231" s="74"/>
    </row>
    <row r="232" spans="2:3" ht="14.25" customHeight="1" x14ac:dyDescent="0.35">
      <c r="B232" s="1"/>
      <c r="C232" s="74"/>
    </row>
    <row r="233" spans="2:3" ht="14.25" customHeight="1" x14ac:dyDescent="0.35">
      <c r="B233" s="1"/>
      <c r="C233" s="74"/>
    </row>
    <row r="234" spans="2:3" ht="14.25" customHeight="1" x14ac:dyDescent="0.35">
      <c r="B234" s="1"/>
      <c r="C234" s="74"/>
    </row>
    <row r="235" spans="2:3" ht="14.25" customHeight="1" x14ac:dyDescent="0.35">
      <c r="B235" s="1"/>
      <c r="C235" s="74"/>
    </row>
    <row r="236" spans="2:3" ht="14.25" customHeight="1" x14ac:dyDescent="0.35">
      <c r="B236" s="1"/>
      <c r="C236" s="74"/>
    </row>
    <row r="237" spans="2:3" ht="14.25" customHeight="1" x14ac:dyDescent="0.35">
      <c r="B237" s="1"/>
      <c r="C237" s="74"/>
    </row>
    <row r="238" spans="2:3" ht="14.25" customHeight="1" x14ac:dyDescent="0.35">
      <c r="B238" s="1"/>
      <c r="C238" s="74"/>
    </row>
    <row r="239" spans="2:3" ht="14.25" customHeight="1" x14ac:dyDescent="0.35">
      <c r="B239" s="1"/>
      <c r="C239" s="74"/>
    </row>
    <row r="240" spans="2:3" ht="14.25" customHeight="1" x14ac:dyDescent="0.35">
      <c r="B240" s="1"/>
      <c r="C240" s="74"/>
    </row>
    <row r="241" spans="2:3" ht="14.25" customHeight="1" x14ac:dyDescent="0.35">
      <c r="B241" s="1"/>
      <c r="C241" s="74"/>
    </row>
    <row r="242" spans="2:3" ht="14.25" customHeight="1" x14ac:dyDescent="0.35">
      <c r="B242" s="1"/>
      <c r="C242" s="74"/>
    </row>
    <row r="243" spans="2:3" ht="14.25" customHeight="1" x14ac:dyDescent="0.35">
      <c r="B243" s="1"/>
      <c r="C243" s="74"/>
    </row>
    <row r="244" spans="2:3" ht="14.25" customHeight="1" x14ac:dyDescent="0.35">
      <c r="B244" s="1"/>
      <c r="C244" s="74"/>
    </row>
    <row r="245" spans="2:3" ht="14.25" customHeight="1" x14ac:dyDescent="0.35">
      <c r="B245" s="1"/>
      <c r="C245" s="74"/>
    </row>
    <row r="246" spans="2:3" ht="14.25" customHeight="1" x14ac:dyDescent="0.35">
      <c r="B246" s="1"/>
      <c r="C246" s="74"/>
    </row>
    <row r="247" spans="2:3" ht="14.25" customHeight="1" x14ac:dyDescent="0.35">
      <c r="B247" s="1"/>
      <c r="C247" s="74"/>
    </row>
    <row r="248" spans="2:3" ht="14.25" customHeight="1" x14ac:dyDescent="0.35">
      <c r="B248" s="1"/>
      <c r="C248" s="74"/>
    </row>
    <row r="249" spans="2:3" ht="14.25" customHeight="1" x14ac:dyDescent="0.35">
      <c r="B249" s="1"/>
      <c r="C249" s="74"/>
    </row>
    <row r="250" spans="2:3" ht="14.25" customHeight="1" x14ac:dyDescent="0.35">
      <c r="B250" s="1"/>
      <c r="C250" s="74"/>
    </row>
    <row r="251" spans="2:3" ht="14.25" customHeight="1" x14ac:dyDescent="0.35">
      <c r="B251" s="1"/>
      <c r="C251" s="74"/>
    </row>
    <row r="252" spans="2:3" ht="14.25" customHeight="1" x14ac:dyDescent="0.35">
      <c r="B252" s="1"/>
      <c r="C252" s="74"/>
    </row>
    <row r="253" spans="2:3" ht="14.25" customHeight="1" x14ac:dyDescent="0.35">
      <c r="B253" s="1"/>
      <c r="C253" s="74"/>
    </row>
    <row r="254" spans="2:3" ht="14.25" customHeight="1" x14ac:dyDescent="0.35">
      <c r="B254" s="1"/>
      <c r="C254" s="74"/>
    </row>
    <row r="255" spans="2:3" ht="14.25" customHeight="1" x14ac:dyDescent="0.35">
      <c r="B255" s="1"/>
      <c r="C255" s="74"/>
    </row>
    <row r="256" spans="2:3" ht="14.25" customHeight="1" x14ac:dyDescent="0.35">
      <c r="B256" s="1"/>
      <c r="C256" s="74"/>
    </row>
    <row r="257" spans="2:3" ht="14.25" customHeight="1" x14ac:dyDescent="0.35">
      <c r="B257" s="1"/>
      <c r="C257" s="74"/>
    </row>
    <row r="258" spans="2:3" ht="14.25" customHeight="1" x14ac:dyDescent="0.35">
      <c r="B258" s="1"/>
      <c r="C258" s="74"/>
    </row>
    <row r="259" spans="2:3" ht="14.25" customHeight="1" x14ac:dyDescent="0.35">
      <c r="B259" s="1"/>
      <c r="C259" s="74"/>
    </row>
    <row r="260" spans="2:3" ht="14.25" customHeight="1" x14ac:dyDescent="0.35">
      <c r="B260" s="1"/>
      <c r="C260" s="74"/>
    </row>
    <row r="261" spans="2:3" ht="14.25" customHeight="1" x14ac:dyDescent="0.35">
      <c r="B261" s="1"/>
      <c r="C261" s="74"/>
    </row>
    <row r="262" spans="2:3" ht="14.25" customHeight="1" x14ac:dyDescent="0.35">
      <c r="B262" s="1"/>
      <c r="C262" s="74"/>
    </row>
    <row r="263" spans="2:3" ht="14.25" customHeight="1" x14ac:dyDescent="0.35">
      <c r="B263" s="1"/>
      <c r="C263" s="74"/>
    </row>
    <row r="264" spans="2:3" ht="14.25" customHeight="1" x14ac:dyDescent="0.35">
      <c r="B264" s="1"/>
      <c r="C264" s="74"/>
    </row>
    <row r="265" spans="2:3" ht="14.25" customHeight="1" x14ac:dyDescent="0.35">
      <c r="B265" s="1"/>
      <c r="C265" s="74"/>
    </row>
    <row r="266" spans="2:3" ht="14.25" customHeight="1" x14ac:dyDescent="0.35">
      <c r="B266" s="1"/>
      <c r="C266" s="74"/>
    </row>
    <row r="267" spans="2:3" ht="14.25" customHeight="1" x14ac:dyDescent="0.35">
      <c r="B267" s="1"/>
      <c r="C267" s="74"/>
    </row>
    <row r="268" spans="2:3" ht="14.25" customHeight="1" x14ac:dyDescent="0.35">
      <c r="B268" s="1"/>
      <c r="C268" s="74"/>
    </row>
    <row r="269" spans="2:3" ht="14.25" customHeight="1" x14ac:dyDescent="0.35">
      <c r="B269" s="1"/>
      <c r="C269" s="74"/>
    </row>
    <row r="270" spans="2:3" ht="14.25" customHeight="1" x14ac:dyDescent="0.35">
      <c r="B270" s="1"/>
      <c r="C270" s="74"/>
    </row>
    <row r="271" spans="2:3" ht="14.25" customHeight="1" x14ac:dyDescent="0.35">
      <c r="B271" s="1"/>
      <c r="C271" s="74"/>
    </row>
    <row r="272" spans="2:3" ht="14.25" customHeight="1" x14ac:dyDescent="0.35">
      <c r="B272" s="1"/>
      <c r="C272" s="74"/>
    </row>
    <row r="273" spans="2:3" ht="14.25" customHeight="1" x14ac:dyDescent="0.35">
      <c r="B273" s="1"/>
      <c r="C273" s="74"/>
    </row>
    <row r="274" spans="2:3" ht="14.25" customHeight="1" x14ac:dyDescent="0.35">
      <c r="B274" s="1"/>
      <c r="C274" s="74"/>
    </row>
    <row r="275" spans="2:3" ht="14.25" customHeight="1" x14ac:dyDescent="0.35">
      <c r="B275" s="1"/>
      <c r="C275" s="74"/>
    </row>
    <row r="276" spans="2:3" ht="14.25" customHeight="1" x14ac:dyDescent="0.35">
      <c r="B276" s="1"/>
      <c r="C276" s="74"/>
    </row>
    <row r="277" spans="2:3" ht="14.25" customHeight="1" x14ac:dyDescent="0.35">
      <c r="B277" s="1"/>
      <c r="C277" s="74"/>
    </row>
    <row r="278" spans="2:3" ht="14.25" customHeight="1" x14ac:dyDescent="0.35">
      <c r="B278" s="1"/>
      <c r="C278" s="74"/>
    </row>
    <row r="279" spans="2:3" ht="14.25" customHeight="1" x14ac:dyDescent="0.35">
      <c r="B279" s="1"/>
      <c r="C279" s="74"/>
    </row>
    <row r="280" spans="2:3" ht="14.25" customHeight="1" x14ac:dyDescent="0.35">
      <c r="B280" s="1"/>
      <c r="C280" s="74"/>
    </row>
    <row r="281" spans="2:3" ht="14.25" customHeight="1" x14ac:dyDescent="0.35">
      <c r="B281" s="1"/>
      <c r="C281" s="74"/>
    </row>
    <row r="282" spans="2:3" ht="14.25" customHeight="1" x14ac:dyDescent="0.35">
      <c r="B282" s="1"/>
      <c r="C282" s="74"/>
    </row>
    <row r="283" spans="2:3" ht="14.25" customHeight="1" x14ac:dyDescent="0.35">
      <c r="B283" s="1"/>
      <c r="C283" s="74"/>
    </row>
    <row r="284" spans="2:3" ht="14.25" customHeight="1" x14ac:dyDescent="0.35">
      <c r="B284" s="1"/>
      <c r="C284" s="74"/>
    </row>
    <row r="285" spans="2:3" ht="14.25" customHeight="1" x14ac:dyDescent="0.35">
      <c r="B285" s="1"/>
      <c r="C285" s="74"/>
    </row>
    <row r="286" spans="2:3" ht="14.25" customHeight="1" x14ac:dyDescent="0.35">
      <c r="B286" s="1"/>
      <c r="C286" s="74"/>
    </row>
    <row r="287" spans="2:3" ht="14.25" customHeight="1" x14ac:dyDescent="0.35">
      <c r="B287" s="1"/>
      <c r="C287" s="74"/>
    </row>
    <row r="288" spans="2:3" ht="14.25" customHeight="1" x14ac:dyDescent="0.35">
      <c r="B288" s="1"/>
      <c r="C288" s="74"/>
    </row>
    <row r="289" spans="2:3" ht="14.25" customHeight="1" x14ac:dyDescent="0.35">
      <c r="B289" s="1"/>
      <c r="C289" s="74"/>
    </row>
    <row r="290" spans="2:3" ht="14.25" customHeight="1" x14ac:dyDescent="0.35">
      <c r="B290" s="1"/>
      <c r="C290" s="74"/>
    </row>
    <row r="291" spans="2:3" ht="14.25" customHeight="1" x14ac:dyDescent="0.35">
      <c r="B291" s="1"/>
      <c r="C291" s="74"/>
    </row>
    <row r="292" spans="2:3" ht="14.25" customHeight="1" x14ac:dyDescent="0.35">
      <c r="B292" s="1"/>
      <c r="C292" s="74"/>
    </row>
    <row r="293" spans="2:3" ht="14.25" customHeight="1" x14ac:dyDescent="0.35">
      <c r="B293" s="1"/>
      <c r="C293" s="74"/>
    </row>
    <row r="294" spans="2:3" ht="14.25" customHeight="1" x14ac:dyDescent="0.35">
      <c r="B294" s="1"/>
      <c r="C294" s="74"/>
    </row>
    <row r="295" spans="2:3" ht="14.25" customHeight="1" x14ac:dyDescent="0.35">
      <c r="B295" s="1"/>
      <c r="C295" s="74"/>
    </row>
    <row r="296" spans="2:3" ht="14.25" customHeight="1" x14ac:dyDescent="0.35">
      <c r="B296" s="1"/>
      <c r="C296" s="74"/>
    </row>
    <row r="297" spans="2:3" ht="14.25" customHeight="1" x14ac:dyDescent="0.35">
      <c r="B297" s="1"/>
      <c r="C297" s="74"/>
    </row>
    <row r="298" spans="2:3" ht="14.25" customHeight="1" x14ac:dyDescent="0.35">
      <c r="B298" s="1"/>
      <c r="C298" s="74"/>
    </row>
    <row r="299" spans="2:3" ht="14.25" customHeight="1" x14ac:dyDescent="0.35">
      <c r="B299" s="1"/>
      <c r="C299" s="74"/>
    </row>
    <row r="300" spans="2:3" ht="14.25" customHeight="1" x14ac:dyDescent="0.35">
      <c r="B300" s="1"/>
      <c r="C300" s="74"/>
    </row>
    <row r="301" spans="2:3" ht="14.25" customHeight="1" x14ac:dyDescent="0.35">
      <c r="B301" s="1"/>
      <c r="C301" s="74"/>
    </row>
    <row r="302" spans="2:3" ht="14.25" customHeight="1" x14ac:dyDescent="0.35">
      <c r="B302" s="1"/>
      <c r="C302" s="74"/>
    </row>
    <row r="303" spans="2:3" ht="14.25" customHeight="1" x14ac:dyDescent="0.35">
      <c r="B303" s="1"/>
      <c r="C303" s="74"/>
    </row>
    <row r="304" spans="2:3" ht="14.25" customHeight="1" x14ac:dyDescent="0.35">
      <c r="B304" s="1"/>
      <c r="C304" s="74"/>
    </row>
    <row r="305" spans="2:3" ht="14.25" customHeight="1" x14ac:dyDescent="0.35">
      <c r="B305" s="1"/>
      <c r="C305" s="74"/>
    </row>
    <row r="306" spans="2:3" ht="14.25" customHeight="1" x14ac:dyDescent="0.35">
      <c r="B306" s="1"/>
      <c r="C306" s="74"/>
    </row>
    <row r="307" spans="2:3" ht="14.25" customHeight="1" x14ac:dyDescent="0.35">
      <c r="B307" s="1"/>
      <c r="C307" s="74"/>
    </row>
    <row r="308" spans="2:3" ht="14.25" customHeight="1" x14ac:dyDescent="0.35">
      <c r="B308" s="1"/>
      <c r="C308" s="74"/>
    </row>
    <row r="309" spans="2:3" ht="14.25" customHeight="1" x14ac:dyDescent="0.35">
      <c r="B309" s="1"/>
      <c r="C309" s="74"/>
    </row>
    <row r="310" spans="2:3" ht="14.25" customHeight="1" x14ac:dyDescent="0.35">
      <c r="B310" s="1"/>
      <c r="C310" s="74"/>
    </row>
    <row r="311" spans="2:3" ht="14.25" customHeight="1" x14ac:dyDescent="0.35">
      <c r="B311" s="1"/>
      <c r="C311" s="74"/>
    </row>
    <row r="312" spans="2:3" ht="14.25" customHeight="1" x14ac:dyDescent="0.35">
      <c r="B312" s="1"/>
      <c r="C312" s="74"/>
    </row>
    <row r="313" spans="2:3" ht="14.25" customHeight="1" x14ac:dyDescent="0.35">
      <c r="B313" s="1"/>
      <c r="C313" s="74"/>
    </row>
    <row r="314" spans="2:3" ht="14.25" customHeight="1" x14ac:dyDescent="0.35">
      <c r="B314" s="1"/>
      <c r="C314" s="74"/>
    </row>
    <row r="315" spans="2:3" ht="14.25" customHeight="1" x14ac:dyDescent="0.35">
      <c r="B315" s="1"/>
      <c r="C315" s="74"/>
    </row>
    <row r="316" spans="2:3" ht="14.25" customHeight="1" x14ac:dyDescent="0.35">
      <c r="B316" s="1"/>
      <c r="C316" s="74"/>
    </row>
    <row r="317" spans="2:3" ht="14.25" customHeight="1" x14ac:dyDescent="0.35">
      <c r="B317" s="1"/>
      <c r="C317" s="74"/>
    </row>
    <row r="318" spans="2:3" ht="14.25" customHeight="1" x14ac:dyDescent="0.35">
      <c r="B318" s="1"/>
      <c r="C318" s="74"/>
    </row>
    <row r="319" spans="2:3" ht="14.25" customHeight="1" x14ac:dyDescent="0.35">
      <c r="B319" s="1"/>
      <c r="C319" s="74"/>
    </row>
    <row r="320" spans="2:3" ht="14.25" customHeight="1" x14ac:dyDescent="0.35">
      <c r="B320" s="1"/>
      <c r="C320" s="74"/>
    </row>
    <row r="321" spans="2:3" ht="14.25" customHeight="1" x14ac:dyDescent="0.35">
      <c r="B321" s="1"/>
      <c r="C321" s="74"/>
    </row>
    <row r="322" spans="2:3" ht="14.25" customHeight="1" x14ac:dyDescent="0.35">
      <c r="B322" s="1"/>
      <c r="C322" s="74"/>
    </row>
    <row r="323" spans="2:3" ht="14.25" customHeight="1" x14ac:dyDescent="0.35">
      <c r="B323" s="1"/>
      <c r="C323" s="74"/>
    </row>
    <row r="324" spans="2:3" ht="14.25" customHeight="1" x14ac:dyDescent="0.35">
      <c r="B324" s="1"/>
      <c r="C324" s="74"/>
    </row>
    <row r="325" spans="2:3" ht="14.25" customHeight="1" x14ac:dyDescent="0.35">
      <c r="B325" s="1"/>
      <c r="C325" s="74"/>
    </row>
    <row r="326" spans="2:3" ht="14.25" customHeight="1" x14ac:dyDescent="0.35">
      <c r="B326" s="1"/>
      <c r="C326" s="74"/>
    </row>
    <row r="327" spans="2:3" ht="14.25" customHeight="1" x14ac:dyDescent="0.35">
      <c r="B327" s="1"/>
      <c r="C327" s="74"/>
    </row>
    <row r="328" spans="2:3" ht="14.25" customHeight="1" x14ac:dyDescent="0.35">
      <c r="B328" s="1"/>
      <c r="C328" s="74"/>
    </row>
    <row r="329" spans="2:3" ht="14.25" customHeight="1" x14ac:dyDescent="0.35">
      <c r="B329" s="1"/>
      <c r="C329" s="74"/>
    </row>
    <row r="330" spans="2:3" ht="14.25" customHeight="1" x14ac:dyDescent="0.35">
      <c r="B330" s="1"/>
      <c r="C330" s="74"/>
    </row>
    <row r="331" spans="2:3" ht="14.25" customHeight="1" x14ac:dyDescent="0.35">
      <c r="B331" s="1"/>
      <c r="C331" s="74"/>
    </row>
    <row r="332" spans="2:3" ht="14.25" customHeight="1" x14ac:dyDescent="0.35">
      <c r="B332" s="1"/>
      <c r="C332" s="74"/>
    </row>
    <row r="333" spans="2:3" ht="14.25" customHeight="1" x14ac:dyDescent="0.35">
      <c r="B333" s="1"/>
      <c r="C333" s="74"/>
    </row>
    <row r="334" spans="2:3" ht="14.25" customHeight="1" x14ac:dyDescent="0.35">
      <c r="B334" s="1"/>
      <c r="C334" s="74"/>
    </row>
    <row r="335" spans="2:3" ht="14.25" customHeight="1" x14ac:dyDescent="0.35">
      <c r="B335" s="1"/>
      <c r="C335" s="74"/>
    </row>
    <row r="336" spans="2:3" ht="14.25" customHeight="1" x14ac:dyDescent="0.35">
      <c r="B336" s="1"/>
      <c r="C336" s="74"/>
    </row>
    <row r="337" spans="2:3" ht="14.25" customHeight="1" x14ac:dyDescent="0.35">
      <c r="B337" s="1"/>
      <c r="C337" s="74"/>
    </row>
    <row r="338" spans="2:3" ht="14.25" customHeight="1" x14ac:dyDescent="0.35">
      <c r="B338" s="1"/>
      <c r="C338" s="74"/>
    </row>
    <row r="339" spans="2:3" ht="14.25" customHeight="1" x14ac:dyDescent="0.35">
      <c r="B339" s="1"/>
      <c r="C339" s="74"/>
    </row>
    <row r="340" spans="2:3" ht="14.25" customHeight="1" x14ac:dyDescent="0.35">
      <c r="B340" s="1"/>
      <c r="C340" s="74"/>
    </row>
    <row r="341" spans="2:3" ht="14.25" customHeight="1" x14ac:dyDescent="0.35">
      <c r="B341" s="1"/>
      <c r="C341" s="74"/>
    </row>
    <row r="342" spans="2:3" ht="14.25" customHeight="1" x14ac:dyDescent="0.35">
      <c r="B342" s="1"/>
      <c r="C342" s="74"/>
    </row>
    <row r="343" spans="2:3" ht="14.25" customHeight="1" x14ac:dyDescent="0.35">
      <c r="B343" s="1"/>
      <c r="C343" s="74"/>
    </row>
    <row r="344" spans="2:3" ht="14.25" customHeight="1" x14ac:dyDescent="0.35">
      <c r="B344" s="1"/>
      <c r="C344" s="74"/>
    </row>
    <row r="345" spans="2:3" ht="14.25" customHeight="1" x14ac:dyDescent="0.35">
      <c r="B345" s="1"/>
      <c r="C345" s="74"/>
    </row>
    <row r="346" spans="2:3" ht="14.25" customHeight="1" x14ac:dyDescent="0.35">
      <c r="B346" s="1"/>
      <c r="C346" s="74"/>
    </row>
    <row r="347" spans="2:3" ht="14.25" customHeight="1" x14ac:dyDescent="0.35">
      <c r="B347" s="1"/>
      <c r="C347" s="74"/>
    </row>
    <row r="348" spans="2:3" ht="14.25" customHeight="1" x14ac:dyDescent="0.35">
      <c r="B348" s="1"/>
      <c r="C348" s="74"/>
    </row>
    <row r="349" spans="2:3" ht="14.25" customHeight="1" x14ac:dyDescent="0.35">
      <c r="B349" s="1"/>
      <c r="C349" s="74"/>
    </row>
    <row r="350" spans="2:3" ht="14.25" customHeight="1" x14ac:dyDescent="0.35">
      <c r="B350" s="1"/>
      <c r="C350" s="74"/>
    </row>
    <row r="351" spans="2:3" ht="14.25" customHeight="1" x14ac:dyDescent="0.35">
      <c r="B351" s="1"/>
      <c r="C351" s="74"/>
    </row>
    <row r="352" spans="2:3" ht="14.25" customHeight="1" x14ac:dyDescent="0.35">
      <c r="B352" s="1"/>
      <c r="C352" s="74"/>
    </row>
    <row r="353" spans="2:3" ht="14.25" customHeight="1" x14ac:dyDescent="0.35">
      <c r="B353" s="1"/>
      <c r="C353" s="74"/>
    </row>
    <row r="354" spans="2:3" ht="14.25" customHeight="1" x14ac:dyDescent="0.35">
      <c r="B354" s="1"/>
      <c r="C354" s="74"/>
    </row>
    <row r="355" spans="2:3" ht="14.25" customHeight="1" x14ac:dyDescent="0.35">
      <c r="B355" s="1"/>
      <c r="C355" s="74"/>
    </row>
    <row r="356" spans="2:3" ht="14.25" customHeight="1" x14ac:dyDescent="0.35">
      <c r="B356" s="1"/>
      <c r="C356" s="74"/>
    </row>
    <row r="357" spans="2:3" ht="14.25" customHeight="1" x14ac:dyDescent="0.35">
      <c r="B357" s="1"/>
      <c r="C357" s="74"/>
    </row>
    <row r="358" spans="2:3" ht="14.25" customHeight="1" x14ac:dyDescent="0.35">
      <c r="B358" s="1"/>
      <c r="C358" s="74"/>
    </row>
    <row r="359" spans="2:3" ht="14.25" customHeight="1" x14ac:dyDescent="0.35">
      <c r="B359" s="1"/>
      <c r="C359" s="74"/>
    </row>
    <row r="360" spans="2:3" ht="14.25" customHeight="1" x14ac:dyDescent="0.35">
      <c r="B360" s="1"/>
      <c r="C360" s="74"/>
    </row>
    <row r="361" spans="2:3" ht="14.25" customHeight="1" x14ac:dyDescent="0.35">
      <c r="B361" s="1"/>
      <c r="C361" s="74"/>
    </row>
    <row r="362" spans="2:3" ht="14.25" customHeight="1" x14ac:dyDescent="0.35">
      <c r="B362" s="1"/>
      <c r="C362" s="74"/>
    </row>
    <row r="363" spans="2:3" ht="14.25" customHeight="1" x14ac:dyDescent="0.35">
      <c r="B363" s="1"/>
      <c r="C363" s="74"/>
    </row>
    <row r="364" spans="2:3" ht="14.25" customHeight="1" x14ac:dyDescent="0.35">
      <c r="B364" s="1"/>
      <c r="C364" s="74"/>
    </row>
    <row r="365" spans="2:3" ht="14.25" customHeight="1" x14ac:dyDescent="0.35">
      <c r="B365" s="1"/>
      <c r="C365" s="74"/>
    </row>
    <row r="366" spans="2:3" ht="14.25" customHeight="1" x14ac:dyDescent="0.35">
      <c r="B366" s="1"/>
      <c r="C366" s="74"/>
    </row>
    <row r="367" spans="2:3" ht="14.25" customHeight="1" x14ac:dyDescent="0.35">
      <c r="B367" s="1"/>
      <c r="C367" s="74"/>
    </row>
    <row r="368" spans="2:3" ht="14.25" customHeight="1" x14ac:dyDescent="0.35">
      <c r="B368" s="1"/>
      <c r="C368" s="74"/>
    </row>
    <row r="369" spans="2:3" ht="14.25" customHeight="1" x14ac:dyDescent="0.35">
      <c r="B369" s="1"/>
      <c r="C369" s="74"/>
    </row>
    <row r="370" spans="2:3" ht="14.25" customHeight="1" x14ac:dyDescent="0.35">
      <c r="B370" s="1"/>
      <c r="C370" s="74"/>
    </row>
    <row r="371" spans="2:3" ht="14.25" customHeight="1" x14ac:dyDescent="0.35">
      <c r="B371" s="1"/>
      <c r="C371" s="74"/>
    </row>
    <row r="372" spans="2:3" ht="14.25" customHeight="1" x14ac:dyDescent="0.35">
      <c r="B372" s="1"/>
      <c r="C372" s="74"/>
    </row>
    <row r="373" spans="2:3" ht="14.25" customHeight="1" x14ac:dyDescent="0.35">
      <c r="B373" s="1"/>
      <c r="C373" s="74"/>
    </row>
    <row r="374" spans="2:3" ht="14.25" customHeight="1" x14ac:dyDescent="0.35">
      <c r="B374" s="1"/>
      <c r="C374" s="74"/>
    </row>
    <row r="375" spans="2:3" ht="14.25" customHeight="1" x14ac:dyDescent="0.35">
      <c r="B375" s="1"/>
      <c r="C375" s="74"/>
    </row>
    <row r="376" spans="2:3" ht="14.25" customHeight="1" x14ac:dyDescent="0.35">
      <c r="B376" s="1"/>
      <c r="C376" s="74"/>
    </row>
    <row r="377" spans="2:3" ht="14.25" customHeight="1" x14ac:dyDescent="0.35">
      <c r="B377" s="1"/>
      <c r="C377" s="74"/>
    </row>
    <row r="378" spans="2:3" ht="14.25" customHeight="1" x14ac:dyDescent="0.35">
      <c r="B378" s="1"/>
      <c r="C378" s="74"/>
    </row>
    <row r="379" spans="2:3" ht="14.25" customHeight="1" x14ac:dyDescent="0.35">
      <c r="B379" s="1"/>
      <c r="C379" s="74"/>
    </row>
    <row r="380" spans="2:3" ht="14.25" customHeight="1" x14ac:dyDescent="0.35">
      <c r="B380" s="1"/>
      <c r="C380" s="74"/>
    </row>
    <row r="381" spans="2:3" ht="14.25" customHeight="1" x14ac:dyDescent="0.35">
      <c r="B381" s="1"/>
      <c r="C381" s="74"/>
    </row>
    <row r="382" spans="2:3" ht="14.25" customHeight="1" x14ac:dyDescent="0.35">
      <c r="B382" s="1"/>
      <c r="C382" s="74"/>
    </row>
    <row r="383" spans="2:3" ht="14.25" customHeight="1" x14ac:dyDescent="0.35">
      <c r="B383" s="1"/>
      <c r="C383" s="74"/>
    </row>
    <row r="384" spans="2:3" ht="14.25" customHeight="1" x14ac:dyDescent="0.35">
      <c r="B384" s="1"/>
      <c r="C384" s="74"/>
    </row>
    <row r="385" spans="2:3" ht="14.25" customHeight="1" x14ac:dyDescent="0.35">
      <c r="B385" s="1"/>
      <c r="C385" s="74"/>
    </row>
    <row r="386" spans="2:3" ht="14.25" customHeight="1" x14ac:dyDescent="0.35">
      <c r="B386" s="1"/>
      <c r="C386" s="74"/>
    </row>
    <row r="387" spans="2:3" ht="14.25" customHeight="1" x14ac:dyDescent="0.35">
      <c r="B387" s="1"/>
      <c r="C387" s="74"/>
    </row>
    <row r="388" spans="2:3" ht="14.25" customHeight="1" x14ac:dyDescent="0.35">
      <c r="B388" s="1"/>
      <c r="C388" s="74"/>
    </row>
    <row r="389" spans="2:3" ht="14.25" customHeight="1" x14ac:dyDescent="0.35">
      <c r="B389" s="1"/>
      <c r="C389" s="74"/>
    </row>
    <row r="390" spans="2:3" ht="14.25" customHeight="1" x14ac:dyDescent="0.35">
      <c r="B390" s="1"/>
      <c r="C390" s="74"/>
    </row>
    <row r="391" spans="2:3" ht="14.25" customHeight="1" x14ac:dyDescent="0.35">
      <c r="B391" s="1"/>
      <c r="C391" s="74"/>
    </row>
    <row r="392" spans="2:3" ht="14.25" customHeight="1" x14ac:dyDescent="0.35">
      <c r="B392" s="1"/>
      <c r="C392" s="74"/>
    </row>
    <row r="393" spans="2:3" ht="14.25" customHeight="1" x14ac:dyDescent="0.35">
      <c r="B393" s="1"/>
      <c r="C393" s="74"/>
    </row>
    <row r="394" spans="2:3" ht="14.25" customHeight="1" x14ac:dyDescent="0.35">
      <c r="B394" s="1"/>
      <c r="C394" s="74"/>
    </row>
    <row r="395" spans="2:3" ht="14.25" customHeight="1" x14ac:dyDescent="0.35">
      <c r="B395" s="1"/>
      <c r="C395" s="74"/>
    </row>
    <row r="396" spans="2:3" ht="14.25" customHeight="1" x14ac:dyDescent="0.35">
      <c r="B396" s="1"/>
      <c r="C396" s="74"/>
    </row>
    <row r="397" spans="2:3" ht="14.25" customHeight="1" x14ac:dyDescent="0.35">
      <c r="B397" s="1"/>
      <c r="C397" s="74"/>
    </row>
    <row r="398" spans="2:3" ht="14.25" customHeight="1" x14ac:dyDescent="0.35">
      <c r="B398" s="1"/>
      <c r="C398" s="74"/>
    </row>
    <row r="399" spans="2:3" ht="14.25" customHeight="1" x14ac:dyDescent="0.35">
      <c r="B399" s="1"/>
      <c r="C399" s="74"/>
    </row>
    <row r="400" spans="2:3" ht="14.25" customHeight="1" x14ac:dyDescent="0.35">
      <c r="B400" s="1"/>
      <c r="C400" s="74"/>
    </row>
    <row r="401" spans="2:3" ht="14.25" customHeight="1" x14ac:dyDescent="0.35">
      <c r="B401" s="1"/>
      <c r="C401" s="74"/>
    </row>
    <row r="402" spans="2:3" ht="14.25" customHeight="1" x14ac:dyDescent="0.35">
      <c r="B402" s="1"/>
      <c r="C402" s="74"/>
    </row>
    <row r="403" spans="2:3" ht="14.25" customHeight="1" x14ac:dyDescent="0.35">
      <c r="B403" s="1"/>
      <c r="C403" s="74"/>
    </row>
    <row r="404" spans="2:3" ht="14.25" customHeight="1" x14ac:dyDescent="0.35">
      <c r="B404" s="1"/>
      <c r="C404" s="74"/>
    </row>
    <row r="405" spans="2:3" ht="14.25" customHeight="1" x14ac:dyDescent="0.35">
      <c r="B405" s="1"/>
      <c r="C405" s="74"/>
    </row>
    <row r="406" spans="2:3" ht="14.25" customHeight="1" x14ac:dyDescent="0.35">
      <c r="B406" s="1"/>
      <c r="C406" s="74"/>
    </row>
    <row r="407" spans="2:3" ht="14.25" customHeight="1" x14ac:dyDescent="0.35">
      <c r="B407" s="1"/>
      <c r="C407" s="74"/>
    </row>
    <row r="408" spans="2:3" ht="14.25" customHeight="1" x14ac:dyDescent="0.35">
      <c r="B408" s="1"/>
      <c r="C408" s="74"/>
    </row>
    <row r="409" spans="2:3" ht="14.25" customHeight="1" x14ac:dyDescent="0.35">
      <c r="B409" s="1"/>
      <c r="C409" s="74"/>
    </row>
    <row r="410" spans="2:3" ht="14.25" customHeight="1" x14ac:dyDescent="0.35">
      <c r="B410" s="1"/>
      <c r="C410" s="74"/>
    </row>
    <row r="411" spans="2:3" ht="14.25" customHeight="1" x14ac:dyDescent="0.35">
      <c r="B411" s="1"/>
      <c r="C411" s="74"/>
    </row>
    <row r="412" spans="2:3" ht="14.25" customHeight="1" x14ac:dyDescent="0.35">
      <c r="B412" s="1"/>
      <c r="C412" s="74"/>
    </row>
    <row r="413" spans="2:3" ht="14.25" customHeight="1" x14ac:dyDescent="0.35">
      <c r="B413" s="1"/>
      <c r="C413" s="74"/>
    </row>
    <row r="414" spans="2:3" ht="14.25" customHeight="1" x14ac:dyDescent="0.35">
      <c r="B414" s="1"/>
      <c r="C414" s="74"/>
    </row>
    <row r="415" spans="2:3" ht="14.25" customHeight="1" x14ac:dyDescent="0.35">
      <c r="B415" s="1"/>
      <c r="C415" s="74"/>
    </row>
    <row r="416" spans="2:3" ht="14.25" customHeight="1" x14ac:dyDescent="0.35">
      <c r="B416" s="1"/>
      <c r="C416" s="74"/>
    </row>
    <row r="417" spans="2:3" ht="14.25" customHeight="1" x14ac:dyDescent="0.35">
      <c r="B417" s="1"/>
      <c r="C417" s="74"/>
    </row>
    <row r="418" spans="2:3" ht="14.25" customHeight="1" x14ac:dyDescent="0.35">
      <c r="B418" s="1"/>
      <c r="C418" s="74"/>
    </row>
    <row r="419" spans="2:3" ht="14.25" customHeight="1" x14ac:dyDescent="0.35">
      <c r="B419" s="1"/>
      <c r="C419" s="74"/>
    </row>
    <row r="420" spans="2:3" ht="14.25" customHeight="1" x14ac:dyDescent="0.35">
      <c r="B420" s="1"/>
      <c r="C420" s="74"/>
    </row>
    <row r="421" spans="2:3" ht="14.25" customHeight="1" x14ac:dyDescent="0.35">
      <c r="B421" s="1"/>
      <c r="C421" s="74"/>
    </row>
    <row r="422" spans="2:3" ht="14.25" customHeight="1" x14ac:dyDescent="0.35">
      <c r="B422" s="1"/>
      <c r="C422" s="74"/>
    </row>
    <row r="423" spans="2:3" ht="14.25" customHeight="1" x14ac:dyDescent="0.35">
      <c r="B423" s="1"/>
      <c r="C423" s="74"/>
    </row>
    <row r="424" spans="2:3" ht="14.25" customHeight="1" x14ac:dyDescent="0.35">
      <c r="B424" s="1"/>
      <c r="C424" s="74"/>
    </row>
    <row r="425" spans="2:3" ht="14.25" customHeight="1" x14ac:dyDescent="0.35">
      <c r="B425" s="1"/>
      <c r="C425" s="74"/>
    </row>
    <row r="426" spans="2:3" ht="14.25" customHeight="1" x14ac:dyDescent="0.35">
      <c r="B426" s="1"/>
      <c r="C426" s="74"/>
    </row>
    <row r="427" spans="2:3" ht="14.25" customHeight="1" x14ac:dyDescent="0.35">
      <c r="B427" s="1"/>
      <c r="C427" s="74"/>
    </row>
    <row r="428" spans="2:3" ht="14.25" customHeight="1" x14ac:dyDescent="0.35">
      <c r="B428" s="1"/>
      <c r="C428" s="74"/>
    </row>
    <row r="429" spans="2:3" ht="14.25" customHeight="1" x14ac:dyDescent="0.35">
      <c r="B429" s="1"/>
      <c r="C429" s="74"/>
    </row>
    <row r="430" spans="2:3" ht="14.25" customHeight="1" x14ac:dyDescent="0.35">
      <c r="B430" s="1"/>
      <c r="C430" s="74"/>
    </row>
    <row r="431" spans="2:3" ht="14.25" customHeight="1" x14ac:dyDescent="0.35">
      <c r="B431" s="1"/>
      <c r="C431" s="74"/>
    </row>
    <row r="432" spans="2:3" ht="14.25" customHeight="1" x14ac:dyDescent="0.35">
      <c r="B432" s="1"/>
      <c r="C432" s="74"/>
    </row>
    <row r="433" spans="2:3" ht="14.25" customHeight="1" x14ac:dyDescent="0.35">
      <c r="B433" s="1"/>
      <c r="C433" s="74"/>
    </row>
    <row r="434" spans="2:3" ht="14.25" customHeight="1" x14ac:dyDescent="0.35">
      <c r="B434" s="1"/>
      <c r="C434" s="74"/>
    </row>
    <row r="435" spans="2:3" ht="14.25" customHeight="1" x14ac:dyDescent="0.35">
      <c r="B435" s="1"/>
      <c r="C435" s="74"/>
    </row>
    <row r="436" spans="2:3" ht="14.25" customHeight="1" x14ac:dyDescent="0.35">
      <c r="B436" s="1"/>
      <c r="C436" s="74"/>
    </row>
    <row r="437" spans="2:3" ht="14.25" customHeight="1" x14ac:dyDescent="0.35">
      <c r="B437" s="1"/>
      <c r="C437" s="74"/>
    </row>
    <row r="438" spans="2:3" ht="14.25" customHeight="1" x14ac:dyDescent="0.35">
      <c r="B438" s="1"/>
      <c r="C438" s="74"/>
    </row>
    <row r="439" spans="2:3" ht="14.25" customHeight="1" x14ac:dyDescent="0.35">
      <c r="B439" s="1"/>
      <c r="C439" s="74"/>
    </row>
    <row r="440" spans="2:3" ht="14.25" customHeight="1" x14ac:dyDescent="0.35">
      <c r="B440" s="1"/>
      <c r="C440" s="74"/>
    </row>
    <row r="441" spans="2:3" ht="14.25" customHeight="1" x14ac:dyDescent="0.35">
      <c r="B441" s="1"/>
      <c r="C441" s="74"/>
    </row>
    <row r="442" spans="2:3" ht="14.25" customHeight="1" x14ac:dyDescent="0.35">
      <c r="B442" s="1"/>
      <c r="C442" s="74"/>
    </row>
    <row r="443" spans="2:3" ht="14.25" customHeight="1" x14ac:dyDescent="0.35">
      <c r="B443" s="1"/>
      <c r="C443" s="74"/>
    </row>
    <row r="444" spans="2:3" ht="14.25" customHeight="1" x14ac:dyDescent="0.35">
      <c r="B444" s="1"/>
      <c r="C444" s="74"/>
    </row>
    <row r="445" spans="2:3" ht="14.25" customHeight="1" x14ac:dyDescent="0.35">
      <c r="B445" s="1"/>
      <c r="C445" s="74"/>
    </row>
    <row r="446" spans="2:3" ht="14.25" customHeight="1" x14ac:dyDescent="0.35">
      <c r="B446" s="1"/>
      <c r="C446" s="74"/>
    </row>
    <row r="447" spans="2:3" ht="14.25" customHeight="1" x14ac:dyDescent="0.35">
      <c r="B447" s="1"/>
      <c r="C447" s="74"/>
    </row>
    <row r="448" spans="2:3" ht="14.25" customHeight="1" x14ac:dyDescent="0.35">
      <c r="B448" s="1"/>
      <c r="C448" s="74"/>
    </row>
    <row r="449" spans="2:3" ht="14.25" customHeight="1" x14ac:dyDescent="0.35">
      <c r="B449" s="1"/>
      <c r="C449" s="74"/>
    </row>
    <row r="450" spans="2:3" ht="14.25" customHeight="1" x14ac:dyDescent="0.35">
      <c r="B450" s="1"/>
      <c r="C450" s="74"/>
    </row>
    <row r="451" spans="2:3" ht="14.25" customHeight="1" x14ac:dyDescent="0.35">
      <c r="B451" s="1"/>
      <c r="C451" s="74"/>
    </row>
    <row r="452" spans="2:3" ht="14.25" customHeight="1" x14ac:dyDescent="0.35">
      <c r="B452" s="1"/>
      <c r="C452" s="74"/>
    </row>
    <row r="453" spans="2:3" ht="14.25" customHeight="1" x14ac:dyDescent="0.35">
      <c r="B453" s="1"/>
      <c r="C453" s="74"/>
    </row>
    <row r="454" spans="2:3" ht="14.25" customHeight="1" x14ac:dyDescent="0.35">
      <c r="B454" s="1"/>
      <c r="C454" s="74"/>
    </row>
    <row r="455" spans="2:3" ht="14.25" customHeight="1" x14ac:dyDescent="0.35">
      <c r="B455" s="1"/>
      <c r="C455" s="74"/>
    </row>
    <row r="456" spans="2:3" ht="14.25" customHeight="1" x14ac:dyDescent="0.35">
      <c r="B456" s="1"/>
      <c r="C456" s="74"/>
    </row>
    <row r="457" spans="2:3" ht="14.25" customHeight="1" x14ac:dyDescent="0.35">
      <c r="B457" s="1"/>
      <c r="C457" s="74"/>
    </row>
    <row r="458" spans="2:3" ht="14.25" customHeight="1" x14ac:dyDescent="0.35">
      <c r="B458" s="1"/>
      <c r="C458" s="74"/>
    </row>
    <row r="459" spans="2:3" ht="14.25" customHeight="1" x14ac:dyDescent="0.35">
      <c r="B459" s="1"/>
      <c r="C459" s="74"/>
    </row>
    <row r="460" spans="2:3" ht="14.25" customHeight="1" x14ac:dyDescent="0.35">
      <c r="B460" s="1"/>
      <c r="C460" s="74"/>
    </row>
    <row r="461" spans="2:3" ht="14.25" customHeight="1" x14ac:dyDescent="0.35">
      <c r="B461" s="1"/>
      <c r="C461" s="74"/>
    </row>
    <row r="462" spans="2:3" ht="14.25" customHeight="1" x14ac:dyDescent="0.35">
      <c r="B462" s="1"/>
      <c r="C462" s="74"/>
    </row>
    <row r="463" spans="2:3" ht="14.25" customHeight="1" x14ac:dyDescent="0.35">
      <c r="B463" s="1"/>
      <c r="C463" s="74"/>
    </row>
    <row r="464" spans="2:3" ht="14.25" customHeight="1" x14ac:dyDescent="0.35">
      <c r="B464" s="1"/>
      <c r="C464" s="74"/>
    </row>
    <row r="465" spans="2:3" ht="14.25" customHeight="1" x14ac:dyDescent="0.35">
      <c r="B465" s="1"/>
      <c r="C465" s="74"/>
    </row>
    <row r="466" spans="2:3" ht="14.25" customHeight="1" x14ac:dyDescent="0.35">
      <c r="B466" s="1"/>
      <c r="C466" s="74"/>
    </row>
    <row r="467" spans="2:3" ht="14.25" customHeight="1" x14ac:dyDescent="0.35">
      <c r="B467" s="1"/>
      <c r="C467" s="74"/>
    </row>
    <row r="468" spans="2:3" ht="14.25" customHeight="1" x14ac:dyDescent="0.35">
      <c r="B468" s="1"/>
      <c r="C468" s="74"/>
    </row>
    <row r="469" spans="2:3" ht="14.25" customHeight="1" x14ac:dyDescent="0.35">
      <c r="B469" s="1"/>
      <c r="C469" s="74"/>
    </row>
    <row r="470" spans="2:3" ht="14.25" customHeight="1" x14ac:dyDescent="0.35">
      <c r="B470" s="1"/>
      <c r="C470" s="74"/>
    </row>
    <row r="471" spans="2:3" ht="14.25" customHeight="1" x14ac:dyDescent="0.35">
      <c r="B471" s="1"/>
      <c r="C471" s="74"/>
    </row>
    <row r="472" spans="2:3" ht="14.25" customHeight="1" x14ac:dyDescent="0.35">
      <c r="B472" s="1"/>
      <c r="C472" s="74"/>
    </row>
    <row r="473" spans="2:3" ht="14.25" customHeight="1" x14ac:dyDescent="0.35">
      <c r="B473" s="1"/>
      <c r="C473" s="74"/>
    </row>
    <row r="474" spans="2:3" ht="14.25" customHeight="1" x14ac:dyDescent="0.35">
      <c r="B474" s="1"/>
      <c r="C474" s="74"/>
    </row>
    <row r="475" spans="2:3" ht="14.25" customHeight="1" x14ac:dyDescent="0.35">
      <c r="B475" s="1"/>
      <c r="C475" s="74"/>
    </row>
    <row r="476" spans="2:3" ht="14.25" customHeight="1" x14ac:dyDescent="0.35">
      <c r="B476" s="1"/>
      <c r="C476" s="74"/>
    </row>
    <row r="477" spans="2:3" ht="14.25" customHeight="1" x14ac:dyDescent="0.35">
      <c r="B477" s="1"/>
      <c r="C477" s="74"/>
    </row>
    <row r="478" spans="2:3" ht="14.25" customHeight="1" x14ac:dyDescent="0.35">
      <c r="B478" s="1"/>
      <c r="C478" s="74"/>
    </row>
    <row r="479" spans="2:3" ht="14.25" customHeight="1" x14ac:dyDescent="0.35">
      <c r="B479" s="1"/>
      <c r="C479" s="74"/>
    </row>
    <row r="480" spans="2:3" ht="14.25" customHeight="1" x14ac:dyDescent="0.35">
      <c r="B480" s="1"/>
      <c r="C480" s="74"/>
    </row>
    <row r="481" spans="2:3" ht="14.25" customHeight="1" x14ac:dyDescent="0.35">
      <c r="B481" s="1"/>
      <c r="C481" s="74"/>
    </row>
    <row r="482" spans="2:3" ht="14.25" customHeight="1" x14ac:dyDescent="0.35">
      <c r="B482" s="1"/>
      <c r="C482" s="74"/>
    </row>
    <row r="483" spans="2:3" ht="14.25" customHeight="1" x14ac:dyDescent="0.35">
      <c r="B483" s="1"/>
      <c r="C483" s="74"/>
    </row>
    <row r="484" spans="2:3" ht="14.25" customHeight="1" x14ac:dyDescent="0.35">
      <c r="B484" s="1"/>
      <c r="C484" s="74"/>
    </row>
    <row r="485" spans="2:3" ht="14.25" customHeight="1" x14ac:dyDescent="0.35">
      <c r="B485" s="1"/>
      <c r="C485" s="74"/>
    </row>
    <row r="486" spans="2:3" ht="14.25" customHeight="1" x14ac:dyDescent="0.35">
      <c r="B486" s="1"/>
      <c r="C486" s="74"/>
    </row>
    <row r="487" spans="2:3" ht="14.25" customHeight="1" x14ac:dyDescent="0.35">
      <c r="B487" s="1"/>
      <c r="C487" s="74"/>
    </row>
    <row r="488" spans="2:3" ht="14.25" customHeight="1" x14ac:dyDescent="0.35">
      <c r="B488" s="1"/>
      <c r="C488" s="74"/>
    </row>
    <row r="489" spans="2:3" ht="14.25" customHeight="1" x14ac:dyDescent="0.35">
      <c r="B489" s="1"/>
      <c r="C489" s="74"/>
    </row>
    <row r="490" spans="2:3" ht="14.25" customHeight="1" x14ac:dyDescent="0.35">
      <c r="B490" s="1"/>
      <c r="C490" s="74"/>
    </row>
    <row r="491" spans="2:3" ht="14.25" customHeight="1" x14ac:dyDescent="0.35">
      <c r="B491" s="1"/>
      <c r="C491" s="74"/>
    </row>
    <row r="492" spans="2:3" ht="14.25" customHeight="1" x14ac:dyDescent="0.35">
      <c r="B492" s="1"/>
      <c r="C492" s="74"/>
    </row>
    <row r="493" spans="2:3" ht="14.25" customHeight="1" x14ac:dyDescent="0.35">
      <c r="B493" s="1"/>
      <c r="C493" s="74"/>
    </row>
    <row r="494" spans="2:3" ht="14.25" customHeight="1" x14ac:dyDescent="0.35">
      <c r="B494" s="1"/>
      <c r="C494" s="74"/>
    </row>
    <row r="495" spans="2:3" ht="14.25" customHeight="1" x14ac:dyDescent="0.35">
      <c r="B495" s="1"/>
      <c r="C495" s="74"/>
    </row>
    <row r="496" spans="2:3" ht="14.25" customHeight="1" x14ac:dyDescent="0.35">
      <c r="B496" s="1"/>
      <c r="C496" s="74"/>
    </row>
    <row r="497" spans="2:3" ht="14.25" customHeight="1" x14ac:dyDescent="0.35">
      <c r="B497" s="1"/>
      <c r="C497" s="74"/>
    </row>
    <row r="498" spans="2:3" ht="14.25" customHeight="1" x14ac:dyDescent="0.35">
      <c r="B498" s="1"/>
      <c r="C498" s="74"/>
    </row>
    <row r="499" spans="2:3" ht="14.25" customHeight="1" x14ac:dyDescent="0.35">
      <c r="B499" s="1"/>
      <c r="C499" s="74"/>
    </row>
    <row r="500" spans="2:3" ht="14.25" customHeight="1" x14ac:dyDescent="0.35">
      <c r="B500" s="1"/>
      <c r="C500" s="74"/>
    </row>
    <row r="501" spans="2:3" ht="14.25" customHeight="1" x14ac:dyDescent="0.35">
      <c r="B501" s="1"/>
      <c r="C501" s="74"/>
    </row>
    <row r="502" spans="2:3" ht="14.25" customHeight="1" x14ac:dyDescent="0.35">
      <c r="B502" s="1"/>
      <c r="C502" s="74"/>
    </row>
    <row r="503" spans="2:3" ht="14.25" customHeight="1" x14ac:dyDescent="0.35">
      <c r="B503" s="1"/>
      <c r="C503" s="74"/>
    </row>
    <row r="504" spans="2:3" ht="14.25" customHeight="1" x14ac:dyDescent="0.35">
      <c r="B504" s="1"/>
      <c r="C504" s="74"/>
    </row>
    <row r="505" spans="2:3" ht="14.25" customHeight="1" x14ac:dyDescent="0.35">
      <c r="B505" s="1"/>
      <c r="C505" s="74"/>
    </row>
    <row r="506" spans="2:3" ht="14.25" customHeight="1" x14ac:dyDescent="0.35">
      <c r="B506" s="1"/>
      <c r="C506" s="74"/>
    </row>
    <row r="507" spans="2:3" ht="14.25" customHeight="1" x14ac:dyDescent="0.35">
      <c r="B507" s="1"/>
      <c r="C507" s="74"/>
    </row>
    <row r="508" spans="2:3" ht="14.25" customHeight="1" x14ac:dyDescent="0.35">
      <c r="B508" s="1"/>
      <c r="C508" s="74"/>
    </row>
    <row r="509" spans="2:3" ht="14.25" customHeight="1" x14ac:dyDescent="0.35">
      <c r="B509" s="1"/>
      <c r="C509" s="74"/>
    </row>
    <row r="510" spans="2:3" ht="14.25" customHeight="1" x14ac:dyDescent="0.35">
      <c r="B510" s="1"/>
      <c r="C510" s="74"/>
    </row>
    <row r="511" spans="2:3" ht="14.25" customHeight="1" x14ac:dyDescent="0.35">
      <c r="B511" s="1"/>
      <c r="C511" s="74"/>
    </row>
    <row r="512" spans="2:3" ht="14.25" customHeight="1" x14ac:dyDescent="0.35">
      <c r="B512" s="1"/>
      <c r="C512" s="74"/>
    </row>
    <row r="513" spans="2:3" ht="14.25" customHeight="1" x14ac:dyDescent="0.35">
      <c r="B513" s="1"/>
      <c r="C513" s="74"/>
    </row>
    <row r="514" spans="2:3" ht="14.25" customHeight="1" x14ac:dyDescent="0.35">
      <c r="B514" s="1"/>
      <c r="C514" s="74"/>
    </row>
    <row r="515" spans="2:3" ht="14.25" customHeight="1" x14ac:dyDescent="0.35">
      <c r="B515" s="1"/>
      <c r="C515" s="74"/>
    </row>
    <row r="516" spans="2:3" ht="14.25" customHeight="1" x14ac:dyDescent="0.35">
      <c r="B516" s="1"/>
      <c r="C516" s="74"/>
    </row>
    <row r="517" spans="2:3" ht="14.25" customHeight="1" x14ac:dyDescent="0.35">
      <c r="B517" s="1"/>
      <c r="C517" s="74"/>
    </row>
    <row r="518" spans="2:3" ht="14.25" customHeight="1" x14ac:dyDescent="0.35">
      <c r="B518" s="1"/>
      <c r="C518" s="74"/>
    </row>
    <row r="519" spans="2:3" ht="14.25" customHeight="1" x14ac:dyDescent="0.35">
      <c r="B519" s="1"/>
      <c r="C519" s="74"/>
    </row>
    <row r="520" spans="2:3" ht="14.25" customHeight="1" x14ac:dyDescent="0.35">
      <c r="B520" s="1"/>
      <c r="C520" s="74"/>
    </row>
    <row r="521" spans="2:3" ht="14.25" customHeight="1" x14ac:dyDescent="0.35">
      <c r="B521" s="1"/>
      <c r="C521" s="74"/>
    </row>
    <row r="522" spans="2:3" ht="14.25" customHeight="1" x14ac:dyDescent="0.35">
      <c r="B522" s="1"/>
      <c r="C522" s="74"/>
    </row>
    <row r="523" spans="2:3" ht="14.25" customHeight="1" x14ac:dyDescent="0.35">
      <c r="B523" s="1"/>
      <c r="C523" s="74"/>
    </row>
    <row r="524" spans="2:3" ht="14.25" customHeight="1" x14ac:dyDescent="0.35">
      <c r="B524" s="1"/>
      <c r="C524" s="74"/>
    </row>
    <row r="525" spans="2:3" ht="14.25" customHeight="1" x14ac:dyDescent="0.35">
      <c r="B525" s="1"/>
      <c r="C525" s="74"/>
    </row>
    <row r="526" spans="2:3" ht="14.25" customHeight="1" x14ac:dyDescent="0.35">
      <c r="B526" s="1"/>
      <c r="C526" s="74"/>
    </row>
    <row r="527" spans="2:3" ht="14.25" customHeight="1" x14ac:dyDescent="0.35">
      <c r="B527" s="1"/>
      <c r="C527" s="74"/>
    </row>
    <row r="528" spans="2:3" ht="14.25" customHeight="1" x14ac:dyDescent="0.35">
      <c r="B528" s="1"/>
      <c r="C528" s="74"/>
    </row>
    <row r="529" spans="2:3" ht="14.25" customHeight="1" x14ac:dyDescent="0.35">
      <c r="B529" s="1"/>
      <c r="C529" s="74"/>
    </row>
    <row r="530" spans="2:3" ht="14.25" customHeight="1" x14ac:dyDescent="0.35">
      <c r="B530" s="1"/>
      <c r="C530" s="74"/>
    </row>
    <row r="531" spans="2:3" ht="14.25" customHeight="1" x14ac:dyDescent="0.35">
      <c r="B531" s="1"/>
      <c r="C531" s="74"/>
    </row>
    <row r="532" spans="2:3" ht="14.25" customHeight="1" x14ac:dyDescent="0.35">
      <c r="B532" s="1"/>
      <c r="C532" s="74"/>
    </row>
    <row r="533" spans="2:3" ht="14.25" customHeight="1" x14ac:dyDescent="0.35">
      <c r="B533" s="1"/>
      <c r="C533" s="74"/>
    </row>
    <row r="534" spans="2:3" ht="14.25" customHeight="1" x14ac:dyDescent="0.35">
      <c r="B534" s="1"/>
      <c r="C534" s="74"/>
    </row>
    <row r="535" spans="2:3" ht="14.25" customHeight="1" x14ac:dyDescent="0.35">
      <c r="B535" s="1"/>
      <c r="C535" s="74"/>
    </row>
    <row r="536" spans="2:3" ht="14.25" customHeight="1" x14ac:dyDescent="0.35">
      <c r="B536" s="1"/>
      <c r="C536" s="74"/>
    </row>
    <row r="537" spans="2:3" ht="14.25" customHeight="1" x14ac:dyDescent="0.35">
      <c r="B537" s="1"/>
      <c r="C537" s="74"/>
    </row>
    <row r="538" spans="2:3" ht="14.25" customHeight="1" x14ac:dyDescent="0.35">
      <c r="B538" s="1"/>
      <c r="C538" s="74"/>
    </row>
    <row r="539" spans="2:3" ht="14.25" customHeight="1" x14ac:dyDescent="0.35">
      <c r="B539" s="1"/>
      <c r="C539" s="74"/>
    </row>
    <row r="540" spans="2:3" ht="14.25" customHeight="1" x14ac:dyDescent="0.35">
      <c r="B540" s="1"/>
      <c r="C540" s="74"/>
    </row>
    <row r="541" spans="2:3" ht="14.25" customHeight="1" x14ac:dyDescent="0.35">
      <c r="B541" s="1"/>
      <c r="C541" s="74"/>
    </row>
    <row r="542" spans="2:3" ht="14.25" customHeight="1" x14ac:dyDescent="0.35">
      <c r="B542" s="1"/>
      <c r="C542" s="74"/>
    </row>
    <row r="543" spans="2:3" ht="14.25" customHeight="1" x14ac:dyDescent="0.35">
      <c r="B543" s="1"/>
      <c r="C543" s="74"/>
    </row>
    <row r="544" spans="2:3" ht="14.25" customHeight="1" x14ac:dyDescent="0.35">
      <c r="B544" s="1"/>
      <c r="C544" s="74"/>
    </row>
    <row r="545" spans="2:3" ht="14.25" customHeight="1" x14ac:dyDescent="0.35">
      <c r="B545" s="1"/>
      <c r="C545" s="74"/>
    </row>
    <row r="546" spans="2:3" ht="14.25" customHeight="1" x14ac:dyDescent="0.35">
      <c r="B546" s="1"/>
      <c r="C546" s="74"/>
    </row>
    <row r="547" spans="2:3" ht="14.25" customHeight="1" x14ac:dyDescent="0.35">
      <c r="B547" s="1"/>
      <c r="C547" s="74"/>
    </row>
    <row r="548" spans="2:3" ht="14.25" customHeight="1" x14ac:dyDescent="0.35">
      <c r="B548" s="1"/>
      <c r="C548" s="74"/>
    </row>
    <row r="549" spans="2:3" ht="14.25" customHeight="1" x14ac:dyDescent="0.35">
      <c r="B549" s="1"/>
      <c r="C549" s="74"/>
    </row>
    <row r="550" spans="2:3" ht="14.25" customHeight="1" x14ac:dyDescent="0.35">
      <c r="B550" s="1"/>
      <c r="C550" s="74"/>
    </row>
    <row r="551" spans="2:3" ht="14.25" customHeight="1" x14ac:dyDescent="0.35">
      <c r="B551" s="1"/>
      <c r="C551" s="74"/>
    </row>
    <row r="552" spans="2:3" ht="14.25" customHeight="1" x14ac:dyDescent="0.35">
      <c r="B552" s="1"/>
      <c r="C552" s="74"/>
    </row>
    <row r="553" spans="2:3" ht="14.25" customHeight="1" x14ac:dyDescent="0.35">
      <c r="B553" s="1"/>
      <c r="C553" s="74"/>
    </row>
    <row r="554" spans="2:3" ht="14.25" customHeight="1" x14ac:dyDescent="0.35">
      <c r="B554" s="1"/>
      <c r="C554" s="74"/>
    </row>
    <row r="555" spans="2:3" ht="14.25" customHeight="1" x14ac:dyDescent="0.35">
      <c r="B555" s="1"/>
      <c r="C555" s="74"/>
    </row>
    <row r="556" spans="2:3" ht="14.25" customHeight="1" x14ac:dyDescent="0.35">
      <c r="B556" s="1"/>
      <c r="C556" s="74"/>
    </row>
    <row r="557" spans="2:3" ht="14.25" customHeight="1" x14ac:dyDescent="0.35">
      <c r="B557" s="1"/>
      <c r="C557" s="74"/>
    </row>
    <row r="558" spans="2:3" ht="14.25" customHeight="1" x14ac:dyDescent="0.35">
      <c r="B558" s="1"/>
      <c r="C558" s="74"/>
    </row>
    <row r="559" spans="2:3" ht="14.25" customHeight="1" x14ac:dyDescent="0.35">
      <c r="B559" s="1"/>
      <c r="C559" s="74"/>
    </row>
    <row r="560" spans="2:3" ht="14.25" customHeight="1" x14ac:dyDescent="0.35">
      <c r="B560" s="1"/>
      <c r="C560" s="74"/>
    </row>
    <row r="561" spans="2:3" ht="14.25" customHeight="1" x14ac:dyDescent="0.35">
      <c r="B561" s="1"/>
      <c r="C561" s="74"/>
    </row>
    <row r="562" spans="2:3" ht="14.25" customHeight="1" x14ac:dyDescent="0.35">
      <c r="B562" s="1"/>
      <c r="C562" s="74"/>
    </row>
    <row r="563" spans="2:3" ht="14.25" customHeight="1" x14ac:dyDescent="0.35">
      <c r="B563" s="1"/>
      <c r="C563" s="74"/>
    </row>
    <row r="564" spans="2:3" ht="14.25" customHeight="1" x14ac:dyDescent="0.35">
      <c r="B564" s="1"/>
      <c r="C564" s="74"/>
    </row>
    <row r="565" spans="2:3" ht="14.25" customHeight="1" x14ac:dyDescent="0.35">
      <c r="B565" s="1"/>
      <c r="C565" s="74"/>
    </row>
    <row r="566" spans="2:3" ht="14.25" customHeight="1" x14ac:dyDescent="0.35">
      <c r="B566" s="1"/>
      <c r="C566" s="74"/>
    </row>
    <row r="567" spans="2:3" ht="14.25" customHeight="1" x14ac:dyDescent="0.35">
      <c r="B567" s="1"/>
      <c r="C567" s="74"/>
    </row>
    <row r="568" spans="2:3" ht="14.25" customHeight="1" x14ac:dyDescent="0.35">
      <c r="B568" s="1"/>
      <c r="C568" s="74"/>
    </row>
    <row r="569" spans="2:3" ht="14.25" customHeight="1" x14ac:dyDescent="0.35">
      <c r="B569" s="1"/>
      <c r="C569" s="74"/>
    </row>
    <row r="570" spans="2:3" ht="14.25" customHeight="1" x14ac:dyDescent="0.35">
      <c r="B570" s="1"/>
      <c r="C570" s="74"/>
    </row>
    <row r="571" spans="2:3" ht="14.25" customHeight="1" x14ac:dyDescent="0.35">
      <c r="B571" s="1"/>
      <c r="C571" s="74"/>
    </row>
    <row r="572" spans="2:3" ht="14.25" customHeight="1" x14ac:dyDescent="0.35">
      <c r="B572" s="1"/>
      <c r="C572" s="74"/>
    </row>
    <row r="573" spans="2:3" ht="14.25" customHeight="1" x14ac:dyDescent="0.35">
      <c r="B573" s="1"/>
      <c r="C573" s="74"/>
    </row>
    <row r="574" spans="2:3" ht="14.25" customHeight="1" x14ac:dyDescent="0.35">
      <c r="B574" s="1"/>
      <c r="C574" s="74"/>
    </row>
    <row r="575" spans="2:3" ht="14.25" customHeight="1" x14ac:dyDescent="0.35">
      <c r="B575" s="1"/>
      <c r="C575" s="74"/>
    </row>
    <row r="576" spans="2:3" ht="14.25" customHeight="1" x14ac:dyDescent="0.35">
      <c r="B576" s="1"/>
      <c r="C576" s="74"/>
    </row>
    <row r="577" spans="2:3" ht="14.25" customHeight="1" x14ac:dyDescent="0.35">
      <c r="B577" s="1"/>
      <c r="C577" s="74"/>
    </row>
    <row r="578" spans="2:3" ht="14.25" customHeight="1" x14ac:dyDescent="0.35">
      <c r="B578" s="1"/>
      <c r="C578" s="74"/>
    </row>
    <row r="579" spans="2:3" ht="14.25" customHeight="1" x14ac:dyDescent="0.35">
      <c r="B579" s="1"/>
      <c r="C579" s="74"/>
    </row>
    <row r="580" spans="2:3" ht="14.25" customHeight="1" x14ac:dyDescent="0.35">
      <c r="B580" s="1"/>
      <c r="C580" s="74"/>
    </row>
    <row r="581" spans="2:3" ht="14.25" customHeight="1" x14ac:dyDescent="0.35">
      <c r="B581" s="1"/>
      <c r="C581" s="74"/>
    </row>
    <row r="582" spans="2:3" ht="14.25" customHeight="1" x14ac:dyDescent="0.35">
      <c r="B582" s="1"/>
      <c r="C582" s="74"/>
    </row>
    <row r="583" spans="2:3" ht="14.25" customHeight="1" x14ac:dyDescent="0.35">
      <c r="B583" s="1"/>
      <c r="C583" s="74"/>
    </row>
    <row r="584" spans="2:3" ht="14.25" customHeight="1" x14ac:dyDescent="0.35">
      <c r="B584" s="1"/>
      <c r="C584" s="74"/>
    </row>
    <row r="585" spans="2:3" ht="14.25" customHeight="1" x14ac:dyDescent="0.35">
      <c r="B585" s="1"/>
      <c r="C585" s="74"/>
    </row>
    <row r="586" spans="2:3" ht="14.25" customHeight="1" x14ac:dyDescent="0.35">
      <c r="B586" s="1"/>
      <c r="C586" s="74"/>
    </row>
    <row r="587" spans="2:3" ht="14.25" customHeight="1" x14ac:dyDescent="0.35">
      <c r="B587" s="1"/>
      <c r="C587" s="74"/>
    </row>
    <row r="588" spans="2:3" ht="14.25" customHeight="1" x14ac:dyDescent="0.35">
      <c r="B588" s="1"/>
      <c r="C588" s="74"/>
    </row>
    <row r="589" spans="2:3" ht="14.25" customHeight="1" x14ac:dyDescent="0.35">
      <c r="B589" s="1"/>
      <c r="C589" s="74"/>
    </row>
    <row r="590" spans="2:3" ht="14.25" customHeight="1" x14ac:dyDescent="0.35">
      <c r="B590" s="1"/>
      <c r="C590" s="74"/>
    </row>
    <row r="591" spans="2:3" ht="14.25" customHeight="1" x14ac:dyDescent="0.35">
      <c r="B591" s="1"/>
      <c r="C591" s="74"/>
    </row>
    <row r="592" spans="2:3" ht="14.25" customHeight="1" x14ac:dyDescent="0.35">
      <c r="B592" s="1"/>
      <c r="C592" s="74"/>
    </row>
    <row r="593" spans="2:3" ht="14.25" customHeight="1" x14ac:dyDescent="0.35">
      <c r="B593" s="1"/>
      <c r="C593" s="74"/>
    </row>
    <row r="594" spans="2:3" ht="14.25" customHeight="1" x14ac:dyDescent="0.35">
      <c r="B594" s="1"/>
      <c r="C594" s="74"/>
    </row>
    <row r="595" spans="2:3" ht="14.25" customHeight="1" x14ac:dyDescent="0.35">
      <c r="B595" s="1"/>
      <c r="C595" s="74"/>
    </row>
    <row r="596" spans="2:3" ht="14.25" customHeight="1" x14ac:dyDescent="0.35">
      <c r="B596" s="1"/>
      <c r="C596" s="74"/>
    </row>
    <row r="597" spans="2:3" ht="14.25" customHeight="1" x14ac:dyDescent="0.35">
      <c r="B597" s="1"/>
      <c r="C597" s="74"/>
    </row>
    <row r="598" spans="2:3" ht="14.25" customHeight="1" x14ac:dyDescent="0.35">
      <c r="B598" s="1"/>
      <c r="C598" s="74"/>
    </row>
    <row r="599" spans="2:3" ht="14.25" customHeight="1" x14ac:dyDescent="0.35">
      <c r="B599" s="1"/>
      <c r="C599" s="74"/>
    </row>
    <row r="600" spans="2:3" ht="14.25" customHeight="1" x14ac:dyDescent="0.35">
      <c r="B600" s="1"/>
      <c r="C600" s="74"/>
    </row>
    <row r="601" spans="2:3" ht="14.25" customHeight="1" x14ac:dyDescent="0.35">
      <c r="B601" s="1"/>
      <c r="C601" s="74"/>
    </row>
    <row r="602" spans="2:3" ht="14.25" customHeight="1" x14ac:dyDescent="0.35">
      <c r="B602" s="1"/>
      <c r="C602" s="74"/>
    </row>
    <row r="603" spans="2:3" ht="14.25" customHeight="1" x14ac:dyDescent="0.35">
      <c r="B603" s="1"/>
      <c r="C603" s="74"/>
    </row>
    <row r="604" spans="2:3" ht="14.25" customHeight="1" x14ac:dyDescent="0.35">
      <c r="B604" s="1"/>
      <c r="C604" s="74"/>
    </row>
    <row r="605" spans="2:3" ht="14.25" customHeight="1" x14ac:dyDescent="0.35">
      <c r="B605" s="1"/>
      <c r="C605" s="74"/>
    </row>
    <row r="606" spans="2:3" ht="14.25" customHeight="1" x14ac:dyDescent="0.35">
      <c r="B606" s="1"/>
      <c r="C606" s="74"/>
    </row>
    <row r="607" spans="2:3" ht="14.25" customHeight="1" x14ac:dyDescent="0.35">
      <c r="B607" s="1"/>
      <c r="C607" s="74"/>
    </row>
    <row r="608" spans="2:3" ht="14.25" customHeight="1" x14ac:dyDescent="0.35">
      <c r="B608" s="1"/>
      <c r="C608" s="74"/>
    </row>
    <row r="609" spans="2:3" ht="14.25" customHeight="1" x14ac:dyDescent="0.35">
      <c r="B609" s="1"/>
      <c r="C609" s="74"/>
    </row>
    <row r="610" spans="2:3" ht="14.25" customHeight="1" x14ac:dyDescent="0.35">
      <c r="B610" s="1"/>
      <c r="C610" s="74"/>
    </row>
    <row r="611" spans="2:3" ht="14.25" customHeight="1" x14ac:dyDescent="0.35">
      <c r="B611" s="1"/>
      <c r="C611" s="74"/>
    </row>
    <row r="612" spans="2:3" ht="14.25" customHeight="1" x14ac:dyDescent="0.35">
      <c r="B612" s="1"/>
      <c r="C612" s="74"/>
    </row>
    <row r="613" spans="2:3" ht="14.25" customHeight="1" x14ac:dyDescent="0.35">
      <c r="B613" s="1"/>
      <c r="C613" s="74"/>
    </row>
    <row r="614" spans="2:3" ht="14.25" customHeight="1" x14ac:dyDescent="0.35">
      <c r="B614" s="1"/>
      <c r="C614" s="74"/>
    </row>
    <row r="615" spans="2:3" ht="14.25" customHeight="1" x14ac:dyDescent="0.35">
      <c r="B615" s="1"/>
      <c r="C615" s="74"/>
    </row>
    <row r="616" spans="2:3" ht="14.25" customHeight="1" x14ac:dyDescent="0.35">
      <c r="B616" s="1"/>
      <c r="C616" s="74"/>
    </row>
    <row r="617" spans="2:3" ht="14.25" customHeight="1" x14ac:dyDescent="0.35">
      <c r="B617" s="1"/>
      <c r="C617" s="74"/>
    </row>
    <row r="618" spans="2:3" ht="14.25" customHeight="1" x14ac:dyDescent="0.35">
      <c r="B618" s="1"/>
      <c r="C618" s="74"/>
    </row>
    <row r="619" spans="2:3" ht="14.25" customHeight="1" x14ac:dyDescent="0.35">
      <c r="B619" s="1"/>
      <c r="C619" s="74"/>
    </row>
    <row r="620" spans="2:3" ht="14.25" customHeight="1" x14ac:dyDescent="0.35">
      <c r="B620" s="1"/>
      <c r="C620" s="74"/>
    </row>
    <row r="621" spans="2:3" ht="14.25" customHeight="1" x14ac:dyDescent="0.35">
      <c r="B621" s="1"/>
      <c r="C621" s="74"/>
    </row>
    <row r="622" spans="2:3" ht="14.25" customHeight="1" x14ac:dyDescent="0.35">
      <c r="B622" s="1"/>
      <c r="C622" s="74"/>
    </row>
    <row r="623" spans="2:3" ht="14.25" customHeight="1" x14ac:dyDescent="0.35">
      <c r="B623" s="1"/>
      <c r="C623" s="74"/>
    </row>
    <row r="624" spans="2:3" ht="14.25" customHeight="1" x14ac:dyDescent="0.35">
      <c r="B624" s="1"/>
      <c r="C624" s="74"/>
    </row>
    <row r="625" spans="2:3" ht="14.25" customHeight="1" x14ac:dyDescent="0.35">
      <c r="B625" s="1"/>
      <c r="C625" s="74"/>
    </row>
    <row r="626" spans="2:3" ht="14.25" customHeight="1" x14ac:dyDescent="0.35">
      <c r="B626" s="1"/>
      <c r="C626" s="74"/>
    </row>
    <row r="627" spans="2:3" ht="14.25" customHeight="1" x14ac:dyDescent="0.35">
      <c r="B627" s="1"/>
      <c r="C627" s="74"/>
    </row>
    <row r="628" spans="2:3" ht="14.25" customHeight="1" x14ac:dyDescent="0.35">
      <c r="B628" s="1"/>
      <c r="C628" s="74"/>
    </row>
    <row r="629" spans="2:3" ht="14.25" customHeight="1" x14ac:dyDescent="0.35">
      <c r="B629" s="1"/>
      <c r="C629" s="74"/>
    </row>
    <row r="630" spans="2:3" ht="14.25" customHeight="1" x14ac:dyDescent="0.35">
      <c r="B630" s="1"/>
      <c r="C630" s="74"/>
    </row>
    <row r="631" spans="2:3" ht="14.25" customHeight="1" x14ac:dyDescent="0.35">
      <c r="B631" s="1"/>
      <c r="C631" s="74"/>
    </row>
    <row r="632" spans="2:3" ht="14.25" customHeight="1" x14ac:dyDescent="0.35">
      <c r="B632" s="1"/>
      <c r="C632" s="74"/>
    </row>
    <row r="633" spans="2:3" ht="14.25" customHeight="1" x14ac:dyDescent="0.35">
      <c r="B633" s="1"/>
      <c r="C633" s="74"/>
    </row>
    <row r="634" spans="2:3" ht="14.25" customHeight="1" x14ac:dyDescent="0.35">
      <c r="B634" s="1"/>
      <c r="C634" s="74"/>
    </row>
    <row r="635" spans="2:3" ht="14.25" customHeight="1" x14ac:dyDescent="0.35">
      <c r="B635" s="1"/>
      <c r="C635" s="74"/>
    </row>
    <row r="636" spans="2:3" ht="14.25" customHeight="1" x14ac:dyDescent="0.35">
      <c r="B636" s="1"/>
      <c r="C636" s="74"/>
    </row>
    <row r="637" spans="2:3" ht="14.25" customHeight="1" x14ac:dyDescent="0.35">
      <c r="B637" s="1"/>
      <c r="C637" s="74"/>
    </row>
    <row r="638" spans="2:3" ht="14.25" customHeight="1" x14ac:dyDescent="0.35">
      <c r="B638" s="1"/>
      <c r="C638" s="74"/>
    </row>
    <row r="639" spans="2:3" ht="14.25" customHeight="1" x14ac:dyDescent="0.35">
      <c r="B639" s="1"/>
      <c r="C639" s="74"/>
    </row>
    <row r="640" spans="2:3" ht="14.25" customHeight="1" x14ac:dyDescent="0.35">
      <c r="B640" s="1"/>
      <c r="C640" s="74"/>
    </row>
    <row r="641" spans="2:3" ht="14.25" customHeight="1" x14ac:dyDescent="0.35">
      <c r="B641" s="1"/>
      <c r="C641" s="74"/>
    </row>
    <row r="642" spans="2:3" ht="14.25" customHeight="1" x14ac:dyDescent="0.35">
      <c r="B642" s="1"/>
      <c r="C642" s="74"/>
    </row>
    <row r="643" spans="2:3" ht="14.25" customHeight="1" x14ac:dyDescent="0.35">
      <c r="B643" s="1"/>
      <c r="C643" s="74"/>
    </row>
    <row r="644" spans="2:3" ht="14.25" customHeight="1" x14ac:dyDescent="0.35">
      <c r="B644" s="1"/>
      <c r="C644" s="74"/>
    </row>
    <row r="645" spans="2:3" ht="14.25" customHeight="1" x14ac:dyDescent="0.35">
      <c r="B645" s="1"/>
      <c r="C645" s="74"/>
    </row>
    <row r="646" spans="2:3" ht="14.25" customHeight="1" x14ac:dyDescent="0.35">
      <c r="B646" s="1"/>
      <c r="C646" s="74"/>
    </row>
    <row r="647" spans="2:3" ht="14.25" customHeight="1" x14ac:dyDescent="0.35">
      <c r="B647" s="1"/>
      <c r="C647" s="74"/>
    </row>
    <row r="648" spans="2:3" ht="14.25" customHeight="1" x14ac:dyDescent="0.35">
      <c r="B648" s="1"/>
      <c r="C648" s="74"/>
    </row>
    <row r="649" spans="2:3" ht="14.25" customHeight="1" x14ac:dyDescent="0.35">
      <c r="B649" s="1"/>
      <c r="C649" s="74"/>
    </row>
    <row r="650" spans="2:3" ht="14.25" customHeight="1" x14ac:dyDescent="0.35">
      <c r="B650" s="1"/>
      <c r="C650" s="74"/>
    </row>
    <row r="651" spans="2:3" ht="14.25" customHeight="1" x14ac:dyDescent="0.35">
      <c r="B651" s="1"/>
      <c r="C651" s="74"/>
    </row>
    <row r="652" spans="2:3" ht="14.25" customHeight="1" x14ac:dyDescent="0.35">
      <c r="B652" s="1"/>
      <c r="C652" s="74"/>
    </row>
    <row r="653" spans="2:3" ht="14.25" customHeight="1" x14ac:dyDescent="0.35">
      <c r="B653" s="1"/>
      <c r="C653" s="74"/>
    </row>
    <row r="654" spans="2:3" ht="14.25" customHeight="1" x14ac:dyDescent="0.35">
      <c r="B654" s="1"/>
      <c r="C654" s="74"/>
    </row>
    <row r="655" spans="2:3" ht="14.25" customHeight="1" x14ac:dyDescent="0.35">
      <c r="B655" s="1"/>
      <c r="C655" s="74"/>
    </row>
    <row r="656" spans="2:3" ht="14.25" customHeight="1" x14ac:dyDescent="0.35">
      <c r="B656" s="1"/>
      <c r="C656" s="74"/>
    </row>
    <row r="657" spans="2:3" ht="14.25" customHeight="1" x14ac:dyDescent="0.35">
      <c r="B657" s="1"/>
      <c r="C657" s="74"/>
    </row>
    <row r="658" spans="2:3" ht="14.25" customHeight="1" x14ac:dyDescent="0.35">
      <c r="B658" s="1"/>
      <c r="C658" s="74"/>
    </row>
    <row r="659" spans="2:3" ht="14.25" customHeight="1" x14ac:dyDescent="0.35">
      <c r="B659" s="1"/>
      <c r="C659" s="74"/>
    </row>
    <row r="660" spans="2:3" ht="14.25" customHeight="1" x14ac:dyDescent="0.35">
      <c r="B660" s="1"/>
      <c r="C660" s="74"/>
    </row>
    <row r="661" spans="2:3" ht="14.25" customHeight="1" x14ac:dyDescent="0.35">
      <c r="B661" s="1"/>
      <c r="C661" s="74"/>
    </row>
    <row r="662" spans="2:3" ht="14.25" customHeight="1" x14ac:dyDescent="0.35">
      <c r="B662" s="1"/>
      <c r="C662" s="74"/>
    </row>
    <row r="663" spans="2:3" ht="14.25" customHeight="1" x14ac:dyDescent="0.35">
      <c r="B663" s="1"/>
      <c r="C663" s="74"/>
    </row>
    <row r="664" spans="2:3" ht="14.25" customHeight="1" x14ac:dyDescent="0.35">
      <c r="B664" s="1"/>
      <c r="C664" s="74"/>
    </row>
    <row r="665" spans="2:3" ht="14.25" customHeight="1" x14ac:dyDescent="0.35">
      <c r="B665" s="1"/>
      <c r="C665" s="74"/>
    </row>
    <row r="666" spans="2:3" ht="14.25" customHeight="1" x14ac:dyDescent="0.35">
      <c r="B666" s="1"/>
      <c r="C666" s="74"/>
    </row>
    <row r="667" spans="2:3" ht="14.25" customHeight="1" x14ac:dyDescent="0.35">
      <c r="B667" s="1"/>
      <c r="C667" s="74"/>
    </row>
    <row r="668" spans="2:3" ht="14.25" customHeight="1" x14ac:dyDescent="0.35">
      <c r="B668" s="1"/>
      <c r="C668" s="74"/>
    </row>
    <row r="669" spans="2:3" ht="14.25" customHeight="1" x14ac:dyDescent="0.35">
      <c r="B669" s="1"/>
      <c r="C669" s="74"/>
    </row>
    <row r="670" spans="2:3" ht="14.25" customHeight="1" x14ac:dyDescent="0.35">
      <c r="B670" s="1"/>
      <c r="C670" s="74"/>
    </row>
    <row r="671" spans="2:3" ht="14.25" customHeight="1" x14ac:dyDescent="0.35">
      <c r="B671" s="1"/>
      <c r="C671" s="74"/>
    </row>
    <row r="672" spans="2:3" ht="14.25" customHeight="1" x14ac:dyDescent="0.35">
      <c r="B672" s="1"/>
      <c r="C672" s="74"/>
    </row>
    <row r="673" spans="2:3" ht="14.25" customHeight="1" x14ac:dyDescent="0.35">
      <c r="B673" s="1"/>
      <c r="C673" s="74"/>
    </row>
    <row r="674" spans="2:3" ht="14.25" customHeight="1" x14ac:dyDescent="0.35">
      <c r="B674" s="1"/>
      <c r="C674" s="74"/>
    </row>
    <row r="675" spans="2:3" ht="14.25" customHeight="1" x14ac:dyDescent="0.35">
      <c r="B675" s="1"/>
      <c r="C675" s="74"/>
    </row>
    <row r="676" spans="2:3" ht="14.25" customHeight="1" x14ac:dyDescent="0.35">
      <c r="B676" s="1"/>
      <c r="C676" s="74"/>
    </row>
    <row r="677" spans="2:3" ht="14.25" customHeight="1" x14ac:dyDescent="0.35">
      <c r="B677" s="1"/>
      <c r="C677" s="74"/>
    </row>
    <row r="678" spans="2:3" ht="14.25" customHeight="1" x14ac:dyDescent="0.35">
      <c r="B678" s="1"/>
      <c r="C678" s="74"/>
    </row>
    <row r="679" spans="2:3" ht="14.25" customHeight="1" x14ac:dyDescent="0.35">
      <c r="B679" s="1"/>
      <c r="C679" s="74"/>
    </row>
    <row r="680" spans="2:3" ht="14.25" customHeight="1" x14ac:dyDescent="0.35">
      <c r="B680" s="1"/>
      <c r="C680" s="74"/>
    </row>
    <row r="681" spans="2:3" ht="14.25" customHeight="1" x14ac:dyDescent="0.35">
      <c r="B681" s="1"/>
      <c r="C681" s="74"/>
    </row>
    <row r="682" spans="2:3" ht="14.25" customHeight="1" x14ac:dyDescent="0.35">
      <c r="B682" s="1"/>
      <c r="C682" s="74"/>
    </row>
    <row r="683" spans="2:3" ht="14.25" customHeight="1" x14ac:dyDescent="0.35">
      <c r="B683" s="1"/>
      <c r="C683" s="74"/>
    </row>
    <row r="684" spans="2:3" ht="14.25" customHeight="1" x14ac:dyDescent="0.35">
      <c r="B684" s="1"/>
      <c r="C684" s="74"/>
    </row>
    <row r="685" spans="2:3" ht="14.25" customHeight="1" x14ac:dyDescent="0.35">
      <c r="B685" s="1"/>
      <c r="C685" s="74"/>
    </row>
    <row r="686" spans="2:3" ht="14.25" customHeight="1" x14ac:dyDescent="0.35">
      <c r="B686" s="1"/>
      <c r="C686" s="74"/>
    </row>
    <row r="687" spans="2:3" ht="14.25" customHeight="1" x14ac:dyDescent="0.35">
      <c r="B687" s="1"/>
      <c r="C687" s="74"/>
    </row>
    <row r="688" spans="2:3" ht="14.25" customHeight="1" x14ac:dyDescent="0.35">
      <c r="B688" s="1"/>
      <c r="C688" s="74"/>
    </row>
    <row r="689" spans="2:3" ht="14.25" customHeight="1" x14ac:dyDescent="0.35">
      <c r="B689" s="1"/>
      <c r="C689" s="74"/>
    </row>
    <row r="690" spans="2:3" ht="14.25" customHeight="1" x14ac:dyDescent="0.35">
      <c r="B690" s="1"/>
      <c r="C690" s="74"/>
    </row>
    <row r="691" spans="2:3" ht="14.25" customHeight="1" x14ac:dyDescent="0.35">
      <c r="B691" s="1"/>
      <c r="C691" s="74"/>
    </row>
    <row r="692" spans="2:3" ht="14.25" customHeight="1" x14ac:dyDescent="0.35">
      <c r="B692" s="1"/>
      <c r="C692" s="74"/>
    </row>
    <row r="693" spans="2:3" ht="14.25" customHeight="1" x14ac:dyDescent="0.35">
      <c r="B693" s="1"/>
      <c r="C693" s="74"/>
    </row>
    <row r="694" spans="2:3" ht="14.25" customHeight="1" x14ac:dyDescent="0.35">
      <c r="B694" s="1"/>
      <c r="C694" s="74"/>
    </row>
    <row r="695" spans="2:3" ht="14.25" customHeight="1" x14ac:dyDescent="0.35">
      <c r="B695" s="1"/>
      <c r="C695" s="74"/>
    </row>
    <row r="696" spans="2:3" ht="14.25" customHeight="1" x14ac:dyDescent="0.35">
      <c r="B696" s="1"/>
      <c r="C696" s="74"/>
    </row>
    <row r="697" spans="2:3" ht="14.25" customHeight="1" x14ac:dyDescent="0.35">
      <c r="B697" s="1"/>
      <c r="C697" s="74"/>
    </row>
    <row r="698" spans="2:3" ht="14.25" customHeight="1" x14ac:dyDescent="0.35">
      <c r="B698" s="1"/>
      <c r="C698" s="74"/>
    </row>
    <row r="699" spans="2:3" ht="14.25" customHeight="1" x14ac:dyDescent="0.35">
      <c r="B699" s="1"/>
      <c r="C699" s="74"/>
    </row>
    <row r="700" spans="2:3" ht="14.25" customHeight="1" x14ac:dyDescent="0.35">
      <c r="B700" s="1"/>
      <c r="C700" s="74"/>
    </row>
    <row r="701" spans="2:3" ht="14.25" customHeight="1" x14ac:dyDescent="0.35">
      <c r="B701" s="1"/>
      <c r="C701" s="74"/>
    </row>
    <row r="702" spans="2:3" ht="14.25" customHeight="1" x14ac:dyDescent="0.35">
      <c r="B702" s="1"/>
      <c r="C702" s="74"/>
    </row>
    <row r="703" spans="2:3" ht="14.25" customHeight="1" x14ac:dyDescent="0.35">
      <c r="B703" s="1"/>
      <c r="C703" s="74"/>
    </row>
    <row r="704" spans="2:3" ht="14.25" customHeight="1" x14ac:dyDescent="0.35">
      <c r="B704" s="1"/>
      <c r="C704" s="74"/>
    </row>
    <row r="705" spans="2:3" ht="14.25" customHeight="1" x14ac:dyDescent="0.35">
      <c r="B705" s="1"/>
      <c r="C705" s="74"/>
    </row>
    <row r="706" spans="2:3" ht="14.25" customHeight="1" x14ac:dyDescent="0.35">
      <c r="B706" s="1"/>
      <c r="C706" s="74"/>
    </row>
    <row r="707" spans="2:3" ht="14.25" customHeight="1" x14ac:dyDescent="0.35">
      <c r="B707" s="1"/>
      <c r="C707" s="74"/>
    </row>
    <row r="708" spans="2:3" ht="14.25" customHeight="1" x14ac:dyDescent="0.35">
      <c r="B708" s="1"/>
      <c r="C708" s="74"/>
    </row>
    <row r="709" spans="2:3" ht="14.25" customHeight="1" x14ac:dyDescent="0.35">
      <c r="B709" s="1"/>
      <c r="C709" s="74"/>
    </row>
    <row r="710" spans="2:3" ht="14.25" customHeight="1" x14ac:dyDescent="0.35">
      <c r="B710" s="1"/>
      <c r="C710" s="74"/>
    </row>
    <row r="711" spans="2:3" ht="14.25" customHeight="1" x14ac:dyDescent="0.35">
      <c r="B711" s="1"/>
      <c r="C711" s="74"/>
    </row>
    <row r="712" spans="2:3" ht="14.25" customHeight="1" x14ac:dyDescent="0.35">
      <c r="B712" s="1"/>
      <c r="C712" s="74"/>
    </row>
    <row r="713" spans="2:3" ht="14.25" customHeight="1" x14ac:dyDescent="0.35">
      <c r="B713" s="1"/>
      <c r="C713" s="74"/>
    </row>
    <row r="714" spans="2:3" ht="14.25" customHeight="1" x14ac:dyDescent="0.35">
      <c r="B714" s="1"/>
      <c r="C714" s="74"/>
    </row>
    <row r="715" spans="2:3" ht="14.25" customHeight="1" x14ac:dyDescent="0.35">
      <c r="B715" s="1"/>
      <c r="C715" s="74"/>
    </row>
    <row r="716" spans="2:3" ht="14.25" customHeight="1" x14ac:dyDescent="0.35">
      <c r="B716" s="1"/>
      <c r="C716" s="74"/>
    </row>
    <row r="717" spans="2:3" ht="14.25" customHeight="1" x14ac:dyDescent="0.35">
      <c r="B717" s="1"/>
      <c r="C717" s="74"/>
    </row>
    <row r="718" spans="2:3" ht="14.25" customHeight="1" x14ac:dyDescent="0.35">
      <c r="B718" s="1"/>
      <c r="C718" s="74"/>
    </row>
    <row r="719" spans="2:3" ht="14.25" customHeight="1" x14ac:dyDescent="0.35">
      <c r="B719" s="1"/>
      <c r="C719" s="74"/>
    </row>
    <row r="720" spans="2:3" ht="14.25" customHeight="1" x14ac:dyDescent="0.35">
      <c r="B720" s="1"/>
      <c r="C720" s="74"/>
    </row>
    <row r="721" spans="2:3" ht="14.25" customHeight="1" x14ac:dyDescent="0.35">
      <c r="B721" s="1"/>
      <c r="C721" s="74"/>
    </row>
    <row r="722" spans="2:3" ht="14.25" customHeight="1" x14ac:dyDescent="0.35">
      <c r="B722" s="1"/>
      <c r="C722" s="74"/>
    </row>
    <row r="723" spans="2:3" ht="14.25" customHeight="1" x14ac:dyDescent="0.35">
      <c r="B723" s="1"/>
      <c r="C723" s="74"/>
    </row>
    <row r="724" spans="2:3" ht="14.25" customHeight="1" x14ac:dyDescent="0.35">
      <c r="B724" s="1"/>
      <c r="C724" s="74"/>
    </row>
    <row r="725" spans="2:3" ht="14.25" customHeight="1" x14ac:dyDescent="0.35">
      <c r="B725" s="1"/>
      <c r="C725" s="74"/>
    </row>
    <row r="726" spans="2:3" ht="14.25" customHeight="1" x14ac:dyDescent="0.35">
      <c r="B726" s="1"/>
      <c r="C726" s="74"/>
    </row>
    <row r="727" spans="2:3" ht="14.25" customHeight="1" x14ac:dyDescent="0.35">
      <c r="B727" s="1"/>
      <c r="C727" s="74"/>
    </row>
    <row r="728" spans="2:3" ht="14.25" customHeight="1" x14ac:dyDescent="0.35">
      <c r="B728" s="1"/>
      <c r="C728" s="74"/>
    </row>
    <row r="729" spans="2:3" ht="14.25" customHeight="1" x14ac:dyDescent="0.35">
      <c r="B729" s="1"/>
      <c r="C729" s="74"/>
    </row>
    <row r="730" spans="2:3" ht="14.25" customHeight="1" x14ac:dyDescent="0.35">
      <c r="B730" s="1"/>
      <c r="C730" s="74"/>
    </row>
    <row r="731" spans="2:3" ht="14.25" customHeight="1" x14ac:dyDescent="0.35">
      <c r="B731" s="1"/>
      <c r="C731" s="74"/>
    </row>
    <row r="732" spans="2:3" ht="14.25" customHeight="1" x14ac:dyDescent="0.35">
      <c r="B732" s="1"/>
      <c r="C732" s="74"/>
    </row>
    <row r="733" spans="2:3" ht="14.25" customHeight="1" x14ac:dyDescent="0.35">
      <c r="B733" s="1"/>
      <c r="C733" s="74"/>
    </row>
    <row r="734" spans="2:3" ht="14.25" customHeight="1" x14ac:dyDescent="0.35">
      <c r="B734" s="1"/>
      <c r="C734" s="74"/>
    </row>
    <row r="735" spans="2:3" ht="14.25" customHeight="1" x14ac:dyDescent="0.35">
      <c r="B735" s="1"/>
      <c r="C735" s="74"/>
    </row>
    <row r="736" spans="2:3" ht="14.25" customHeight="1" x14ac:dyDescent="0.35">
      <c r="B736" s="1"/>
      <c r="C736" s="74"/>
    </row>
    <row r="737" spans="2:3" ht="14.25" customHeight="1" x14ac:dyDescent="0.35">
      <c r="B737" s="1"/>
      <c r="C737" s="74"/>
    </row>
    <row r="738" spans="2:3" ht="14.25" customHeight="1" x14ac:dyDescent="0.35">
      <c r="B738" s="1"/>
      <c r="C738" s="74"/>
    </row>
    <row r="739" spans="2:3" ht="14.25" customHeight="1" x14ac:dyDescent="0.35">
      <c r="B739" s="1"/>
      <c r="C739" s="74"/>
    </row>
    <row r="740" spans="2:3" ht="14.25" customHeight="1" x14ac:dyDescent="0.35">
      <c r="B740" s="1"/>
      <c r="C740" s="74"/>
    </row>
    <row r="741" spans="2:3" ht="14.25" customHeight="1" x14ac:dyDescent="0.35">
      <c r="B741" s="1"/>
      <c r="C741" s="74"/>
    </row>
    <row r="742" spans="2:3" ht="14.25" customHeight="1" x14ac:dyDescent="0.35">
      <c r="B742" s="1"/>
      <c r="C742" s="74"/>
    </row>
    <row r="743" spans="2:3" ht="14.25" customHeight="1" x14ac:dyDescent="0.35">
      <c r="B743" s="1"/>
      <c r="C743" s="74"/>
    </row>
    <row r="744" spans="2:3" ht="14.25" customHeight="1" x14ac:dyDescent="0.35">
      <c r="B744" s="1"/>
      <c r="C744" s="74"/>
    </row>
    <row r="745" spans="2:3" ht="14.25" customHeight="1" x14ac:dyDescent="0.35">
      <c r="B745" s="1"/>
      <c r="C745" s="74"/>
    </row>
    <row r="746" spans="2:3" ht="14.25" customHeight="1" x14ac:dyDescent="0.35">
      <c r="B746" s="1"/>
      <c r="C746" s="74"/>
    </row>
    <row r="747" spans="2:3" ht="14.25" customHeight="1" x14ac:dyDescent="0.35">
      <c r="B747" s="1"/>
      <c r="C747" s="74"/>
    </row>
    <row r="748" spans="2:3" ht="14.25" customHeight="1" x14ac:dyDescent="0.35">
      <c r="B748" s="1"/>
      <c r="C748" s="74"/>
    </row>
    <row r="749" spans="2:3" ht="14.25" customHeight="1" x14ac:dyDescent="0.35">
      <c r="B749" s="1"/>
      <c r="C749" s="74"/>
    </row>
    <row r="750" spans="2:3" ht="14.25" customHeight="1" x14ac:dyDescent="0.35">
      <c r="B750" s="1"/>
      <c r="C750" s="74"/>
    </row>
    <row r="751" spans="2:3" ht="14.25" customHeight="1" x14ac:dyDescent="0.35">
      <c r="B751" s="1"/>
      <c r="C751" s="74"/>
    </row>
    <row r="752" spans="2:3" ht="14.25" customHeight="1" x14ac:dyDescent="0.35">
      <c r="B752" s="1"/>
      <c r="C752" s="74"/>
    </row>
    <row r="753" spans="2:3" ht="14.25" customHeight="1" x14ac:dyDescent="0.35">
      <c r="B753" s="1"/>
      <c r="C753" s="74"/>
    </row>
    <row r="754" spans="2:3" ht="14.25" customHeight="1" x14ac:dyDescent="0.35">
      <c r="B754" s="1"/>
      <c r="C754" s="74"/>
    </row>
    <row r="755" spans="2:3" ht="14.25" customHeight="1" x14ac:dyDescent="0.35">
      <c r="B755" s="1"/>
      <c r="C755" s="74"/>
    </row>
    <row r="756" spans="2:3" ht="14.25" customHeight="1" x14ac:dyDescent="0.35">
      <c r="B756" s="1"/>
      <c r="C756" s="74"/>
    </row>
    <row r="757" spans="2:3" ht="14.25" customHeight="1" x14ac:dyDescent="0.35">
      <c r="B757" s="1"/>
      <c r="C757" s="74"/>
    </row>
    <row r="758" spans="2:3" ht="14.25" customHeight="1" x14ac:dyDescent="0.35">
      <c r="B758" s="1"/>
      <c r="C758" s="74"/>
    </row>
    <row r="759" spans="2:3" ht="14.25" customHeight="1" x14ac:dyDescent="0.35">
      <c r="B759" s="1"/>
      <c r="C759" s="74"/>
    </row>
    <row r="760" spans="2:3" ht="14.25" customHeight="1" x14ac:dyDescent="0.35">
      <c r="B760" s="1"/>
      <c r="C760" s="74"/>
    </row>
    <row r="761" spans="2:3" ht="14.25" customHeight="1" x14ac:dyDescent="0.35">
      <c r="B761" s="1"/>
      <c r="C761" s="74"/>
    </row>
    <row r="762" spans="2:3" ht="14.25" customHeight="1" x14ac:dyDescent="0.35">
      <c r="B762" s="1"/>
      <c r="C762" s="74"/>
    </row>
    <row r="763" spans="2:3" ht="14.25" customHeight="1" x14ac:dyDescent="0.35">
      <c r="B763" s="1"/>
      <c r="C763" s="74"/>
    </row>
    <row r="764" spans="2:3" ht="14.25" customHeight="1" x14ac:dyDescent="0.35">
      <c r="B764" s="1"/>
      <c r="C764" s="74"/>
    </row>
    <row r="765" spans="2:3" ht="14.25" customHeight="1" x14ac:dyDescent="0.35">
      <c r="B765" s="1"/>
      <c r="C765" s="74"/>
    </row>
    <row r="766" spans="2:3" ht="14.25" customHeight="1" x14ac:dyDescent="0.35">
      <c r="B766" s="1"/>
      <c r="C766" s="74"/>
    </row>
    <row r="767" spans="2:3" ht="14.25" customHeight="1" x14ac:dyDescent="0.35">
      <c r="B767" s="1"/>
      <c r="C767" s="74"/>
    </row>
    <row r="768" spans="2:3" ht="14.25" customHeight="1" x14ac:dyDescent="0.35">
      <c r="B768" s="1"/>
      <c r="C768" s="74"/>
    </row>
    <row r="769" spans="2:3" ht="14.25" customHeight="1" x14ac:dyDescent="0.35">
      <c r="B769" s="1"/>
      <c r="C769" s="74"/>
    </row>
    <row r="770" spans="2:3" ht="14.25" customHeight="1" x14ac:dyDescent="0.35">
      <c r="B770" s="1"/>
      <c r="C770" s="74"/>
    </row>
    <row r="771" spans="2:3" ht="14.25" customHeight="1" x14ac:dyDescent="0.35">
      <c r="B771" s="1"/>
      <c r="C771" s="74"/>
    </row>
    <row r="772" spans="2:3" ht="14.25" customHeight="1" x14ac:dyDescent="0.35">
      <c r="B772" s="1"/>
      <c r="C772" s="74"/>
    </row>
    <row r="773" spans="2:3" ht="14.25" customHeight="1" x14ac:dyDescent="0.35">
      <c r="B773" s="1"/>
      <c r="C773" s="74"/>
    </row>
    <row r="774" spans="2:3" ht="14.25" customHeight="1" x14ac:dyDescent="0.35">
      <c r="B774" s="1"/>
      <c r="C774" s="74"/>
    </row>
    <row r="775" spans="2:3" ht="14.25" customHeight="1" x14ac:dyDescent="0.35">
      <c r="B775" s="1"/>
      <c r="C775" s="74"/>
    </row>
    <row r="776" spans="2:3" ht="14.25" customHeight="1" x14ac:dyDescent="0.35">
      <c r="B776" s="1"/>
      <c r="C776" s="74"/>
    </row>
    <row r="777" spans="2:3" ht="14.25" customHeight="1" x14ac:dyDescent="0.35">
      <c r="B777" s="1"/>
      <c r="C777" s="74"/>
    </row>
    <row r="778" spans="2:3" ht="14.25" customHeight="1" x14ac:dyDescent="0.35">
      <c r="B778" s="1"/>
      <c r="C778" s="74"/>
    </row>
    <row r="779" spans="2:3" ht="14.25" customHeight="1" x14ac:dyDescent="0.35">
      <c r="B779" s="1"/>
      <c r="C779" s="74"/>
    </row>
    <row r="780" spans="2:3" ht="14.25" customHeight="1" x14ac:dyDescent="0.35">
      <c r="B780" s="1"/>
      <c r="C780" s="74"/>
    </row>
    <row r="781" spans="2:3" ht="14.25" customHeight="1" x14ac:dyDescent="0.35">
      <c r="B781" s="1"/>
      <c r="C781" s="74"/>
    </row>
    <row r="782" spans="2:3" ht="14.25" customHeight="1" x14ac:dyDescent="0.35">
      <c r="B782" s="1"/>
      <c r="C782" s="74"/>
    </row>
    <row r="783" spans="2:3" ht="14.25" customHeight="1" x14ac:dyDescent="0.35">
      <c r="B783" s="1"/>
      <c r="C783" s="74"/>
    </row>
    <row r="784" spans="2:3" ht="14.25" customHeight="1" x14ac:dyDescent="0.35">
      <c r="B784" s="1"/>
      <c r="C784" s="74"/>
    </row>
    <row r="785" spans="2:3" ht="14.25" customHeight="1" x14ac:dyDescent="0.35">
      <c r="B785" s="1"/>
      <c r="C785" s="74"/>
    </row>
    <row r="786" spans="2:3" ht="14.25" customHeight="1" x14ac:dyDescent="0.35">
      <c r="B786" s="1"/>
      <c r="C786" s="74"/>
    </row>
    <row r="787" spans="2:3" ht="14.25" customHeight="1" x14ac:dyDescent="0.35">
      <c r="B787" s="1"/>
      <c r="C787" s="74"/>
    </row>
    <row r="788" spans="2:3" ht="14.25" customHeight="1" x14ac:dyDescent="0.35">
      <c r="B788" s="1"/>
      <c r="C788" s="74"/>
    </row>
    <row r="789" spans="2:3" ht="14.25" customHeight="1" x14ac:dyDescent="0.35">
      <c r="B789" s="1"/>
      <c r="C789" s="74"/>
    </row>
    <row r="790" spans="2:3" ht="14.25" customHeight="1" x14ac:dyDescent="0.35">
      <c r="B790" s="1"/>
      <c r="C790" s="74"/>
    </row>
    <row r="791" spans="2:3" ht="14.25" customHeight="1" x14ac:dyDescent="0.35">
      <c r="B791" s="1"/>
      <c r="C791" s="74"/>
    </row>
    <row r="792" spans="2:3" ht="14.25" customHeight="1" x14ac:dyDescent="0.35">
      <c r="B792" s="1"/>
      <c r="C792" s="74"/>
    </row>
    <row r="793" spans="2:3" ht="14.25" customHeight="1" x14ac:dyDescent="0.35">
      <c r="B793" s="1"/>
      <c r="C793" s="74"/>
    </row>
    <row r="794" spans="2:3" ht="14.25" customHeight="1" x14ac:dyDescent="0.35">
      <c r="B794" s="1"/>
      <c r="C794" s="74"/>
    </row>
    <row r="795" spans="2:3" ht="14.25" customHeight="1" x14ac:dyDescent="0.35">
      <c r="B795" s="1"/>
      <c r="C795" s="74"/>
    </row>
    <row r="796" spans="2:3" ht="14.25" customHeight="1" x14ac:dyDescent="0.35">
      <c r="B796" s="1"/>
      <c r="C796" s="74"/>
    </row>
    <row r="797" spans="2:3" ht="14.25" customHeight="1" x14ac:dyDescent="0.35">
      <c r="B797" s="1"/>
      <c r="C797" s="74"/>
    </row>
    <row r="798" spans="2:3" ht="14.25" customHeight="1" x14ac:dyDescent="0.35">
      <c r="B798" s="1"/>
      <c r="C798" s="74"/>
    </row>
    <row r="799" spans="2:3" ht="14.25" customHeight="1" x14ac:dyDescent="0.35">
      <c r="B799" s="1"/>
      <c r="C799" s="74"/>
    </row>
    <row r="800" spans="2:3" ht="14.25" customHeight="1" x14ac:dyDescent="0.35">
      <c r="B800" s="1"/>
      <c r="C800" s="74"/>
    </row>
    <row r="801" spans="2:3" ht="14.25" customHeight="1" x14ac:dyDescent="0.35">
      <c r="B801" s="1"/>
      <c r="C801" s="74"/>
    </row>
    <row r="802" spans="2:3" ht="14.25" customHeight="1" x14ac:dyDescent="0.35">
      <c r="B802" s="1"/>
      <c r="C802" s="74"/>
    </row>
    <row r="803" spans="2:3" ht="14.25" customHeight="1" x14ac:dyDescent="0.35">
      <c r="B803" s="1"/>
      <c r="C803" s="74"/>
    </row>
    <row r="804" spans="2:3" ht="14.25" customHeight="1" x14ac:dyDescent="0.35">
      <c r="B804" s="1"/>
      <c r="C804" s="74"/>
    </row>
    <row r="805" spans="2:3" ht="14.25" customHeight="1" x14ac:dyDescent="0.35">
      <c r="B805" s="1"/>
      <c r="C805" s="74"/>
    </row>
    <row r="806" spans="2:3" ht="14.25" customHeight="1" x14ac:dyDescent="0.35">
      <c r="B806" s="1"/>
      <c r="C806" s="74"/>
    </row>
    <row r="807" spans="2:3" ht="14.25" customHeight="1" x14ac:dyDescent="0.35">
      <c r="B807" s="1"/>
      <c r="C807" s="74"/>
    </row>
    <row r="808" spans="2:3" ht="14.25" customHeight="1" x14ac:dyDescent="0.35">
      <c r="B808" s="1"/>
      <c r="C808" s="74"/>
    </row>
    <row r="809" spans="2:3" ht="14.25" customHeight="1" x14ac:dyDescent="0.35">
      <c r="B809" s="1"/>
      <c r="C809" s="74"/>
    </row>
    <row r="810" spans="2:3" ht="14.25" customHeight="1" x14ac:dyDescent="0.35">
      <c r="B810" s="1"/>
      <c r="C810" s="74"/>
    </row>
    <row r="811" spans="2:3" ht="14.25" customHeight="1" x14ac:dyDescent="0.35">
      <c r="B811" s="1"/>
      <c r="C811" s="74"/>
    </row>
    <row r="812" spans="2:3" ht="14.25" customHeight="1" x14ac:dyDescent="0.35">
      <c r="B812" s="1"/>
      <c r="C812" s="74"/>
    </row>
    <row r="813" spans="2:3" ht="14.25" customHeight="1" x14ac:dyDescent="0.35">
      <c r="B813" s="1"/>
      <c r="C813" s="74"/>
    </row>
    <row r="814" spans="2:3" ht="14.25" customHeight="1" x14ac:dyDescent="0.35">
      <c r="B814" s="1"/>
      <c r="C814" s="74"/>
    </row>
    <row r="815" spans="2:3" ht="14.25" customHeight="1" x14ac:dyDescent="0.35">
      <c r="B815" s="1"/>
      <c r="C815" s="74"/>
    </row>
    <row r="816" spans="2:3" ht="14.25" customHeight="1" x14ac:dyDescent="0.35">
      <c r="B816" s="1"/>
      <c r="C816" s="74"/>
    </row>
    <row r="817" spans="2:3" ht="14.25" customHeight="1" x14ac:dyDescent="0.35">
      <c r="B817" s="1"/>
      <c r="C817" s="74"/>
    </row>
    <row r="818" spans="2:3" ht="14.25" customHeight="1" x14ac:dyDescent="0.35">
      <c r="B818" s="1"/>
      <c r="C818" s="74"/>
    </row>
    <row r="819" spans="2:3" ht="14.25" customHeight="1" x14ac:dyDescent="0.35">
      <c r="B819" s="1"/>
      <c r="C819" s="74"/>
    </row>
    <row r="820" spans="2:3" ht="14.25" customHeight="1" x14ac:dyDescent="0.35">
      <c r="B820" s="1"/>
      <c r="C820" s="74"/>
    </row>
    <row r="821" spans="2:3" ht="14.25" customHeight="1" x14ac:dyDescent="0.35">
      <c r="B821" s="1"/>
      <c r="C821" s="74"/>
    </row>
    <row r="822" spans="2:3" ht="14.25" customHeight="1" x14ac:dyDescent="0.35">
      <c r="B822" s="1"/>
      <c r="C822" s="74"/>
    </row>
    <row r="823" spans="2:3" ht="14.25" customHeight="1" x14ac:dyDescent="0.35">
      <c r="B823" s="1"/>
      <c r="C823" s="74"/>
    </row>
    <row r="824" spans="2:3" ht="14.25" customHeight="1" x14ac:dyDescent="0.35">
      <c r="B824" s="1"/>
      <c r="C824" s="74"/>
    </row>
    <row r="825" spans="2:3" ht="14.25" customHeight="1" x14ac:dyDescent="0.35">
      <c r="B825" s="1"/>
      <c r="C825" s="74"/>
    </row>
    <row r="826" spans="2:3" ht="14.25" customHeight="1" x14ac:dyDescent="0.35">
      <c r="B826" s="1"/>
      <c r="C826" s="74"/>
    </row>
    <row r="827" spans="2:3" ht="14.25" customHeight="1" x14ac:dyDescent="0.35">
      <c r="B827" s="1"/>
      <c r="C827" s="74"/>
    </row>
    <row r="828" spans="2:3" ht="14.25" customHeight="1" x14ac:dyDescent="0.35">
      <c r="B828" s="1"/>
      <c r="C828" s="74"/>
    </row>
    <row r="829" spans="2:3" ht="14.25" customHeight="1" x14ac:dyDescent="0.35">
      <c r="B829" s="1"/>
      <c r="C829" s="74"/>
    </row>
    <row r="830" spans="2:3" ht="14.25" customHeight="1" x14ac:dyDescent="0.35">
      <c r="B830" s="1"/>
      <c r="C830" s="74"/>
    </row>
    <row r="831" spans="2:3" ht="14.25" customHeight="1" x14ac:dyDescent="0.35">
      <c r="B831" s="1"/>
      <c r="C831" s="74"/>
    </row>
    <row r="832" spans="2:3" ht="14.25" customHeight="1" x14ac:dyDescent="0.35">
      <c r="B832" s="1"/>
      <c r="C832" s="74"/>
    </row>
    <row r="833" spans="2:3" ht="14.25" customHeight="1" x14ac:dyDescent="0.35">
      <c r="B833" s="1"/>
      <c r="C833" s="74"/>
    </row>
    <row r="834" spans="2:3" ht="14.25" customHeight="1" x14ac:dyDescent="0.35">
      <c r="B834" s="1"/>
      <c r="C834" s="74"/>
    </row>
  </sheetData>
  <autoFilter ref="A1:H11" xr:uid="{00000000-0009-0000-0000-000003000000}"/>
  <mergeCells count="7">
    <mergeCell ref="A2:A5"/>
    <mergeCell ref="B2:B5"/>
    <mergeCell ref="B6:B7"/>
    <mergeCell ref="B8:B9"/>
    <mergeCell ref="A11:F11"/>
    <mergeCell ref="A6:A7"/>
    <mergeCell ref="A8:A9"/>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2C1C04AA-50E8-4BCF-B3C3-705CC77B188D}">
          <x14:formula1>
            <xm:f>Master!$B$2:$B$25</xm:f>
          </x14:formula1>
          <xm:sqref>C2:C10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DA19B-D2A9-4A53-B279-78B813097EF1}">
  <dimension ref="A1:D6"/>
  <sheetViews>
    <sheetView workbookViewId="0">
      <selection activeCell="E7" sqref="E7"/>
    </sheetView>
  </sheetViews>
  <sheetFormatPr defaultRowHeight="14.5" x14ac:dyDescent="0.35"/>
  <cols>
    <col min="1" max="1" width="21.453125" bestFit="1" customWidth="1"/>
  </cols>
  <sheetData>
    <row r="1" spans="1:4" x14ac:dyDescent="0.35">
      <c r="A1" s="66" t="s">
        <v>41</v>
      </c>
      <c r="B1" s="66" t="s">
        <v>68</v>
      </c>
      <c r="C1" s="66" t="s">
        <v>47</v>
      </c>
      <c r="D1" s="66" t="s">
        <v>46</v>
      </c>
    </row>
    <row r="2" spans="1:4" x14ac:dyDescent="0.35">
      <c r="A2" t="s">
        <v>54</v>
      </c>
      <c r="B2">
        <v>4</v>
      </c>
      <c r="C2">
        <f>VLOOKUP(A2,Master!$B$2:$C$25,2,0)</f>
        <v>27000</v>
      </c>
      <c r="D2">
        <f>B2*C2</f>
        <v>108000</v>
      </c>
    </row>
    <row r="3" spans="1:4" x14ac:dyDescent="0.35">
      <c r="A3" t="s">
        <v>69</v>
      </c>
      <c r="B3">
        <v>1</v>
      </c>
      <c r="C3">
        <f>VLOOKUP(A3,Master!$B$1:$C$25,2,0)</f>
        <v>9200</v>
      </c>
      <c r="D3">
        <f t="shared" ref="D3:D5" si="0">B3*C3</f>
        <v>9200</v>
      </c>
    </row>
    <row r="4" spans="1:4" x14ac:dyDescent="0.35">
      <c r="A4" t="s">
        <v>60</v>
      </c>
      <c r="B4">
        <v>1</v>
      </c>
      <c r="C4">
        <f>VLOOKUP(A4,Master!$B$1:$C$25,2,0)</f>
        <v>66000</v>
      </c>
      <c r="D4">
        <f t="shared" si="0"/>
        <v>66000</v>
      </c>
    </row>
    <row r="5" spans="1:4" x14ac:dyDescent="0.35">
      <c r="A5" t="s">
        <v>70</v>
      </c>
      <c r="B5">
        <v>2</v>
      </c>
      <c r="C5">
        <f>VLOOKUP(A5,Master!$B$2:$C$25,2,0)</f>
        <v>47000</v>
      </c>
      <c r="D5">
        <f t="shared" si="0"/>
        <v>94000</v>
      </c>
    </row>
    <row r="6" spans="1:4" x14ac:dyDescent="0.35">
      <c r="D6">
        <f>SUM(D2:D5)</f>
        <v>277200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9E8B7D9-503E-4804-B6DB-65C47ECADD83}">
          <x14:formula1>
            <xm:f>Master!$B$2:$B$25</xm:f>
          </x14:formula1>
          <xm:sqref>A2:A7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DC836-4D2C-478F-9AEA-1FE1B5FDC514}">
  <sheetPr>
    <outlinePr summaryBelow="0" summaryRight="0"/>
  </sheetPr>
  <dimension ref="A1:V1002"/>
  <sheetViews>
    <sheetView topLeftCell="A4" workbookViewId="0">
      <selection activeCell="K27" sqref="K27"/>
    </sheetView>
  </sheetViews>
  <sheetFormatPr defaultColWidth="14.453125" defaultRowHeight="15" customHeight="1" x14ac:dyDescent="0.35"/>
  <cols>
    <col min="2" max="2" width="56" customWidth="1"/>
    <col min="3" max="3" width="12.81640625" customWidth="1"/>
    <col min="4" max="4" width="23" customWidth="1"/>
    <col min="5" max="5" width="18.1796875" customWidth="1"/>
    <col min="6" max="7" width="13.81640625" customWidth="1"/>
    <col min="8" max="8" width="11.1796875" customWidth="1"/>
    <col min="9" max="9" width="19" customWidth="1"/>
    <col min="10" max="10" width="8.81640625" customWidth="1"/>
    <col min="12" max="12" width="34.54296875" hidden="1" customWidth="1"/>
    <col min="14" max="14" width="51.1796875" customWidth="1"/>
    <col min="15" max="15" width="12.81640625" customWidth="1"/>
    <col min="16" max="16" width="13.54296875" customWidth="1"/>
    <col min="17" max="19" width="13.81640625" customWidth="1"/>
    <col min="20" max="20" width="11.1796875" customWidth="1"/>
    <col min="21" max="21" width="10" customWidth="1"/>
    <col min="22" max="22" width="6.08984375" customWidth="1"/>
  </cols>
  <sheetData>
    <row r="1" spans="1:22" ht="14.5" x14ac:dyDescent="0.35">
      <c r="A1" s="11"/>
      <c r="B1" s="11"/>
      <c r="C1" s="11"/>
      <c r="D1" s="11"/>
      <c r="E1" s="11"/>
      <c r="F1" s="11"/>
      <c r="G1" s="11"/>
      <c r="H1" s="11"/>
      <c r="I1" s="11"/>
      <c r="J1" s="11"/>
      <c r="K1" s="11"/>
      <c r="L1" s="11"/>
      <c r="M1" s="11"/>
      <c r="N1" s="11"/>
      <c r="O1" s="11"/>
      <c r="P1" s="11"/>
      <c r="Q1" s="11"/>
      <c r="R1" s="11"/>
      <c r="S1" s="11"/>
      <c r="T1" s="11"/>
      <c r="U1" s="11"/>
      <c r="V1" s="11"/>
    </row>
    <row r="2" spans="1:22" ht="21" x14ac:dyDescent="0.5">
      <c r="A2" s="11"/>
      <c r="B2" s="199" t="s">
        <v>71</v>
      </c>
      <c r="C2" s="197"/>
      <c r="D2" s="197"/>
      <c r="E2" s="197"/>
      <c r="F2" s="197"/>
      <c r="G2" s="179"/>
      <c r="H2" s="11"/>
      <c r="I2" s="11"/>
      <c r="J2" s="11"/>
      <c r="K2" s="11"/>
      <c r="L2" s="76" t="s">
        <v>72</v>
      </c>
      <c r="M2" s="11"/>
      <c r="N2" s="199" t="s">
        <v>73</v>
      </c>
      <c r="O2" s="197"/>
      <c r="P2" s="197"/>
      <c r="Q2" s="197"/>
      <c r="R2" s="197"/>
      <c r="S2" s="179"/>
      <c r="T2" s="11"/>
      <c r="U2" s="11"/>
      <c r="V2" s="11"/>
    </row>
    <row r="3" spans="1:22" ht="21" x14ac:dyDescent="0.5">
      <c r="A3" s="11"/>
      <c r="B3" s="199" t="s">
        <v>74</v>
      </c>
      <c r="C3" s="197"/>
      <c r="D3" s="197"/>
      <c r="E3" s="197"/>
      <c r="F3" s="197"/>
      <c r="G3" s="179"/>
      <c r="H3" s="11"/>
      <c r="I3" s="11"/>
      <c r="J3" s="11"/>
      <c r="K3" s="11"/>
      <c r="L3" s="75" t="s">
        <v>75</v>
      </c>
      <c r="M3" s="11"/>
      <c r="N3" s="199" t="s">
        <v>76</v>
      </c>
      <c r="O3" s="197"/>
      <c r="P3" s="197"/>
      <c r="Q3" s="197"/>
      <c r="R3" s="197"/>
      <c r="S3" s="197"/>
      <c r="T3" s="11"/>
      <c r="U3" s="11"/>
      <c r="V3" s="11"/>
    </row>
    <row r="4" spans="1:22" ht="15.5" x14ac:dyDescent="0.35">
      <c r="A4" s="11"/>
      <c r="B4" s="198" t="s">
        <v>77</v>
      </c>
      <c r="C4" s="197"/>
      <c r="D4" s="197"/>
      <c r="E4" s="197"/>
      <c r="F4" s="197"/>
      <c r="G4" s="179"/>
      <c r="H4" s="11"/>
      <c r="I4" s="11"/>
      <c r="J4" s="11"/>
      <c r="K4" s="11"/>
      <c r="L4" s="77" t="s">
        <v>78</v>
      </c>
      <c r="M4" s="11"/>
      <c r="N4" s="198" t="s">
        <v>79</v>
      </c>
      <c r="O4" s="197"/>
      <c r="P4" s="197"/>
      <c r="Q4" s="197"/>
      <c r="R4" s="197"/>
      <c r="S4" s="179"/>
      <c r="T4" s="11"/>
      <c r="U4" s="11"/>
      <c r="V4" s="11"/>
    </row>
    <row r="5" spans="1:22" ht="46.5" x14ac:dyDescent="0.35">
      <c r="A5" s="11"/>
      <c r="B5" s="78" t="s">
        <v>80</v>
      </c>
      <c r="C5" s="79" t="s">
        <v>81</v>
      </c>
      <c r="D5" s="79" t="s">
        <v>82</v>
      </c>
      <c r="E5" s="79" t="s">
        <v>83</v>
      </c>
      <c r="F5" s="79" t="s">
        <v>84</v>
      </c>
      <c r="G5" s="79" t="s">
        <v>46</v>
      </c>
      <c r="H5" s="11"/>
      <c r="I5" s="11"/>
      <c r="J5" s="11"/>
      <c r="K5" s="11"/>
      <c r="L5" s="80" t="s">
        <v>80</v>
      </c>
      <c r="M5" s="11"/>
      <c r="N5" s="81" t="s">
        <v>80</v>
      </c>
      <c r="O5" s="81" t="s">
        <v>81</v>
      </c>
      <c r="P5" s="81" t="s">
        <v>82</v>
      </c>
      <c r="Q5" s="81" t="s">
        <v>83</v>
      </c>
      <c r="R5" s="81" t="s">
        <v>84</v>
      </c>
      <c r="S5" s="81" t="s">
        <v>46</v>
      </c>
      <c r="T5" s="11"/>
      <c r="U5" s="11"/>
      <c r="V5" s="11"/>
    </row>
    <row r="6" spans="1:22" ht="15.5" x14ac:dyDescent="0.35">
      <c r="A6" s="11"/>
      <c r="B6" s="82" t="s">
        <v>85</v>
      </c>
      <c r="C6" s="83">
        <v>0</v>
      </c>
      <c r="D6" s="83">
        <v>1</v>
      </c>
      <c r="E6" s="84">
        <f>70000+20000</f>
        <v>90000</v>
      </c>
      <c r="F6" s="83">
        <v>0</v>
      </c>
      <c r="G6" s="84">
        <f t="shared" ref="G6:G7" si="0">C6*D6*E6*F6</f>
        <v>0</v>
      </c>
      <c r="H6" s="11"/>
      <c r="I6" s="11"/>
      <c r="J6" s="11"/>
      <c r="K6" s="11"/>
      <c r="L6" s="82"/>
      <c r="M6" s="11"/>
      <c r="N6" s="82" t="s">
        <v>86</v>
      </c>
      <c r="O6" s="83">
        <v>0.25</v>
      </c>
      <c r="P6" s="83">
        <v>1</v>
      </c>
      <c r="Q6" s="84">
        <v>50000</v>
      </c>
      <c r="R6" s="83">
        <v>12</v>
      </c>
      <c r="S6" s="84">
        <f t="shared" ref="S6" si="1">O6*P6*Q6*R6</f>
        <v>150000</v>
      </c>
      <c r="T6" s="11"/>
      <c r="U6" s="11"/>
      <c r="V6" s="11"/>
    </row>
    <row r="7" spans="1:22" ht="15.5" x14ac:dyDescent="0.35">
      <c r="A7" s="11"/>
      <c r="B7" s="82" t="s">
        <v>87</v>
      </c>
      <c r="C7" s="83">
        <v>1</v>
      </c>
      <c r="D7" s="83">
        <v>1</v>
      </c>
      <c r="E7" s="84">
        <v>40000</v>
      </c>
      <c r="F7" s="83">
        <v>1</v>
      </c>
      <c r="G7" s="84">
        <f t="shared" si="0"/>
        <v>40000</v>
      </c>
      <c r="H7" s="11"/>
      <c r="I7" s="11"/>
      <c r="J7" s="11"/>
      <c r="K7" s="11"/>
      <c r="L7" s="82" t="s">
        <v>85</v>
      </c>
      <c r="M7" s="11"/>
      <c r="N7" s="82" t="s">
        <v>88</v>
      </c>
      <c r="O7" s="83">
        <v>0</v>
      </c>
      <c r="P7" s="83">
        <v>0</v>
      </c>
      <c r="Q7" s="84">
        <v>40000</v>
      </c>
      <c r="R7" s="83">
        <v>12</v>
      </c>
      <c r="S7" s="84">
        <f>O7*P7*Q7*R7</f>
        <v>0</v>
      </c>
      <c r="T7" s="11"/>
      <c r="U7" s="11"/>
      <c r="V7" s="11"/>
    </row>
    <row r="8" spans="1:22" ht="15.5" x14ac:dyDescent="0.35">
      <c r="A8" s="11"/>
      <c r="B8" s="82" t="s">
        <v>89</v>
      </c>
      <c r="C8" s="83">
        <v>1</v>
      </c>
      <c r="D8" s="83">
        <v>1</v>
      </c>
      <c r="E8" s="84">
        <v>65000</v>
      </c>
      <c r="F8" s="83">
        <v>1</v>
      </c>
      <c r="G8" s="84">
        <f>C8*D8*E8*F8</f>
        <v>65000</v>
      </c>
      <c r="H8" s="11"/>
      <c r="I8" s="11"/>
      <c r="J8" s="11"/>
      <c r="K8" s="11"/>
      <c r="L8" s="82" t="s">
        <v>87</v>
      </c>
      <c r="M8" s="11"/>
      <c r="N8" s="85"/>
      <c r="O8" s="86">
        <f>SUM(O6:O7)</f>
        <v>0.25</v>
      </c>
      <c r="P8" s="85"/>
      <c r="Q8" s="85"/>
      <c r="R8" s="87" t="s">
        <v>46</v>
      </c>
      <c r="S8" s="88">
        <f>SUM(S6:S7)</f>
        <v>150000</v>
      </c>
      <c r="T8" s="11"/>
      <c r="U8" s="11"/>
      <c r="V8" s="11"/>
    </row>
    <row r="9" spans="1:22" ht="15.5" x14ac:dyDescent="0.35">
      <c r="A9" s="11"/>
      <c r="B9" s="85"/>
      <c r="C9" s="89">
        <f>C6*D6+C7*D7+C8*D8</f>
        <v>2</v>
      </c>
      <c r="D9" s="85"/>
      <c r="E9" s="85"/>
      <c r="F9" s="87" t="s">
        <v>90</v>
      </c>
      <c r="G9" s="88">
        <f>SUM(G6:G8)</f>
        <v>105000</v>
      </c>
      <c r="H9" s="11"/>
      <c r="I9" s="11"/>
      <c r="J9" s="11"/>
      <c r="K9" s="11"/>
      <c r="L9" s="82"/>
      <c r="M9" s="11"/>
      <c r="T9" s="11"/>
      <c r="U9" s="11"/>
      <c r="V9" s="11"/>
    </row>
    <row r="10" spans="1:22" ht="15.5" x14ac:dyDescent="0.35">
      <c r="A10" s="11"/>
      <c r="H10" s="11"/>
      <c r="I10" s="51"/>
      <c r="J10" s="11"/>
      <c r="K10" s="11"/>
      <c r="L10" s="82" t="s">
        <v>91</v>
      </c>
      <c r="M10" s="11"/>
      <c r="T10" s="11"/>
      <c r="U10" s="11"/>
      <c r="V10" s="11"/>
    </row>
    <row r="11" spans="1:22" ht="14.5" x14ac:dyDescent="0.35">
      <c r="A11" s="11"/>
      <c r="H11" s="11"/>
      <c r="I11" s="11"/>
      <c r="J11" s="11"/>
      <c r="K11" s="11"/>
      <c r="L11" s="85"/>
      <c r="M11" s="11"/>
      <c r="T11" s="11"/>
      <c r="U11" s="11"/>
      <c r="V11" s="11"/>
    </row>
    <row r="12" spans="1:22" ht="14.5" x14ac:dyDescent="0.35">
      <c r="A12" s="11"/>
      <c r="B12" s="11"/>
      <c r="C12" s="11"/>
      <c r="D12" s="11"/>
      <c r="E12" s="11"/>
      <c r="F12" s="11"/>
      <c r="G12" s="11"/>
      <c r="H12" s="11"/>
      <c r="I12" s="11"/>
      <c r="J12" s="11"/>
      <c r="K12" s="11"/>
      <c r="L12" s="11"/>
      <c r="M12" s="11"/>
      <c r="N12" s="11"/>
      <c r="O12" s="11"/>
      <c r="P12" s="11"/>
      <c r="Q12" s="11"/>
      <c r="R12" s="11"/>
      <c r="S12" s="11"/>
      <c r="T12" s="11"/>
      <c r="U12" s="11"/>
      <c r="V12" s="11"/>
    </row>
    <row r="13" spans="1:22" ht="14.5" hidden="1" x14ac:dyDescent="0.35">
      <c r="A13" s="11"/>
      <c r="B13" s="11"/>
      <c r="C13" s="11"/>
      <c r="D13" s="11"/>
      <c r="E13" s="11"/>
      <c r="F13" s="11"/>
      <c r="G13" s="11"/>
      <c r="H13" s="11"/>
      <c r="I13" s="11"/>
      <c r="J13" s="11"/>
      <c r="K13" s="11"/>
      <c r="L13" s="11"/>
      <c r="M13" s="11"/>
      <c r="N13" s="11"/>
      <c r="O13" s="11"/>
      <c r="P13" s="11"/>
      <c r="Q13" s="11"/>
      <c r="R13" s="11"/>
      <c r="S13" s="11"/>
      <c r="T13" s="11"/>
      <c r="U13" s="11"/>
      <c r="V13" s="11"/>
    </row>
    <row r="14" spans="1:22" ht="14.5" hidden="1" x14ac:dyDescent="0.35">
      <c r="A14" s="11"/>
      <c r="B14" s="90" t="s">
        <v>92</v>
      </c>
      <c r="C14" s="90" t="s">
        <v>93</v>
      </c>
      <c r="D14" s="90" t="s">
        <v>94</v>
      </c>
      <c r="E14" s="90" t="s">
        <v>95</v>
      </c>
      <c r="F14" s="11"/>
      <c r="G14" s="11"/>
      <c r="H14" s="11"/>
      <c r="I14" s="90" t="s">
        <v>96</v>
      </c>
      <c r="J14" s="90" t="s">
        <v>93</v>
      </c>
      <c r="K14" s="11"/>
      <c r="L14" s="11"/>
      <c r="M14" s="11"/>
      <c r="N14" s="11"/>
      <c r="O14" s="11"/>
      <c r="P14" s="11"/>
      <c r="Q14" s="11"/>
      <c r="R14" s="11"/>
      <c r="S14" s="11"/>
      <c r="T14" s="11"/>
      <c r="U14" s="11"/>
      <c r="V14" s="11"/>
    </row>
    <row r="15" spans="1:22" ht="14.5" hidden="1" x14ac:dyDescent="0.35">
      <c r="A15" s="11"/>
      <c r="B15" s="85" t="s">
        <v>97</v>
      </c>
      <c r="C15" s="91">
        <f>SUM(Master!B41)</f>
        <v>0</v>
      </c>
      <c r="D15" s="91">
        <v>6</v>
      </c>
      <c r="E15" s="91">
        <f t="shared" ref="E15:E17" si="2">ROUND(C15/D15,0)</f>
        <v>0</v>
      </c>
      <c r="F15" s="11"/>
      <c r="G15" s="11"/>
      <c r="H15" s="11"/>
      <c r="I15" s="85" t="s">
        <v>97</v>
      </c>
      <c r="J15" s="91">
        <f>SUM(Master!C41)</f>
        <v>0</v>
      </c>
      <c r="K15" s="11"/>
      <c r="L15" s="11"/>
      <c r="M15" s="11"/>
      <c r="N15" s="11"/>
      <c r="O15" s="11"/>
      <c r="P15" s="11"/>
      <c r="Q15" s="11"/>
      <c r="R15" s="11"/>
      <c r="S15" s="11"/>
      <c r="T15" s="11"/>
      <c r="U15" s="11"/>
      <c r="V15" s="11"/>
    </row>
    <row r="16" spans="1:22" ht="14.5" hidden="1" x14ac:dyDescent="0.35">
      <c r="A16" s="11"/>
      <c r="B16" s="85" t="s">
        <v>98</v>
      </c>
      <c r="C16" s="91">
        <f>SUM(Master!B44:B55)</f>
        <v>0</v>
      </c>
      <c r="D16" s="91">
        <v>7</v>
      </c>
      <c r="E16" s="91">
        <f t="shared" si="2"/>
        <v>0</v>
      </c>
      <c r="F16" s="11"/>
      <c r="G16" s="11"/>
      <c r="H16" s="11"/>
      <c r="I16" s="85" t="s">
        <v>98</v>
      </c>
      <c r="J16" s="91">
        <f>SUM(Master!C44:C55)</f>
        <v>0</v>
      </c>
      <c r="K16" s="11"/>
      <c r="L16" s="11"/>
      <c r="M16" s="11"/>
      <c r="N16" s="11"/>
      <c r="O16" s="11"/>
      <c r="P16" s="11"/>
      <c r="Q16" s="11"/>
      <c r="R16" s="11"/>
      <c r="S16" s="11"/>
      <c r="T16" s="11"/>
      <c r="U16" s="11"/>
      <c r="V16" s="11"/>
    </row>
    <row r="17" spans="1:22" ht="14.5" hidden="1" x14ac:dyDescent="0.35">
      <c r="A17" s="11"/>
      <c r="B17" s="85" t="s">
        <v>99</v>
      </c>
      <c r="C17" s="92" t="e">
        <f>SUM(Master!#REF!)</f>
        <v>#REF!</v>
      </c>
      <c r="D17" s="93">
        <v>120</v>
      </c>
      <c r="E17" s="94" t="e">
        <f t="shared" si="2"/>
        <v>#REF!</v>
      </c>
      <c r="F17" s="11"/>
      <c r="G17" s="11"/>
      <c r="H17" s="11"/>
      <c r="I17" s="85" t="s">
        <v>99</v>
      </c>
      <c r="J17" s="92" t="e">
        <f>SUM(Master!#REF!)</f>
        <v>#REF!</v>
      </c>
      <c r="K17" s="11"/>
      <c r="L17" s="11"/>
      <c r="M17" s="11"/>
      <c r="N17" s="11"/>
      <c r="O17" s="11"/>
      <c r="P17" s="11"/>
      <c r="Q17" s="11"/>
      <c r="R17" s="11"/>
      <c r="S17" s="11"/>
      <c r="T17" s="11"/>
      <c r="U17" s="11"/>
      <c r="V17" s="11"/>
    </row>
    <row r="18" spans="1:22" ht="14.5" hidden="1" x14ac:dyDescent="0.35">
      <c r="A18" s="11"/>
      <c r="B18" s="11"/>
      <c r="C18" s="11"/>
      <c r="D18" s="91" t="s">
        <v>100</v>
      </c>
      <c r="E18" s="95" t="e">
        <f>SUM(E15:E17)</f>
        <v>#REF!</v>
      </c>
      <c r="F18" s="11"/>
      <c r="G18" s="11"/>
      <c r="H18" s="11"/>
      <c r="I18" s="11"/>
      <c r="J18" s="11"/>
      <c r="K18" s="11"/>
      <c r="L18" s="11"/>
      <c r="M18" s="11"/>
      <c r="N18" s="11"/>
      <c r="O18" s="11"/>
      <c r="P18" s="11"/>
      <c r="Q18" s="11"/>
      <c r="R18" s="11"/>
      <c r="S18" s="11"/>
      <c r="T18" s="11"/>
      <c r="U18" s="11"/>
      <c r="V18" s="11"/>
    </row>
    <row r="19" spans="1:22" ht="14.5" hidden="1" x14ac:dyDescent="0.35">
      <c r="A19" s="11"/>
      <c r="B19" s="11"/>
      <c r="C19" s="11"/>
      <c r="D19" s="91" t="s">
        <v>101</v>
      </c>
      <c r="E19" s="86" t="e">
        <f>ROUND(E18/8,0)</f>
        <v>#REF!</v>
      </c>
      <c r="F19" s="11"/>
      <c r="G19" s="11"/>
      <c r="H19" s="11"/>
      <c r="I19" s="11"/>
      <c r="J19" s="11"/>
      <c r="K19" s="11"/>
      <c r="L19" s="11"/>
      <c r="M19" s="11"/>
      <c r="N19" s="11"/>
      <c r="O19" s="11"/>
      <c r="P19" s="11"/>
      <c r="Q19" s="11"/>
      <c r="R19" s="11"/>
      <c r="S19" s="11"/>
      <c r="T19" s="11"/>
      <c r="U19" s="11"/>
      <c r="V19" s="11"/>
    </row>
    <row r="20" spans="1:22" ht="14.5" hidden="1" x14ac:dyDescent="0.35">
      <c r="A20" s="11"/>
      <c r="B20" s="11"/>
      <c r="C20" s="11"/>
      <c r="D20" s="96" t="s">
        <v>46</v>
      </c>
      <c r="E20" s="97" t="e">
        <f>E18+E19</f>
        <v>#REF!</v>
      </c>
      <c r="F20" s="11"/>
      <c r="G20" s="11"/>
      <c r="H20" s="11"/>
      <c r="I20" s="11"/>
      <c r="J20" s="11"/>
      <c r="K20" s="11"/>
      <c r="L20" s="11"/>
      <c r="M20" s="11"/>
      <c r="N20" s="11"/>
      <c r="O20" s="11"/>
      <c r="P20" s="11"/>
      <c r="Q20" s="11"/>
      <c r="R20" s="11"/>
      <c r="S20" s="11"/>
      <c r="T20" s="11"/>
      <c r="U20" s="11"/>
      <c r="V20" s="11"/>
    </row>
    <row r="21" spans="1:22" ht="14.5" x14ac:dyDescent="0.35">
      <c r="A21" s="11"/>
      <c r="B21" s="11"/>
      <c r="C21" s="11"/>
      <c r="D21" s="11"/>
      <c r="E21" s="11"/>
      <c r="F21" s="11"/>
      <c r="G21" s="11"/>
      <c r="H21" s="11"/>
      <c r="I21" s="11"/>
      <c r="J21" s="11"/>
      <c r="K21" s="11"/>
      <c r="L21" s="11"/>
      <c r="M21" s="11"/>
      <c r="N21" s="11"/>
      <c r="O21" s="11"/>
      <c r="P21" s="11"/>
      <c r="Q21" s="11"/>
      <c r="R21" s="11"/>
      <c r="S21" s="51"/>
      <c r="T21" s="11"/>
      <c r="U21" s="11"/>
      <c r="V21" s="11"/>
    </row>
    <row r="22" spans="1:22" ht="15.5" x14ac:dyDescent="0.35">
      <c r="A22" s="11"/>
      <c r="B22" s="198" t="s">
        <v>102</v>
      </c>
      <c r="C22" s="197"/>
      <c r="D22" s="197"/>
      <c r="E22" s="197"/>
      <c r="F22" s="197"/>
      <c r="G22" s="197"/>
      <c r="H22" s="197"/>
      <c r="I22" s="179"/>
      <c r="J22" s="11"/>
      <c r="K22" s="11"/>
      <c r="L22" s="77" t="s">
        <v>103</v>
      </c>
      <c r="M22" s="11"/>
      <c r="N22" s="198" t="s">
        <v>104</v>
      </c>
      <c r="O22" s="197"/>
      <c r="P22" s="197"/>
      <c r="Q22" s="197"/>
      <c r="R22" s="197"/>
      <c r="S22" s="197"/>
      <c r="T22" s="197"/>
      <c r="U22" s="179"/>
      <c r="V22" s="98"/>
    </row>
    <row r="23" spans="1:22" ht="31" x14ac:dyDescent="0.35">
      <c r="A23" s="11"/>
      <c r="B23" s="99" t="s">
        <v>80</v>
      </c>
      <c r="C23" s="81" t="s">
        <v>93</v>
      </c>
      <c r="D23" s="81" t="s">
        <v>105</v>
      </c>
      <c r="E23" s="81" t="s">
        <v>106</v>
      </c>
      <c r="F23" s="81" t="s">
        <v>107</v>
      </c>
      <c r="G23" s="81" t="s">
        <v>108</v>
      </c>
      <c r="H23" s="81" t="s">
        <v>109</v>
      </c>
      <c r="I23" s="81" t="s">
        <v>46</v>
      </c>
      <c r="J23" s="11"/>
      <c r="K23" s="11"/>
      <c r="L23" s="80" t="s">
        <v>80</v>
      </c>
      <c r="M23" s="11"/>
      <c r="N23" s="99" t="s">
        <v>80</v>
      </c>
      <c r="O23" s="81" t="s">
        <v>12</v>
      </c>
      <c r="P23" s="81" t="s">
        <v>105</v>
      </c>
      <c r="Q23" s="81" t="s">
        <v>106</v>
      </c>
      <c r="R23" s="81" t="s">
        <v>107</v>
      </c>
      <c r="S23" s="81" t="s">
        <v>108</v>
      </c>
      <c r="T23" s="81" t="s">
        <v>110</v>
      </c>
      <c r="U23" s="81" t="s">
        <v>46</v>
      </c>
      <c r="V23" s="100"/>
    </row>
    <row r="24" spans="1:22" ht="15.5" x14ac:dyDescent="0.35">
      <c r="A24" s="11"/>
      <c r="B24" s="82" t="s">
        <v>111</v>
      </c>
      <c r="C24" s="83">
        <v>1</v>
      </c>
      <c r="D24" s="101">
        <v>1000</v>
      </c>
      <c r="E24" s="101">
        <v>20000</v>
      </c>
      <c r="F24" s="101">
        <v>2500</v>
      </c>
      <c r="G24" s="83">
        <v>2</v>
      </c>
      <c r="H24" s="83">
        <v>0</v>
      </c>
      <c r="I24" s="84">
        <f t="shared" ref="I24:I25" si="3">((H24*G24*D24)+(E24*H24)+(F24*G24*H24))*C24</f>
        <v>0</v>
      </c>
      <c r="J24" s="11"/>
      <c r="K24" s="11"/>
      <c r="L24" s="82" t="s">
        <v>112</v>
      </c>
      <c r="M24" s="11"/>
      <c r="N24" s="82" t="s">
        <v>113</v>
      </c>
      <c r="O24" s="82" t="s">
        <v>31</v>
      </c>
      <c r="P24" s="101">
        <v>1500</v>
      </c>
      <c r="Q24" s="101">
        <v>20000</v>
      </c>
      <c r="R24" s="101">
        <v>4500</v>
      </c>
      <c r="S24" s="83">
        <v>2</v>
      </c>
      <c r="T24" s="83">
        <v>0</v>
      </c>
      <c r="U24" s="84">
        <f t="shared" ref="U24" si="4">(T24*S24*P24)+(Q24*T24)+(R24*S24*T24)</f>
        <v>0</v>
      </c>
      <c r="V24" s="102"/>
    </row>
    <row r="25" spans="1:22" ht="15.5" x14ac:dyDescent="0.35">
      <c r="A25" s="11"/>
      <c r="B25" s="82" t="s">
        <v>87</v>
      </c>
      <c r="C25" s="83">
        <v>1</v>
      </c>
      <c r="D25" s="101">
        <v>1000</v>
      </c>
      <c r="E25" s="101">
        <v>20000</v>
      </c>
      <c r="F25" s="103">
        <v>0</v>
      </c>
      <c r="G25" s="92">
        <v>1</v>
      </c>
      <c r="H25" s="83">
        <v>1</v>
      </c>
      <c r="I25" s="84">
        <f t="shared" si="3"/>
        <v>21000</v>
      </c>
      <c r="J25" s="11"/>
      <c r="K25" s="11"/>
      <c r="L25" s="82" t="s">
        <v>114</v>
      </c>
      <c r="M25" s="11"/>
      <c r="N25" s="82" t="s">
        <v>115</v>
      </c>
      <c r="O25" s="82" t="s">
        <v>31</v>
      </c>
      <c r="P25" s="101">
        <v>1500</v>
      </c>
      <c r="Q25" s="101">
        <v>20000</v>
      </c>
      <c r="R25" s="101">
        <v>4500</v>
      </c>
      <c r="S25" s="83">
        <v>2</v>
      </c>
      <c r="T25" s="83">
        <v>0</v>
      </c>
      <c r="U25" s="84">
        <f>(T25*S25*P25)+(Q25*T25)+(R25*S25*T25)</f>
        <v>0</v>
      </c>
      <c r="V25" s="102"/>
    </row>
    <row r="26" spans="1:22" ht="15.5" x14ac:dyDescent="0.35">
      <c r="A26" s="11"/>
      <c r="B26" s="82" t="s">
        <v>89</v>
      </c>
      <c r="C26" s="83">
        <v>1</v>
      </c>
      <c r="D26" s="101">
        <v>1000</v>
      </c>
      <c r="E26" s="101">
        <v>20000</v>
      </c>
      <c r="F26" s="103">
        <v>0</v>
      </c>
      <c r="G26" s="92">
        <v>1</v>
      </c>
      <c r="H26" s="83">
        <v>0</v>
      </c>
      <c r="I26" s="84">
        <f>((H26*G26*D26)+(E26*H26)+(F26*G26*H26))*C26</f>
        <v>0</v>
      </c>
      <c r="J26" s="11"/>
      <c r="K26" s="11"/>
      <c r="L26" s="82" t="s">
        <v>116</v>
      </c>
      <c r="M26" s="11"/>
      <c r="N26" s="85"/>
      <c r="O26" s="85"/>
      <c r="P26" s="85"/>
      <c r="Q26" s="85"/>
      <c r="R26" s="104"/>
      <c r="S26" s="85"/>
      <c r="T26" s="87" t="s">
        <v>46</v>
      </c>
      <c r="U26" s="88">
        <f>SUM(U24:U25)</f>
        <v>0</v>
      </c>
      <c r="V26" s="102"/>
    </row>
    <row r="27" spans="1:22" ht="15.5" x14ac:dyDescent="0.35">
      <c r="A27" s="11"/>
      <c r="B27" s="85"/>
      <c r="C27" s="85"/>
      <c r="D27" s="85"/>
      <c r="E27" s="85"/>
      <c r="F27" s="104"/>
      <c r="G27" s="85"/>
      <c r="H27" s="87" t="s">
        <v>117</v>
      </c>
      <c r="I27" s="88">
        <f>SUM(I24:I26)</f>
        <v>21000</v>
      </c>
      <c r="J27" s="11"/>
      <c r="K27" s="11"/>
      <c r="L27" s="85"/>
      <c r="M27" s="11"/>
      <c r="V27" s="102"/>
    </row>
    <row r="28" spans="1:22" ht="15.5" x14ac:dyDescent="0.35">
      <c r="A28" s="11"/>
      <c r="B28" s="11"/>
      <c r="C28" s="11"/>
      <c r="D28" s="11"/>
      <c r="E28" s="11"/>
      <c r="F28" s="105"/>
      <c r="G28" s="11"/>
      <c r="H28" s="106"/>
      <c r="I28" s="107"/>
      <c r="J28" s="11"/>
      <c r="K28" s="11"/>
      <c r="L28" s="11"/>
      <c r="M28" s="11"/>
      <c r="V28" s="108"/>
    </row>
    <row r="29" spans="1:22" ht="15.5" x14ac:dyDescent="0.35">
      <c r="A29" s="11"/>
      <c r="B29" s="11"/>
      <c r="C29" s="11"/>
      <c r="D29" s="11"/>
      <c r="E29" s="11"/>
      <c r="F29" s="11"/>
      <c r="G29" s="81" t="s">
        <v>118</v>
      </c>
      <c r="H29" s="81" t="s">
        <v>119</v>
      </c>
      <c r="I29" s="81" t="s">
        <v>46</v>
      </c>
      <c r="J29" s="11"/>
      <c r="K29" s="11"/>
      <c r="L29" s="11"/>
      <c r="M29" s="11"/>
      <c r="N29" s="11"/>
      <c r="O29" s="11"/>
      <c r="P29" s="11"/>
      <c r="Q29" s="11"/>
      <c r="R29" s="11"/>
      <c r="S29" s="11"/>
      <c r="T29" s="11"/>
      <c r="U29" s="11"/>
      <c r="V29" s="11"/>
    </row>
    <row r="30" spans="1:22" ht="15.5" x14ac:dyDescent="0.35">
      <c r="A30" s="11"/>
      <c r="B30" s="11"/>
      <c r="C30" s="11"/>
      <c r="D30" s="11"/>
      <c r="E30" s="11"/>
      <c r="F30" s="85" t="s">
        <v>120</v>
      </c>
      <c r="G30" s="101">
        <v>40000</v>
      </c>
      <c r="H30" s="119">
        <f>F7</f>
        <v>1</v>
      </c>
      <c r="I30" s="101">
        <f t="shared" ref="I30" si="5">G30*H30</f>
        <v>40000</v>
      </c>
      <c r="J30" s="11"/>
      <c r="K30" s="11"/>
      <c r="L30" s="11"/>
      <c r="M30" s="11"/>
      <c r="N30" s="109"/>
      <c r="O30" s="11"/>
      <c r="P30" s="11"/>
      <c r="Q30" s="51"/>
      <c r="R30" s="11"/>
      <c r="S30" s="11"/>
      <c r="T30" s="11"/>
      <c r="U30" s="11"/>
      <c r="V30" s="11"/>
    </row>
    <row r="31" spans="1:22" ht="15.5" x14ac:dyDescent="0.35">
      <c r="A31" s="11"/>
      <c r="B31" s="11"/>
      <c r="C31" s="11"/>
      <c r="D31" s="11"/>
      <c r="E31" s="11"/>
      <c r="F31" s="11"/>
      <c r="G31" s="11"/>
      <c r="H31" s="87" t="s">
        <v>121</v>
      </c>
      <c r="I31" s="88">
        <f>SUM(I30:I30)</f>
        <v>40000</v>
      </c>
      <c r="J31" s="11"/>
      <c r="K31" s="11"/>
      <c r="L31" s="11"/>
      <c r="M31" s="11"/>
      <c r="N31" s="11"/>
      <c r="O31" s="11"/>
      <c r="P31" s="11"/>
      <c r="Q31" s="11"/>
      <c r="R31" s="11"/>
      <c r="S31" s="11"/>
      <c r="T31" s="11"/>
      <c r="U31" s="11"/>
      <c r="V31" s="11"/>
    </row>
    <row r="32" spans="1:22" ht="14.5" x14ac:dyDescent="0.35">
      <c r="A32" s="11"/>
      <c r="B32" s="11"/>
      <c r="C32" s="11"/>
      <c r="D32" s="11"/>
      <c r="E32" s="11"/>
      <c r="F32" s="11"/>
      <c r="G32" s="11"/>
      <c r="H32" s="11"/>
      <c r="I32" s="11"/>
      <c r="J32" s="11"/>
      <c r="K32" s="11"/>
      <c r="L32" s="11"/>
      <c r="M32" s="11"/>
      <c r="N32" s="11"/>
      <c r="O32" s="11"/>
      <c r="P32" s="11"/>
      <c r="Q32" s="11"/>
      <c r="R32" s="11"/>
      <c r="S32" s="11"/>
      <c r="T32" s="11"/>
      <c r="U32" s="11"/>
      <c r="V32" s="11"/>
    </row>
    <row r="33" spans="1:22" ht="21" x14ac:dyDescent="0.35">
      <c r="A33" s="11"/>
      <c r="B33" s="11"/>
      <c r="C33" s="11"/>
      <c r="D33" s="11"/>
      <c r="E33" s="11"/>
      <c r="F33" s="11"/>
      <c r="G33" s="11"/>
      <c r="H33" s="110" t="s">
        <v>122</v>
      </c>
      <c r="I33" s="111">
        <f>I31+I27</f>
        <v>61000</v>
      </c>
      <c r="J33" s="11"/>
      <c r="K33" s="11"/>
      <c r="L33" s="11"/>
      <c r="M33" s="11"/>
      <c r="N33" s="11"/>
      <c r="O33" s="11"/>
      <c r="P33" s="11"/>
      <c r="Q33" s="11"/>
      <c r="R33" s="11"/>
      <c r="S33" s="11"/>
      <c r="T33" s="11"/>
      <c r="U33" s="11"/>
      <c r="V33" s="11"/>
    </row>
    <row r="34" spans="1:22" ht="14.5" x14ac:dyDescent="0.35">
      <c r="A34" s="11"/>
      <c r="B34" s="11"/>
      <c r="C34" s="11"/>
      <c r="D34" s="11"/>
      <c r="E34" s="11"/>
      <c r="F34" s="11"/>
      <c r="G34" s="11"/>
      <c r="H34" s="11"/>
      <c r="I34" s="11"/>
      <c r="J34" s="11"/>
      <c r="K34" s="11"/>
      <c r="L34" s="11"/>
      <c r="M34" s="11"/>
      <c r="N34" s="11"/>
      <c r="O34" s="11"/>
      <c r="P34" s="11"/>
      <c r="Q34" s="11"/>
      <c r="R34" s="11"/>
      <c r="S34" s="11"/>
      <c r="T34" s="11"/>
      <c r="U34" s="11"/>
      <c r="V34" s="11"/>
    </row>
    <row r="35" spans="1:22" ht="14.5" x14ac:dyDescent="0.35">
      <c r="A35" s="11"/>
      <c r="B35" s="11"/>
      <c r="C35" s="11"/>
      <c r="D35" s="11"/>
      <c r="E35" s="11"/>
      <c r="F35" s="11"/>
      <c r="G35" s="11"/>
      <c r="H35" s="11"/>
      <c r="I35" s="11"/>
      <c r="J35" s="11"/>
      <c r="K35" s="11"/>
      <c r="L35" s="11"/>
      <c r="M35" s="11"/>
      <c r="N35" s="11"/>
      <c r="O35" s="11"/>
      <c r="P35" s="11"/>
      <c r="Q35" s="11"/>
      <c r="R35" s="11"/>
      <c r="S35" s="11"/>
      <c r="T35" s="11"/>
      <c r="U35" s="11"/>
      <c r="V35" s="11"/>
    </row>
    <row r="36" spans="1:22" ht="14.5" x14ac:dyDescent="0.35">
      <c r="A36" s="11"/>
      <c r="B36" s="11"/>
      <c r="C36" s="11"/>
      <c r="D36" s="11"/>
      <c r="E36" s="11"/>
      <c r="F36" s="11"/>
      <c r="G36" s="11"/>
      <c r="H36" s="11"/>
      <c r="I36" s="11"/>
      <c r="J36" s="11"/>
      <c r="K36" s="11"/>
      <c r="L36" s="11"/>
      <c r="M36" s="11"/>
      <c r="N36" s="11"/>
      <c r="O36" s="11"/>
      <c r="P36" s="11"/>
      <c r="Q36" s="11"/>
      <c r="R36" s="11"/>
      <c r="S36" s="11"/>
      <c r="T36" s="11"/>
      <c r="U36" s="11"/>
      <c r="V36" s="11"/>
    </row>
    <row r="37" spans="1:22" ht="14.5" x14ac:dyDescent="0.35">
      <c r="A37" s="11"/>
      <c r="B37" s="11"/>
      <c r="C37" s="11"/>
      <c r="D37" s="11"/>
      <c r="E37" s="11"/>
      <c r="F37" s="11"/>
      <c r="G37" s="11"/>
      <c r="H37" s="11"/>
      <c r="I37" s="11"/>
      <c r="J37" s="11"/>
      <c r="K37" s="11"/>
      <c r="L37" s="11"/>
      <c r="M37" s="11"/>
      <c r="N37" s="11"/>
      <c r="O37" s="11"/>
      <c r="P37" s="11"/>
      <c r="Q37" s="11"/>
      <c r="R37" s="11"/>
      <c r="S37" s="11"/>
      <c r="T37" s="11"/>
      <c r="U37" s="11"/>
      <c r="V37" s="11"/>
    </row>
    <row r="38" spans="1:22" ht="17" x14ac:dyDescent="0.4">
      <c r="A38" s="11"/>
      <c r="B38" s="112" t="s">
        <v>123</v>
      </c>
      <c r="C38" s="113">
        <f>G9+I33</f>
        <v>166000</v>
      </c>
      <c r="D38" s="11"/>
      <c r="E38" s="11"/>
      <c r="F38" s="11"/>
      <c r="G38" s="11"/>
      <c r="H38" s="11"/>
      <c r="I38" s="11"/>
      <c r="J38" s="11"/>
      <c r="K38" s="11"/>
      <c r="L38" s="11"/>
      <c r="M38" s="11"/>
      <c r="N38" s="67" t="s">
        <v>124</v>
      </c>
      <c r="O38" s="114" t="e">
        <f>(#REF!+#REF!+#REF!)+S8+(U26*3.5)</f>
        <v>#REF!</v>
      </c>
      <c r="P38" s="11"/>
      <c r="Q38" s="11"/>
      <c r="R38" s="11"/>
      <c r="S38" s="11"/>
      <c r="T38" s="11"/>
      <c r="U38" s="11"/>
      <c r="V38" s="11"/>
    </row>
    <row r="39" spans="1:22" ht="14.5" x14ac:dyDescent="0.35">
      <c r="A39" s="11"/>
      <c r="B39" s="11"/>
      <c r="C39" s="11"/>
      <c r="D39" s="11"/>
      <c r="E39" s="11"/>
      <c r="F39" s="11"/>
      <c r="G39" s="11"/>
      <c r="H39" s="11"/>
      <c r="I39" s="11"/>
      <c r="J39" s="11"/>
      <c r="K39" s="11"/>
      <c r="L39" s="11"/>
      <c r="M39" s="11"/>
      <c r="N39" s="11" t="s">
        <v>125</v>
      </c>
      <c r="O39" s="11"/>
      <c r="P39" s="11"/>
      <c r="Q39" s="11"/>
      <c r="R39" s="11"/>
      <c r="S39" s="11"/>
      <c r="T39" s="11"/>
      <c r="U39" s="11"/>
      <c r="V39" s="11"/>
    </row>
    <row r="40" spans="1:22" ht="14.5" x14ac:dyDescent="0.35">
      <c r="A40" s="11"/>
      <c r="B40" s="11"/>
      <c r="C40" s="11"/>
      <c r="D40" s="11"/>
      <c r="E40" s="11"/>
      <c r="F40" s="11"/>
      <c r="G40" s="11"/>
      <c r="H40" s="11"/>
      <c r="I40" s="11"/>
      <c r="J40" s="11"/>
      <c r="K40" s="11"/>
      <c r="L40" s="11"/>
      <c r="M40" s="11"/>
      <c r="N40" s="11"/>
      <c r="O40" s="11"/>
      <c r="P40" s="11"/>
      <c r="Q40" s="11"/>
      <c r="R40" s="11"/>
      <c r="S40" s="11"/>
      <c r="T40" s="11"/>
      <c r="U40" s="11"/>
      <c r="V40" s="11"/>
    </row>
    <row r="41" spans="1:22" ht="14.5" x14ac:dyDescent="0.35">
      <c r="A41" s="11"/>
      <c r="B41" s="11"/>
      <c r="C41" s="11"/>
      <c r="D41" s="11"/>
      <c r="E41" s="11"/>
      <c r="F41" s="11"/>
      <c r="G41" s="11"/>
      <c r="H41" s="11"/>
      <c r="I41" s="11"/>
      <c r="J41" s="11"/>
      <c r="K41" s="11"/>
      <c r="L41" s="11"/>
      <c r="M41" s="11"/>
      <c r="N41" s="11"/>
      <c r="O41" s="11" t="e">
        <f>O38/2</f>
        <v>#REF!</v>
      </c>
      <c r="P41" s="11"/>
      <c r="Q41" s="11"/>
      <c r="R41" s="11"/>
      <c r="S41" s="11"/>
      <c r="T41" s="11"/>
      <c r="U41" s="11"/>
      <c r="V41" s="11"/>
    </row>
    <row r="42" spans="1:22" ht="14.5" x14ac:dyDescent="0.35">
      <c r="A42" s="11"/>
      <c r="B42" s="11"/>
      <c r="C42" s="11"/>
      <c r="D42" s="11"/>
      <c r="E42" s="11"/>
      <c r="F42" s="11"/>
      <c r="G42" s="11"/>
      <c r="H42" s="11"/>
      <c r="I42" s="11"/>
      <c r="J42" s="11"/>
      <c r="K42" s="11"/>
      <c r="L42" s="11"/>
      <c r="M42" s="11"/>
      <c r="N42" s="11"/>
      <c r="O42" s="11"/>
      <c r="P42" s="11"/>
      <c r="Q42" s="11"/>
      <c r="R42" s="11"/>
      <c r="S42" s="11"/>
      <c r="T42" s="11"/>
      <c r="U42" s="11"/>
      <c r="V42" s="11"/>
    </row>
    <row r="43" spans="1:22" ht="14.5" x14ac:dyDescent="0.35">
      <c r="A43" s="11"/>
      <c r="B43" s="11"/>
      <c r="C43" s="11"/>
      <c r="D43" s="11"/>
      <c r="E43" s="11"/>
      <c r="F43" s="11"/>
      <c r="G43" s="11"/>
      <c r="H43" s="11"/>
      <c r="I43" s="11"/>
      <c r="J43" s="11"/>
      <c r="K43" s="11"/>
      <c r="L43" s="11"/>
      <c r="M43" s="11"/>
      <c r="N43" s="11"/>
      <c r="O43" s="11"/>
      <c r="P43" s="11"/>
      <c r="Q43" s="11"/>
      <c r="R43" s="11"/>
      <c r="S43" s="11"/>
      <c r="T43" s="11"/>
      <c r="U43" s="11"/>
      <c r="V43" s="11"/>
    </row>
    <row r="44" spans="1:22" ht="14.5" x14ac:dyDescent="0.35">
      <c r="A44" s="11"/>
      <c r="B44" s="11"/>
      <c r="C44" s="11"/>
      <c r="D44" s="11"/>
      <c r="E44" s="11"/>
      <c r="F44" s="11"/>
      <c r="G44" s="11"/>
      <c r="H44" s="11"/>
      <c r="I44" s="11"/>
      <c r="J44" s="11"/>
      <c r="K44" s="11"/>
      <c r="L44" s="11"/>
      <c r="M44" s="11"/>
      <c r="N44" s="11"/>
      <c r="O44" s="11"/>
      <c r="P44" s="11"/>
      <c r="Q44" s="11"/>
      <c r="R44" s="11"/>
      <c r="S44" s="11"/>
      <c r="T44" s="11"/>
      <c r="U44" s="11"/>
      <c r="V44" s="11"/>
    </row>
    <row r="45" spans="1:22" ht="14.5" x14ac:dyDescent="0.35">
      <c r="A45" s="11"/>
      <c r="B45" s="11"/>
      <c r="C45" s="11"/>
      <c r="D45" s="11"/>
      <c r="E45" s="11"/>
      <c r="F45" s="11"/>
      <c r="G45" s="11"/>
      <c r="H45" s="11"/>
      <c r="I45" s="11"/>
      <c r="J45" s="11"/>
      <c r="K45" s="11"/>
      <c r="L45" s="11"/>
      <c r="M45" s="11"/>
      <c r="N45" s="11"/>
      <c r="O45" s="11"/>
      <c r="P45" s="11"/>
      <c r="Q45" s="11"/>
      <c r="R45" s="11"/>
      <c r="S45" s="11"/>
      <c r="T45" s="11"/>
      <c r="U45" s="11"/>
      <c r="V45" s="11"/>
    </row>
    <row r="46" spans="1:22" ht="14.5" x14ac:dyDescent="0.35">
      <c r="A46" s="11"/>
      <c r="B46" s="11"/>
      <c r="C46" s="11"/>
      <c r="D46" s="11"/>
      <c r="E46" s="11"/>
      <c r="F46" s="11"/>
      <c r="G46" s="11"/>
      <c r="H46" s="11"/>
      <c r="I46" s="11"/>
      <c r="J46" s="11"/>
      <c r="K46" s="11"/>
      <c r="L46" s="11"/>
      <c r="M46" s="11"/>
      <c r="N46" s="11"/>
      <c r="O46" s="11"/>
      <c r="P46" s="11"/>
      <c r="Q46" s="11"/>
      <c r="R46" s="11"/>
      <c r="S46" s="11"/>
      <c r="T46" s="11"/>
      <c r="U46" s="11"/>
      <c r="V46" s="11"/>
    </row>
    <row r="47" spans="1:22" ht="14.5" x14ac:dyDescent="0.35">
      <c r="A47" s="11"/>
      <c r="B47" s="11"/>
      <c r="C47" s="11"/>
      <c r="D47" s="11"/>
      <c r="E47" s="11"/>
      <c r="F47" s="11"/>
      <c r="G47" s="11"/>
      <c r="H47" s="11"/>
      <c r="I47" s="11"/>
      <c r="J47" s="11"/>
      <c r="K47" s="11"/>
      <c r="L47" s="11"/>
      <c r="M47" s="11"/>
      <c r="N47" s="11"/>
      <c r="O47" s="11"/>
      <c r="P47" s="11"/>
      <c r="Q47" s="11"/>
      <c r="R47" s="11"/>
      <c r="S47" s="11"/>
      <c r="T47" s="11"/>
      <c r="U47" s="11"/>
      <c r="V47" s="11"/>
    </row>
    <row r="48" spans="1:22" ht="14.5" x14ac:dyDescent="0.35">
      <c r="A48" s="11"/>
      <c r="B48" s="11"/>
      <c r="C48" s="11"/>
      <c r="D48" s="11"/>
      <c r="E48" s="11"/>
      <c r="F48" s="11"/>
      <c r="G48" s="11"/>
      <c r="H48" s="11"/>
      <c r="I48" s="11"/>
      <c r="J48" s="11"/>
      <c r="K48" s="11"/>
      <c r="L48" s="11"/>
      <c r="M48" s="11"/>
      <c r="N48" s="11"/>
      <c r="O48" s="11"/>
      <c r="P48" s="11"/>
      <c r="Q48" s="11"/>
      <c r="R48" s="11"/>
      <c r="S48" s="11"/>
      <c r="T48" s="11"/>
      <c r="U48" s="11"/>
      <c r="V48" s="11"/>
    </row>
    <row r="49" spans="1:22" ht="14.5" x14ac:dyDescent="0.35">
      <c r="A49" s="11"/>
      <c r="B49" s="11"/>
      <c r="C49" s="11"/>
      <c r="D49" s="11"/>
      <c r="E49" s="11"/>
      <c r="F49" s="11"/>
      <c r="G49" s="11"/>
      <c r="H49" s="11"/>
      <c r="I49" s="11"/>
      <c r="J49" s="11"/>
      <c r="K49" s="11"/>
      <c r="L49" s="11"/>
      <c r="M49" s="11"/>
      <c r="N49" s="11"/>
      <c r="O49" s="11"/>
      <c r="P49" s="11"/>
      <c r="Q49" s="11"/>
      <c r="R49" s="11"/>
      <c r="S49" s="11"/>
      <c r="T49" s="11"/>
      <c r="U49" s="11"/>
      <c r="V49" s="11"/>
    </row>
    <row r="50" spans="1:22" ht="14.5" x14ac:dyDescent="0.35">
      <c r="A50" s="11"/>
      <c r="B50" s="11"/>
      <c r="C50" s="11"/>
      <c r="D50" s="11"/>
      <c r="E50" s="11"/>
      <c r="F50" s="11"/>
      <c r="G50" s="11"/>
      <c r="H50" s="11"/>
      <c r="I50" s="11"/>
      <c r="J50" s="11"/>
      <c r="K50" s="11"/>
      <c r="L50" s="11"/>
      <c r="M50" s="11"/>
      <c r="N50" s="11"/>
      <c r="O50" s="11"/>
      <c r="P50" s="11"/>
      <c r="Q50" s="11"/>
      <c r="R50" s="11"/>
      <c r="S50" s="11"/>
      <c r="T50" s="11"/>
      <c r="U50" s="11"/>
      <c r="V50" s="11"/>
    </row>
    <row r="51" spans="1:22" ht="14.5" x14ac:dyDescent="0.35">
      <c r="A51" s="11"/>
      <c r="B51" s="11"/>
      <c r="C51" s="11"/>
      <c r="D51" s="11"/>
      <c r="E51" s="11"/>
      <c r="F51" s="11"/>
      <c r="G51" s="11"/>
      <c r="H51" s="11"/>
      <c r="I51" s="11"/>
      <c r="J51" s="11"/>
      <c r="K51" s="11"/>
      <c r="L51" s="11"/>
      <c r="M51" s="11"/>
      <c r="N51" s="11"/>
      <c r="O51" s="11"/>
      <c r="P51" s="11"/>
      <c r="Q51" s="11"/>
      <c r="R51" s="11"/>
      <c r="S51" s="11"/>
      <c r="T51" s="11"/>
      <c r="U51" s="11"/>
      <c r="V51" s="11"/>
    </row>
    <row r="52" spans="1:22" ht="14.5" x14ac:dyDescent="0.35">
      <c r="A52" s="11"/>
      <c r="B52" s="11"/>
      <c r="C52" s="11"/>
      <c r="D52" s="11"/>
      <c r="E52" s="11"/>
      <c r="F52" s="11"/>
      <c r="G52" s="11"/>
      <c r="H52" s="11"/>
      <c r="I52" s="11"/>
      <c r="J52" s="11"/>
      <c r="K52" s="11"/>
      <c r="L52" s="11"/>
      <c r="M52" s="11"/>
      <c r="N52" s="11"/>
      <c r="O52" s="11"/>
      <c r="P52" s="11"/>
      <c r="Q52" s="11"/>
      <c r="R52" s="11"/>
      <c r="S52" s="11"/>
      <c r="T52" s="11"/>
      <c r="U52" s="11"/>
      <c r="V52" s="11"/>
    </row>
    <row r="53" spans="1:22" ht="14.5" x14ac:dyDescent="0.35">
      <c r="A53" s="11"/>
      <c r="B53" s="11"/>
      <c r="C53" s="11"/>
      <c r="D53" s="11"/>
      <c r="E53" s="11"/>
      <c r="F53" s="11"/>
      <c r="G53" s="11"/>
      <c r="H53" s="11"/>
      <c r="I53" s="11"/>
      <c r="J53" s="11"/>
      <c r="K53" s="11"/>
      <c r="L53" s="11"/>
      <c r="M53" s="11"/>
      <c r="N53" s="11"/>
      <c r="O53" s="11"/>
      <c r="P53" s="11"/>
      <c r="Q53" s="11"/>
      <c r="R53" s="11"/>
      <c r="S53" s="11"/>
      <c r="T53" s="11"/>
      <c r="U53" s="11"/>
      <c r="V53" s="11"/>
    </row>
    <row r="54" spans="1:22" ht="14.5" x14ac:dyDescent="0.35">
      <c r="A54" s="11"/>
      <c r="B54" s="11"/>
      <c r="C54" s="11"/>
      <c r="D54" s="11"/>
      <c r="E54" s="11"/>
      <c r="F54" s="11"/>
      <c r="G54" s="11"/>
      <c r="H54" s="11"/>
      <c r="I54" s="11"/>
      <c r="J54" s="11"/>
      <c r="K54" s="11"/>
      <c r="L54" s="11"/>
      <c r="M54" s="11"/>
      <c r="N54" s="11"/>
      <c r="O54" s="11"/>
      <c r="P54" s="11"/>
      <c r="Q54" s="11"/>
      <c r="R54" s="11"/>
      <c r="S54" s="11"/>
      <c r="T54" s="11"/>
      <c r="U54" s="11"/>
      <c r="V54" s="11"/>
    </row>
    <row r="55" spans="1:22" ht="14.5" x14ac:dyDescent="0.35">
      <c r="A55" s="11"/>
      <c r="B55" s="11"/>
      <c r="C55" s="11"/>
      <c r="D55" s="11"/>
      <c r="E55" s="11"/>
      <c r="F55" s="11"/>
      <c r="G55" s="11"/>
      <c r="H55" s="11"/>
      <c r="I55" s="11"/>
      <c r="J55" s="11"/>
      <c r="K55" s="11"/>
      <c r="L55" s="11"/>
      <c r="M55" s="11"/>
      <c r="N55" s="11"/>
      <c r="O55" s="11"/>
      <c r="P55" s="11"/>
      <c r="Q55" s="11"/>
      <c r="R55" s="11"/>
      <c r="S55" s="11"/>
      <c r="T55" s="11"/>
      <c r="U55" s="11"/>
      <c r="V55" s="11"/>
    </row>
    <row r="56" spans="1:22" ht="14.5" x14ac:dyDescent="0.35">
      <c r="A56" s="11"/>
      <c r="B56" s="11"/>
      <c r="C56" s="11"/>
      <c r="D56" s="11"/>
      <c r="E56" s="11"/>
      <c r="F56" s="11"/>
      <c r="G56" s="11"/>
      <c r="H56" s="11"/>
      <c r="I56" s="11"/>
      <c r="J56" s="11"/>
      <c r="K56" s="11"/>
      <c r="L56" s="11"/>
      <c r="M56" s="11"/>
      <c r="N56" s="11"/>
      <c r="O56" s="11"/>
      <c r="P56" s="11"/>
      <c r="Q56" s="11"/>
      <c r="R56" s="11"/>
      <c r="S56" s="11"/>
      <c r="T56" s="11"/>
      <c r="U56" s="11"/>
      <c r="V56" s="11"/>
    </row>
    <row r="57" spans="1:22" ht="14.5" x14ac:dyDescent="0.35">
      <c r="A57" s="11"/>
      <c r="B57" s="11"/>
      <c r="C57" s="11"/>
      <c r="D57" s="11"/>
      <c r="E57" s="11"/>
      <c r="F57" s="11"/>
      <c r="G57" s="11"/>
      <c r="H57" s="11"/>
      <c r="I57" s="11"/>
      <c r="J57" s="11"/>
      <c r="K57" s="11"/>
      <c r="L57" s="11"/>
      <c r="M57" s="11"/>
      <c r="N57" s="11"/>
      <c r="O57" s="11"/>
      <c r="P57" s="11"/>
      <c r="Q57" s="11"/>
      <c r="R57" s="11"/>
      <c r="S57" s="11"/>
      <c r="T57" s="11"/>
      <c r="U57" s="11"/>
      <c r="V57" s="11"/>
    </row>
    <row r="58" spans="1:22" ht="14.5" x14ac:dyDescent="0.35">
      <c r="A58" s="11"/>
      <c r="B58" s="11"/>
      <c r="C58" s="11"/>
      <c r="D58" s="11"/>
      <c r="E58" s="11"/>
      <c r="F58" s="11"/>
      <c r="G58" s="11"/>
      <c r="H58" s="11"/>
      <c r="I58" s="11"/>
      <c r="J58" s="11"/>
      <c r="K58" s="11"/>
      <c r="L58" s="11"/>
      <c r="M58" s="11"/>
      <c r="N58" s="11"/>
      <c r="O58" s="11"/>
      <c r="P58" s="11"/>
      <c r="Q58" s="11"/>
      <c r="R58" s="11"/>
      <c r="S58" s="11"/>
      <c r="T58" s="11"/>
      <c r="U58" s="11"/>
      <c r="V58" s="11"/>
    </row>
    <row r="59" spans="1:22" ht="14.5" x14ac:dyDescent="0.35">
      <c r="A59" s="11"/>
      <c r="B59" s="11"/>
      <c r="C59" s="11"/>
      <c r="D59" s="11"/>
      <c r="E59" s="11"/>
      <c r="F59" s="11"/>
      <c r="G59" s="11"/>
      <c r="H59" s="11"/>
      <c r="I59" s="11"/>
      <c r="J59" s="11"/>
      <c r="K59" s="11"/>
      <c r="L59" s="11"/>
      <c r="M59" s="11"/>
      <c r="N59" s="11"/>
      <c r="O59" s="11"/>
      <c r="P59" s="11"/>
      <c r="Q59" s="11"/>
      <c r="R59" s="11"/>
      <c r="S59" s="11"/>
      <c r="T59" s="11"/>
      <c r="U59" s="11"/>
      <c r="V59" s="11"/>
    </row>
    <row r="60" spans="1:22" ht="14.5" x14ac:dyDescent="0.35">
      <c r="A60" s="11"/>
      <c r="B60" s="11"/>
      <c r="C60" s="11"/>
      <c r="D60" s="11"/>
      <c r="E60" s="11"/>
      <c r="F60" s="11"/>
      <c r="G60" s="11"/>
      <c r="H60" s="11"/>
      <c r="I60" s="11"/>
      <c r="J60" s="11"/>
      <c r="K60" s="11"/>
      <c r="L60" s="11"/>
      <c r="M60" s="11"/>
      <c r="N60" s="11"/>
      <c r="O60" s="11"/>
      <c r="P60" s="11"/>
      <c r="Q60" s="11"/>
      <c r="R60" s="11"/>
      <c r="S60" s="11"/>
      <c r="T60" s="11"/>
      <c r="U60" s="11"/>
      <c r="V60" s="11"/>
    </row>
    <row r="61" spans="1:22" ht="14.5" x14ac:dyDescent="0.35">
      <c r="A61" s="11"/>
      <c r="B61" s="11"/>
      <c r="C61" s="11"/>
      <c r="D61" s="11"/>
      <c r="E61" s="11"/>
      <c r="F61" s="11"/>
      <c r="G61" s="11"/>
      <c r="H61" s="11"/>
      <c r="I61" s="11"/>
      <c r="J61" s="11"/>
      <c r="K61" s="11"/>
      <c r="L61" s="11"/>
      <c r="M61" s="11"/>
      <c r="N61" s="11"/>
      <c r="O61" s="11"/>
      <c r="P61" s="11"/>
      <c r="Q61" s="11"/>
      <c r="R61" s="11"/>
      <c r="S61" s="11"/>
      <c r="T61" s="11"/>
      <c r="U61" s="11"/>
      <c r="V61" s="11"/>
    </row>
    <row r="62" spans="1:22" ht="14.5" x14ac:dyDescent="0.35">
      <c r="A62" s="11"/>
      <c r="B62" s="11"/>
      <c r="C62" s="11"/>
      <c r="D62" s="11"/>
      <c r="E62" s="11"/>
      <c r="F62" s="11"/>
      <c r="G62" s="11"/>
      <c r="H62" s="11"/>
      <c r="I62" s="11"/>
      <c r="J62" s="11"/>
      <c r="K62" s="11"/>
      <c r="L62" s="11"/>
      <c r="M62" s="11"/>
      <c r="N62" s="11"/>
      <c r="O62" s="11"/>
      <c r="P62" s="11"/>
      <c r="Q62" s="11"/>
      <c r="R62" s="11"/>
      <c r="S62" s="11"/>
      <c r="T62" s="11"/>
      <c r="U62" s="11"/>
      <c r="V62" s="11"/>
    </row>
    <row r="63" spans="1:22" ht="14.5" x14ac:dyDescent="0.35">
      <c r="A63" s="11"/>
      <c r="B63" s="11"/>
      <c r="C63" s="11"/>
      <c r="D63" s="11"/>
      <c r="E63" s="11"/>
      <c r="F63" s="11"/>
      <c r="G63" s="11"/>
      <c r="H63" s="11"/>
      <c r="I63" s="11"/>
      <c r="J63" s="11"/>
      <c r="K63" s="11"/>
      <c r="L63" s="11"/>
      <c r="M63" s="11"/>
      <c r="N63" s="11"/>
      <c r="O63" s="11"/>
      <c r="P63" s="11"/>
      <c r="Q63" s="11"/>
      <c r="R63" s="11"/>
      <c r="S63" s="11"/>
      <c r="T63" s="11"/>
      <c r="U63" s="11"/>
      <c r="V63" s="11"/>
    </row>
    <row r="64" spans="1:22" ht="14.5" x14ac:dyDescent="0.35">
      <c r="A64" s="11"/>
      <c r="B64" s="11"/>
      <c r="C64" s="11"/>
      <c r="D64" s="11"/>
      <c r="E64" s="11"/>
      <c r="F64" s="11"/>
      <c r="G64" s="11"/>
      <c r="H64" s="11"/>
      <c r="I64" s="11"/>
      <c r="J64" s="11"/>
      <c r="K64" s="11"/>
      <c r="L64" s="11"/>
      <c r="M64" s="11"/>
      <c r="N64" s="11"/>
      <c r="O64" s="11"/>
      <c r="P64" s="11"/>
      <c r="Q64" s="11"/>
      <c r="R64" s="11"/>
      <c r="S64" s="11"/>
      <c r="T64" s="11"/>
      <c r="U64" s="11"/>
      <c r="V64" s="11"/>
    </row>
    <row r="65" spans="1:22" ht="14.5" x14ac:dyDescent="0.35">
      <c r="A65" s="11"/>
      <c r="B65" s="11"/>
      <c r="C65" s="11"/>
      <c r="D65" s="11"/>
      <c r="E65" s="11"/>
      <c r="F65" s="11"/>
      <c r="G65" s="11"/>
      <c r="H65" s="11"/>
      <c r="I65" s="11"/>
      <c r="J65" s="11"/>
      <c r="K65" s="11"/>
      <c r="L65" s="11"/>
      <c r="M65" s="11"/>
      <c r="N65" s="11"/>
      <c r="O65" s="11"/>
      <c r="P65" s="11"/>
      <c r="Q65" s="11"/>
      <c r="R65" s="11"/>
      <c r="S65" s="11"/>
      <c r="T65" s="11"/>
      <c r="U65" s="11"/>
      <c r="V65" s="11"/>
    </row>
    <row r="66" spans="1:22" ht="14.5" x14ac:dyDescent="0.35">
      <c r="A66" s="11"/>
      <c r="B66" s="11"/>
      <c r="C66" s="11"/>
      <c r="D66" s="11"/>
      <c r="E66" s="11"/>
      <c r="F66" s="11"/>
      <c r="G66" s="11"/>
      <c r="H66" s="11"/>
      <c r="I66" s="11"/>
      <c r="J66" s="11"/>
      <c r="K66" s="11"/>
      <c r="L66" s="11"/>
      <c r="M66" s="11"/>
      <c r="N66" s="11"/>
      <c r="O66" s="11"/>
      <c r="P66" s="11"/>
      <c r="Q66" s="11"/>
      <c r="R66" s="11"/>
      <c r="S66" s="11"/>
      <c r="T66" s="11"/>
      <c r="U66" s="11"/>
      <c r="V66" s="11"/>
    </row>
    <row r="67" spans="1:22" ht="14.5" x14ac:dyDescent="0.35">
      <c r="A67" s="11"/>
      <c r="B67" s="11"/>
      <c r="C67" s="11"/>
      <c r="D67" s="11"/>
      <c r="E67" s="11"/>
      <c r="F67" s="11"/>
      <c r="G67" s="11"/>
      <c r="H67" s="11"/>
      <c r="I67" s="11"/>
      <c r="J67" s="11"/>
      <c r="K67" s="11"/>
      <c r="L67" s="11"/>
      <c r="M67" s="11"/>
      <c r="N67" s="11"/>
      <c r="O67" s="11"/>
      <c r="P67" s="11"/>
      <c r="Q67" s="11"/>
      <c r="R67" s="11"/>
      <c r="S67" s="11"/>
      <c r="T67" s="11"/>
      <c r="U67" s="11"/>
      <c r="V67" s="11"/>
    </row>
    <row r="68" spans="1:22" ht="14.5" x14ac:dyDescent="0.35">
      <c r="A68" s="11"/>
      <c r="B68" s="11"/>
      <c r="C68" s="11"/>
      <c r="D68" s="11"/>
      <c r="E68" s="11"/>
      <c r="F68" s="11"/>
      <c r="G68" s="11"/>
      <c r="H68" s="11"/>
      <c r="I68" s="11"/>
      <c r="J68" s="11"/>
      <c r="K68" s="11"/>
      <c r="L68" s="11"/>
      <c r="M68" s="11"/>
      <c r="N68" s="11"/>
      <c r="O68" s="11"/>
      <c r="P68" s="11"/>
      <c r="Q68" s="11"/>
      <c r="R68" s="11"/>
      <c r="S68" s="11"/>
      <c r="T68" s="11"/>
      <c r="U68" s="11"/>
      <c r="V68" s="11"/>
    </row>
    <row r="69" spans="1:22" ht="14.5" x14ac:dyDescent="0.35">
      <c r="A69" s="11"/>
      <c r="B69" s="11"/>
      <c r="C69" s="11"/>
      <c r="D69" s="11"/>
      <c r="E69" s="11"/>
      <c r="F69" s="11"/>
      <c r="G69" s="11"/>
      <c r="H69" s="11"/>
      <c r="I69" s="11"/>
      <c r="J69" s="11"/>
      <c r="K69" s="11"/>
      <c r="L69" s="11"/>
      <c r="M69" s="11"/>
      <c r="N69" s="11"/>
      <c r="O69" s="11"/>
      <c r="P69" s="11"/>
      <c r="Q69" s="11"/>
      <c r="R69" s="11"/>
      <c r="S69" s="11"/>
      <c r="T69" s="11"/>
      <c r="U69" s="11"/>
      <c r="V69" s="11"/>
    </row>
    <row r="70" spans="1:22" ht="14.5" x14ac:dyDescent="0.35">
      <c r="A70" s="11"/>
      <c r="B70" s="11"/>
      <c r="C70" s="11"/>
      <c r="D70" s="11"/>
      <c r="E70" s="11"/>
      <c r="F70" s="11"/>
      <c r="G70" s="11"/>
      <c r="H70" s="11"/>
      <c r="I70" s="11"/>
      <c r="J70" s="11"/>
      <c r="K70" s="11"/>
      <c r="L70" s="11"/>
      <c r="M70" s="11"/>
      <c r="N70" s="11"/>
      <c r="O70" s="11"/>
      <c r="P70" s="11"/>
      <c r="Q70" s="11"/>
      <c r="R70" s="11"/>
      <c r="S70" s="11"/>
      <c r="T70" s="11"/>
      <c r="U70" s="11"/>
      <c r="V70" s="11"/>
    </row>
    <row r="71" spans="1:22" ht="14.5" x14ac:dyDescent="0.35">
      <c r="A71" s="11"/>
      <c r="B71" s="11"/>
      <c r="C71" s="11"/>
      <c r="D71" s="11"/>
      <c r="E71" s="11"/>
      <c r="F71" s="11"/>
      <c r="G71" s="11"/>
      <c r="H71" s="11"/>
      <c r="I71" s="11"/>
      <c r="J71" s="11"/>
      <c r="K71" s="11"/>
      <c r="L71" s="11"/>
      <c r="M71" s="11"/>
      <c r="N71" s="11"/>
      <c r="O71" s="11"/>
      <c r="P71" s="11"/>
      <c r="Q71" s="11"/>
      <c r="R71" s="11"/>
      <c r="S71" s="11"/>
      <c r="T71" s="11"/>
      <c r="U71" s="11"/>
      <c r="V71" s="11"/>
    </row>
    <row r="72" spans="1:22" ht="14.5" x14ac:dyDescent="0.35">
      <c r="A72" s="11"/>
      <c r="B72" s="11"/>
      <c r="C72" s="11"/>
      <c r="D72" s="11"/>
      <c r="E72" s="11"/>
      <c r="F72" s="11"/>
      <c r="G72" s="11"/>
      <c r="H72" s="11"/>
      <c r="I72" s="11"/>
      <c r="J72" s="11"/>
      <c r="K72" s="11"/>
      <c r="L72" s="11"/>
      <c r="M72" s="11"/>
      <c r="N72" s="11"/>
      <c r="O72" s="11"/>
      <c r="P72" s="11"/>
      <c r="Q72" s="11"/>
      <c r="R72" s="11"/>
      <c r="S72" s="11"/>
      <c r="T72" s="11"/>
      <c r="U72" s="11"/>
      <c r="V72" s="11"/>
    </row>
    <row r="73" spans="1:22" ht="14.5" x14ac:dyDescent="0.35">
      <c r="A73" s="11"/>
      <c r="B73" s="11"/>
      <c r="C73" s="11"/>
      <c r="D73" s="11"/>
      <c r="E73" s="11"/>
      <c r="F73" s="11"/>
      <c r="G73" s="11"/>
      <c r="H73" s="11"/>
      <c r="I73" s="11"/>
      <c r="J73" s="11"/>
      <c r="K73" s="11"/>
      <c r="L73" s="11"/>
      <c r="M73" s="11"/>
      <c r="N73" s="11"/>
      <c r="O73" s="11"/>
      <c r="P73" s="11"/>
      <c r="Q73" s="11"/>
      <c r="R73" s="11"/>
      <c r="S73" s="11"/>
      <c r="T73" s="11"/>
      <c r="U73" s="11"/>
      <c r="V73" s="11"/>
    </row>
    <row r="74" spans="1:22" ht="14.5" x14ac:dyDescent="0.35">
      <c r="A74" s="11"/>
      <c r="B74" s="11"/>
      <c r="C74" s="11"/>
      <c r="D74" s="11"/>
      <c r="E74" s="11"/>
      <c r="F74" s="11"/>
      <c r="G74" s="11"/>
      <c r="H74" s="11"/>
      <c r="I74" s="11"/>
      <c r="J74" s="11"/>
      <c r="K74" s="11"/>
      <c r="L74" s="11"/>
      <c r="M74" s="11"/>
      <c r="N74" s="11"/>
      <c r="O74" s="11"/>
      <c r="P74" s="11"/>
      <c r="Q74" s="11"/>
      <c r="R74" s="11"/>
      <c r="S74" s="11"/>
      <c r="T74" s="11"/>
      <c r="U74" s="11"/>
      <c r="V74" s="11"/>
    </row>
    <row r="75" spans="1:22" ht="14.5" x14ac:dyDescent="0.35">
      <c r="A75" s="11"/>
      <c r="B75" s="11"/>
      <c r="C75" s="11"/>
      <c r="D75" s="11"/>
      <c r="E75" s="11"/>
      <c r="F75" s="11"/>
      <c r="G75" s="11"/>
      <c r="H75" s="11"/>
      <c r="I75" s="11"/>
      <c r="J75" s="11"/>
      <c r="K75" s="11"/>
      <c r="L75" s="11"/>
      <c r="M75" s="11"/>
      <c r="N75" s="11"/>
      <c r="O75" s="11"/>
      <c r="P75" s="11"/>
      <c r="Q75" s="11"/>
      <c r="R75" s="11"/>
      <c r="S75" s="11"/>
      <c r="T75" s="11"/>
      <c r="U75" s="11"/>
      <c r="V75" s="11"/>
    </row>
    <row r="76" spans="1:22" ht="14.5" x14ac:dyDescent="0.35">
      <c r="A76" s="11"/>
      <c r="B76" s="11"/>
      <c r="C76" s="11"/>
      <c r="D76" s="11"/>
      <c r="E76" s="11"/>
      <c r="F76" s="11"/>
      <c r="G76" s="11"/>
      <c r="H76" s="11"/>
      <c r="I76" s="11"/>
      <c r="J76" s="11"/>
      <c r="K76" s="11"/>
      <c r="L76" s="11"/>
      <c r="M76" s="11"/>
      <c r="N76" s="11"/>
      <c r="O76" s="11"/>
      <c r="P76" s="11"/>
      <c r="Q76" s="11"/>
      <c r="R76" s="11"/>
      <c r="S76" s="11"/>
      <c r="T76" s="11"/>
      <c r="U76" s="11"/>
      <c r="V76" s="11"/>
    </row>
    <row r="77" spans="1:22" ht="14.5" x14ac:dyDescent="0.35">
      <c r="A77" s="11"/>
      <c r="B77" s="11"/>
      <c r="C77" s="11"/>
      <c r="D77" s="11"/>
      <c r="E77" s="11"/>
      <c r="F77" s="11"/>
      <c r="G77" s="11"/>
      <c r="H77" s="11"/>
      <c r="I77" s="11"/>
      <c r="J77" s="11"/>
      <c r="K77" s="11"/>
      <c r="L77" s="11"/>
      <c r="M77" s="11"/>
      <c r="N77" s="11"/>
      <c r="O77" s="11"/>
      <c r="P77" s="11"/>
      <c r="Q77" s="11"/>
      <c r="R77" s="11"/>
      <c r="S77" s="11"/>
      <c r="T77" s="11"/>
      <c r="U77" s="11"/>
      <c r="V77" s="11"/>
    </row>
    <row r="78" spans="1:22" ht="14.5" x14ac:dyDescent="0.35">
      <c r="A78" s="11"/>
      <c r="B78" s="11"/>
      <c r="C78" s="11"/>
      <c r="D78" s="11"/>
      <c r="E78" s="11"/>
      <c r="F78" s="11"/>
      <c r="G78" s="11"/>
      <c r="H78" s="11"/>
      <c r="I78" s="11"/>
      <c r="J78" s="11"/>
      <c r="K78" s="11"/>
      <c r="L78" s="11"/>
      <c r="M78" s="11"/>
      <c r="N78" s="11"/>
      <c r="O78" s="11"/>
      <c r="P78" s="11"/>
      <c r="Q78" s="11"/>
      <c r="R78" s="11"/>
      <c r="S78" s="11"/>
      <c r="T78" s="11"/>
      <c r="U78" s="11"/>
      <c r="V78" s="11"/>
    </row>
    <row r="79" spans="1:22" ht="14.5" x14ac:dyDescent="0.35">
      <c r="A79" s="11"/>
      <c r="B79" s="11"/>
      <c r="C79" s="11"/>
      <c r="D79" s="11"/>
      <c r="E79" s="11"/>
      <c r="F79" s="11"/>
      <c r="G79" s="11"/>
      <c r="H79" s="11"/>
      <c r="I79" s="11"/>
      <c r="J79" s="11"/>
      <c r="K79" s="11"/>
      <c r="L79" s="11"/>
      <c r="M79" s="11"/>
      <c r="N79" s="11"/>
      <c r="O79" s="11"/>
      <c r="P79" s="11"/>
      <c r="Q79" s="11"/>
      <c r="R79" s="11"/>
      <c r="S79" s="11"/>
      <c r="T79" s="11"/>
      <c r="U79" s="11"/>
      <c r="V79" s="11"/>
    </row>
    <row r="80" spans="1:22" ht="14.5" x14ac:dyDescent="0.35">
      <c r="A80" s="11"/>
      <c r="B80" s="11"/>
      <c r="C80" s="11"/>
      <c r="D80" s="11"/>
      <c r="E80" s="11"/>
      <c r="F80" s="11"/>
      <c r="G80" s="11"/>
      <c r="H80" s="11"/>
      <c r="I80" s="11"/>
      <c r="J80" s="11"/>
      <c r="K80" s="11"/>
      <c r="L80" s="11"/>
      <c r="M80" s="11"/>
      <c r="N80" s="11"/>
      <c r="O80" s="11"/>
      <c r="P80" s="11"/>
      <c r="Q80" s="11"/>
      <c r="R80" s="11"/>
      <c r="S80" s="11"/>
      <c r="T80" s="11"/>
      <c r="U80" s="11"/>
      <c r="V80" s="11"/>
    </row>
    <row r="81" spans="1:22" ht="14.5" x14ac:dyDescent="0.35">
      <c r="A81" s="11"/>
      <c r="B81" s="11"/>
      <c r="C81" s="11"/>
      <c r="D81" s="11"/>
      <c r="E81" s="11"/>
      <c r="F81" s="11"/>
      <c r="G81" s="11"/>
      <c r="H81" s="11"/>
      <c r="I81" s="11"/>
      <c r="J81" s="11"/>
      <c r="K81" s="11"/>
      <c r="L81" s="11"/>
      <c r="M81" s="11"/>
      <c r="N81" s="11"/>
      <c r="O81" s="11"/>
      <c r="P81" s="11"/>
      <c r="Q81" s="11"/>
      <c r="R81" s="11"/>
      <c r="S81" s="11"/>
      <c r="T81" s="11"/>
      <c r="U81" s="11"/>
      <c r="V81" s="11"/>
    </row>
    <row r="82" spans="1:22" ht="14.5" x14ac:dyDescent="0.35">
      <c r="A82" s="11"/>
      <c r="B82" s="11"/>
      <c r="C82" s="11"/>
      <c r="D82" s="11"/>
      <c r="E82" s="11"/>
      <c r="F82" s="11"/>
      <c r="G82" s="11"/>
      <c r="H82" s="11"/>
      <c r="I82" s="11"/>
      <c r="J82" s="11"/>
      <c r="K82" s="11"/>
      <c r="L82" s="11"/>
      <c r="M82" s="11"/>
      <c r="N82" s="11"/>
      <c r="O82" s="11"/>
      <c r="P82" s="11"/>
      <c r="Q82" s="11"/>
      <c r="R82" s="11"/>
      <c r="S82" s="11"/>
      <c r="T82" s="11"/>
      <c r="U82" s="11"/>
      <c r="V82" s="11"/>
    </row>
    <row r="83" spans="1:22" ht="14.5" x14ac:dyDescent="0.35">
      <c r="A83" s="11"/>
      <c r="B83" s="11"/>
      <c r="C83" s="11"/>
      <c r="D83" s="11"/>
      <c r="E83" s="11"/>
      <c r="F83" s="11"/>
      <c r="G83" s="11"/>
      <c r="H83" s="11"/>
      <c r="I83" s="11"/>
      <c r="J83" s="11"/>
      <c r="K83" s="11"/>
      <c r="L83" s="11"/>
      <c r="M83" s="11"/>
      <c r="N83" s="11"/>
      <c r="O83" s="11"/>
      <c r="P83" s="11"/>
      <c r="Q83" s="11"/>
      <c r="R83" s="11"/>
      <c r="S83" s="11"/>
      <c r="T83" s="11"/>
      <c r="U83" s="11"/>
      <c r="V83" s="11"/>
    </row>
    <row r="84" spans="1:22" ht="14.5" x14ac:dyDescent="0.35">
      <c r="A84" s="11"/>
      <c r="B84" s="11"/>
      <c r="C84" s="11"/>
      <c r="D84" s="11"/>
      <c r="E84" s="11"/>
      <c r="F84" s="11"/>
      <c r="G84" s="11"/>
      <c r="H84" s="11"/>
      <c r="I84" s="11"/>
      <c r="J84" s="11"/>
      <c r="K84" s="11"/>
      <c r="L84" s="11"/>
      <c r="M84" s="11"/>
      <c r="N84" s="11"/>
      <c r="O84" s="11"/>
      <c r="P84" s="11"/>
      <c r="Q84" s="11"/>
      <c r="R84" s="11"/>
      <c r="S84" s="11"/>
      <c r="T84" s="11"/>
      <c r="U84" s="11"/>
      <c r="V84" s="11"/>
    </row>
    <row r="85" spans="1:22" ht="14.5" x14ac:dyDescent="0.35">
      <c r="A85" s="11"/>
      <c r="B85" s="11"/>
      <c r="C85" s="11"/>
      <c r="D85" s="11"/>
      <c r="E85" s="11"/>
      <c r="F85" s="11"/>
      <c r="G85" s="11"/>
      <c r="H85" s="11"/>
      <c r="I85" s="11"/>
      <c r="J85" s="11"/>
      <c r="K85" s="11"/>
      <c r="L85" s="11"/>
      <c r="M85" s="11"/>
      <c r="N85" s="11"/>
      <c r="O85" s="11"/>
      <c r="P85" s="11"/>
      <c r="Q85" s="11"/>
      <c r="R85" s="11"/>
      <c r="S85" s="11"/>
      <c r="T85" s="11"/>
      <c r="U85" s="11"/>
      <c r="V85" s="11"/>
    </row>
    <row r="86" spans="1:22" ht="14.5" x14ac:dyDescent="0.35">
      <c r="A86" s="11"/>
      <c r="B86" s="11"/>
      <c r="C86" s="11"/>
      <c r="D86" s="11"/>
      <c r="E86" s="11"/>
      <c r="F86" s="11"/>
      <c r="G86" s="11"/>
      <c r="H86" s="11"/>
      <c r="I86" s="11"/>
      <c r="J86" s="11"/>
      <c r="K86" s="11"/>
      <c r="L86" s="11"/>
      <c r="M86" s="11"/>
      <c r="N86" s="11"/>
      <c r="O86" s="11"/>
      <c r="P86" s="11"/>
      <c r="Q86" s="11"/>
      <c r="R86" s="11"/>
      <c r="S86" s="11"/>
      <c r="T86" s="11"/>
      <c r="U86" s="11"/>
      <c r="V86" s="11"/>
    </row>
    <row r="87" spans="1:22" ht="14.5" x14ac:dyDescent="0.35">
      <c r="A87" s="11"/>
      <c r="B87" s="11"/>
      <c r="C87" s="11"/>
      <c r="D87" s="11"/>
      <c r="E87" s="11"/>
      <c r="F87" s="11"/>
      <c r="G87" s="11"/>
      <c r="H87" s="11"/>
      <c r="I87" s="11"/>
      <c r="J87" s="11"/>
      <c r="K87" s="11"/>
      <c r="L87" s="11"/>
      <c r="M87" s="11"/>
      <c r="N87" s="11"/>
      <c r="O87" s="11"/>
      <c r="P87" s="11"/>
      <c r="Q87" s="11"/>
      <c r="R87" s="11"/>
      <c r="S87" s="11"/>
      <c r="T87" s="11"/>
      <c r="U87" s="11"/>
      <c r="V87" s="11"/>
    </row>
    <row r="88" spans="1:22" ht="14.5" x14ac:dyDescent="0.35">
      <c r="A88" s="11"/>
      <c r="B88" s="11"/>
      <c r="C88" s="11"/>
      <c r="D88" s="11"/>
      <c r="E88" s="11"/>
      <c r="F88" s="11"/>
      <c r="G88" s="11"/>
      <c r="H88" s="11"/>
      <c r="I88" s="11"/>
      <c r="J88" s="11"/>
      <c r="K88" s="11"/>
      <c r="L88" s="11"/>
      <c r="M88" s="11"/>
      <c r="N88" s="11"/>
      <c r="O88" s="11"/>
      <c r="P88" s="11"/>
      <c r="Q88" s="11"/>
      <c r="R88" s="11"/>
      <c r="S88" s="11"/>
      <c r="T88" s="11"/>
      <c r="U88" s="11"/>
      <c r="V88" s="11"/>
    </row>
    <row r="89" spans="1:22" ht="14.5" x14ac:dyDescent="0.35">
      <c r="A89" s="11"/>
      <c r="B89" s="11"/>
      <c r="C89" s="11"/>
      <c r="D89" s="11"/>
      <c r="E89" s="11"/>
      <c r="F89" s="11"/>
      <c r="G89" s="11"/>
      <c r="H89" s="11"/>
      <c r="I89" s="11"/>
      <c r="J89" s="11"/>
      <c r="K89" s="11"/>
      <c r="L89" s="11"/>
      <c r="M89" s="11"/>
      <c r="N89" s="11"/>
      <c r="O89" s="11"/>
      <c r="P89" s="11"/>
      <c r="Q89" s="11"/>
      <c r="R89" s="11"/>
      <c r="S89" s="11"/>
      <c r="T89" s="11"/>
      <c r="U89" s="11"/>
      <c r="V89" s="11"/>
    </row>
    <row r="90" spans="1:22" ht="14.5" x14ac:dyDescent="0.35">
      <c r="A90" s="11"/>
      <c r="B90" s="11"/>
      <c r="C90" s="11"/>
      <c r="D90" s="11"/>
      <c r="E90" s="11"/>
      <c r="F90" s="11"/>
      <c r="G90" s="11"/>
      <c r="H90" s="11"/>
      <c r="I90" s="11"/>
      <c r="J90" s="11"/>
      <c r="K90" s="11"/>
      <c r="L90" s="11"/>
      <c r="M90" s="11"/>
      <c r="N90" s="11"/>
      <c r="O90" s="11"/>
      <c r="P90" s="11"/>
      <c r="Q90" s="11"/>
      <c r="R90" s="11"/>
      <c r="S90" s="11"/>
      <c r="T90" s="11"/>
      <c r="U90" s="11"/>
      <c r="V90" s="11"/>
    </row>
    <row r="91" spans="1:22" ht="14.5" x14ac:dyDescent="0.35">
      <c r="A91" s="11"/>
      <c r="B91" s="11"/>
      <c r="C91" s="11"/>
      <c r="D91" s="11"/>
      <c r="E91" s="11"/>
      <c r="F91" s="11"/>
      <c r="G91" s="11"/>
      <c r="H91" s="11"/>
      <c r="I91" s="11"/>
      <c r="J91" s="11"/>
      <c r="K91" s="11"/>
      <c r="L91" s="11"/>
      <c r="M91" s="11"/>
      <c r="N91" s="11"/>
      <c r="O91" s="11"/>
      <c r="P91" s="11"/>
      <c r="Q91" s="11"/>
      <c r="R91" s="11"/>
      <c r="S91" s="11"/>
      <c r="T91" s="11"/>
      <c r="U91" s="11"/>
      <c r="V91" s="11"/>
    </row>
    <row r="92" spans="1:22" ht="14.5" x14ac:dyDescent="0.35">
      <c r="A92" s="11"/>
      <c r="B92" s="11"/>
      <c r="C92" s="11"/>
      <c r="D92" s="11"/>
      <c r="E92" s="11"/>
      <c r="F92" s="11"/>
      <c r="G92" s="11"/>
      <c r="H92" s="11"/>
      <c r="I92" s="11"/>
      <c r="J92" s="11"/>
      <c r="K92" s="11"/>
      <c r="L92" s="11"/>
      <c r="M92" s="11"/>
      <c r="N92" s="11"/>
      <c r="O92" s="11"/>
      <c r="P92" s="11"/>
      <c r="Q92" s="11"/>
      <c r="R92" s="11"/>
      <c r="S92" s="11"/>
      <c r="T92" s="11"/>
      <c r="U92" s="11"/>
      <c r="V92" s="11"/>
    </row>
    <row r="93" spans="1:22" ht="14.5" x14ac:dyDescent="0.35">
      <c r="A93" s="11"/>
      <c r="B93" s="11"/>
      <c r="C93" s="11"/>
      <c r="D93" s="11"/>
      <c r="E93" s="11"/>
      <c r="F93" s="11"/>
      <c r="G93" s="11"/>
      <c r="H93" s="11"/>
      <c r="I93" s="11"/>
      <c r="J93" s="11"/>
      <c r="K93" s="11"/>
      <c r="L93" s="11"/>
      <c r="M93" s="11"/>
      <c r="N93" s="11"/>
      <c r="O93" s="11"/>
      <c r="P93" s="11"/>
      <c r="Q93" s="11"/>
      <c r="R93" s="11"/>
      <c r="S93" s="11"/>
      <c r="T93" s="11"/>
      <c r="U93" s="11"/>
      <c r="V93" s="11"/>
    </row>
    <row r="94" spans="1:22" ht="14.5" x14ac:dyDescent="0.35">
      <c r="A94" s="11"/>
      <c r="B94" s="11"/>
      <c r="C94" s="11"/>
      <c r="D94" s="11"/>
      <c r="E94" s="11"/>
      <c r="F94" s="11"/>
      <c r="G94" s="11"/>
      <c r="H94" s="11"/>
      <c r="I94" s="11"/>
      <c r="J94" s="11"/>
      <c r="K94" s="11"/>
      <c r="L94" s="11"/>
      <c r="M94" s="11"/>
      <c r="N94" s="11"/>
      <c r="O94" s="11"/>
      <c r="P94" s="11"/>
      <c r="Q94" s="11"/>
      <c r="R94" s="11"/>
      <c r="S94" s="11"/>
      <c r="T94" s="11"/>
      <c r="U94" s="11"/>
      <c r="V94" s="11"/>
    </row>
    <row r="95" spans="1:22" ht="14.5" x14ac:dyDescent="0.35">
      <c r="A95" s="11"/>
      <c r="B95" s="11"/>
      <c r="C95" s="11"/>
      <c r="D95" s="11"/>
      <c r="E95" s="11"/>
      <c r="F95" s="11"/>
      <c r="G95" s="11"/>
      <c r="H95" s="11"/>
      <c r="I95" s="11"/>
      <c r="J95" s="11"/>
      <c r="K95" s="11"/>
      <c r="L95" s="11"/>
      <c r="M95" s="11"/>
      <c r="N95" s="11"/>
      <c r="O95" s="11"/>
      <c r="P95" s="11"/>
      <c r="Q95" s="11"/>
      <c r="R95" s="11"/>
      <c r="S95" s="11"/>
      <c r="T95" s="11"/>
      <c r="U95" s="11"/>
      <c r="V95" s="11"/>
    </row>
    <row r="96" spans="1:22" ht="14.5" x14ac:dyDescent="0.35">
      <c r="A96" s="11"/>
      <c r="B96" s="11"/>
      <c r="C96" s="11"/>
      <c r="D96" s="11"/>
      <c r="E96" s="11"/>
      <c r="F96" s="11"/>
      <c r="G96" s="11"/>
      <c r="H96" s="11"/>
      <c r="I96" s="11"/>
      <c r="J96" s="11"/>
      <c r="K96" s="11"/>
      <c r="L96" s="11"/>
      <c r="M96" s="11"/>
      <c r="N96" s="11"/>
      <c r="O96" s="11"/>
      <c r="P96" s="11"/>
      <c r="Q96" s="11"/>
      <c r="R96" s="11"/>
      <c r="S96" s="11"/>
      <c r="T96" s="11"/>
      <c r="U96" s="11"/>
      <c r="V96" s="11"/>
    </row>
    <row r="97" spans="1:22" ht="14.5" x14ac:dyDescent="0.35">
      <c r="A97" s="11"/>
      <c r="B97" s="11"/>
      <c r="C97" s="11"/>
      <c r="D97" s="11"/>
      <c r="E97" s="11"/>
      <c r="F97" s="11"/>
      <c r="G97" s="11"/>
      <c r="H97" s="11"/>
      <c r="I97" s="11"/>
      <c r="J97" s="11"/>
      <c r="K97" s="11"/>
      <c r="L97" s="11"/>
      <c r="M97" s="11"/>
      <c r="N97" s="11"/>
      <c r="O97" s="11"/>
      <c r="P97" s="11"/>
      <c r="Q97" s="11"/>
      <c r="R97" s="11"/>
      <c r="S97" s="11"/>
      <c r="T97" s="11"/>
      <c r="U97" s="11"/>
      <c r="V97" s="11"/>
    </row>
    <row r="98" spans="1:22" ht="14.5" x14ac:dyDescent="0.35">
      <c r="A98" s="11"/>
      <c r="B98" s="11"/>
      <c r="C98" s="11"/>
      <c r="D98" s="11"/>
      <c r="E98" s="11"/>
      <c r="F98" s="11"/>
      <c r="G98" s="11"/>
      <c r="H98" s="11"/>
      <c r="I98" s="11"/>
      <c r="J98" s="11"/>
      <c r="K98" s="11"/>
      <c r="L98" s="11"/>
      <c r="M98" s="11"/>
      <c r="N98" s="11"/>
      <c r="O98" s="11"/>
      <c r="P98" s="11"/>
      <c r="Q98" s="11"/>
      <c r="R98" s="11"/>
      <c r="S98" s="11"/>
      <c r="T98" s="11"/>
      <c r="U98" s="11"/>
      <c r="V98" s="11"/>
    </row>
    <row r="99" spans="1:22" ht="14.5" x14ac:dyDescent="0.35">
      <c r="A99" s="11"/>
      <c r="B99" s="11"/>
      <c r="C99" s="11"/>
      <c r="D99" s="11"/>
      <c r="E99" s="11"/>
      <c r="F99" s="11"/>
      <c r="G99" s="11"/>
      <c r="H99" s="11"/>
      <c r="I99" s="11"/>
      <c r="J99" s="11"/>
      <c r="K99" s="11"/>
      <c r="L99" s="11"/>
      <c r="M99" s="11"/>
      <c r="N99" s="11"/>
      <c r="O99" s="11"/>
      <c r="P99" s="11"/>
      <c r="Q99" s="11"/>
      <c r="R99" s="11"/>
      <c r="S99" s="11"/>
      <c r="T99" s="11"/>
      <c r="U99" s="11"/>
      <c r="V99" s="11"/>
    </row>
    <row r="100" spans="1:22" ht="14.5" x14ac:dyDescent="0.35">
      <c r="A100" s="11"/>
      <c r="B100" s="11"/>
      <c r="C100" s="11"/>
      <c r="D100" s="11"/>
      <c r="E100" s="11"/>
      <c r="F100" s="11"/>
      <c r="G100" s="11"/>
      <c r="H100" s="11"/>
      <c r="I100" s="11"/>
      <c r="J100" s="11"/>
      <c r="K100" s="11"/>
      <c r="L100" s="11"/>
      <c r="M100" s="11"/>
      <c r="N100" s="11"/>
      <c r="O100" s="11"/>
      <c r="P100" s="11"/>
      <c r="Q100" s="11"/>
      <c r="R100" s="11"/>
      <c r="S100" s="11"/>
      <c r="T100" s="11"/>
      <c r="U100" s="11"/>
      <c r="V100" s="11"/>
    </row>
    <row r="101" spans="1:22" ht="14.5" x14ac:dyDescent="0.35">
      <c r="A101" s="11"/>
      <c r="B101" s="11"/>
      <c r="C101" s="11"/>
      <c r="D101" s="11"/>
      <c r="E101" s="11"/>
      <c r="F101" s="11"/>
      <c r="G101" s="11"/>
      <c r="H101" s="11"/>
      <c r="I101" s="11"/>
      <c r="J101" s="11"/>
      <c r="K101" s="11"/>
      <c r="L101" s="11"/>
      <c r="M101" s="11"/>
      <c r="N101" s="11"/>
      <c r="O101" s="11"/>
      <c r="P101" s="11"/>
      <c r="Q101" s="11"/>
      <c r="R101" s="11"/>
      <c r="S101" s="11"/>
      <c r="T101" s="11"/>
      <c r="U101" s="11"/>
      <c r="V101" s="11"/>
    </row>
    <row r="102" spans="1:22" ht="14.5"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row>
    <row r="103" spans="1:22" ht="14.5"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row>
    <row r="104" spans="1:22" ht="14.5"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row>
    <row r="105" spans="1:22" ht="14.5"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row>
    <row r="106" spans="1:22" ht="14.5"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row>
    <row r="107" spans="1:22" ht="14.5"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row>
    <row r="108" spans="1:22" ht="14.5"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row>
    <row r="109" spans="1:22" ht="14.5"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row>
    <row r="110" spans="1:22" ht="14.5"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row>
    <row r="111" spans="1:22" ht="14.5"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row>
    <row r="112" spans="1:22" ht="14.5"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row>
    <row r="113" spans="1:22" ht="14.5"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row>
    <row r="114" spans="1:22" ht="14.5"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row>
    <row r="115" spans="1:22" ht="14.5"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row>
    <row r="116" spans="1:22" ht="14.5"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row>
    <row r="117" spans="1:22" ht="14.5"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row>
    <row r="118" spans="1:22" ht="14.5"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row>
    <row r="119" spans="1:22" ht="14.5"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row>
    <row r="120" spans="1:22" ht="14.5"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row>
    <row r="121" spans="1:22" ht="14.5"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row>
    <row r="122" spans="1:22" ht="14.5"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row>
    <row r="123" spans="1:22" ht="14.5"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row>
    <row r="124" spans="1:22" ht="14.5"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row>
    <row r="125" spans="1:22" ht="14.5"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row>
    <row r="126" spans="1:22" ht="14.5"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row>
    <row r="127" spans="1:22" ht="14.5"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row>
    <row r="128" spans="1:22" ht="14.5"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row>
    <row r="129" spans="1:22" ht="14.5"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row>
    <row r="130" spans="1:22" ht="14.5"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row>
    <row r="131" spans="1:22" ht="14.5"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row>
    <row r="132" spans="1:22" ht="14.5"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row>
    <row r="133" spans="1:22" ht="14.5"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row>
    <row r="134" spans="1:22" ht="14.5"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row>
    <row r="135" spans="1:22" ht="14.5"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row>
    <row r="136" spans="1:22" ht="14.5"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row>
    <row r="137" spans="1:22" ht="14.5"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row>
    <row r="138" spans="1:22" ht="14.5"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row>
    <row r="139" spans="1:22" ht="14.5"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row>
    <row r="140" spans="1:22" ht="14.5"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row>
    <row r="141" spans="1:22" ht="14.5"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row>
    <row r="142" spans="1:22" ht="14.5"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row>
    <row r="143" spans="1:22" ht="14.5"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row>
    <row r="144" spans="1:22" ht="14.5"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row>
    <row r="145" spans="1:22" ht="14.5"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row>
    <row r="146" spans="1:22" ht="14.5"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row>
    <row r="147" spans="1:22" ht="14.5"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row>
    <row r="148" spans="1:22" ht="14.5"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row>
    <row r="149" spans="1:22" ht="14.5"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row>
    <row r="150" spans="1:22" ht="14.5"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row>
    <row r="151" spans="1:22" ht="14.5"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row>
    <row r="152" spans="1:22" ht="14.5"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row>
    <row r="153" spans="1:22" ht="14.5"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row>
    <row r="154" spans="1:22" ht="14.5"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row>
    <row r="155" spans="1:22" ht="14.5"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row>
    <row r="156" spans="1:22" ht="14.5"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row>
    <row r="157" spans="1:22" ht="14.5"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row>
    <row r="158" spans="1:22" ht="14.5"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row>
    <row r="159" spans="1:22" ht="14.5"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row>
    <row r="160" spans="1:22" ht="14.5"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row>
    <row r="161" spans="1:22" ht="14.5"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row>
    <row r="162" spans="1:22" ht="14.5"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row>
    <row r="163" spans="1:22" ht="14.5"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row>
    <row r="164" spans="1:22" ht="14.5"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row>
    <row r="165" spans="1:22" ht="14.5"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row>
    <row r="166" spans="1:22" ht="14.5"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row>
    <row r="167" spans="1:22" ht="14.5"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row>
    <row r="168" spans="1:22" ht="14.5"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row>
    <row r="169" spans="1:22" ht="14.5"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row>
    <row r="170" spans="1:22" ht="14.5"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row>
    <row r="171" spans="1:22" ht="14.5"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row>
    <row r="172" spans="1:22" ht="14.5"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row>
    <row r="173" spans="1:22" ht="14.5"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row>
    <row r="174" spans="1:22" ht="14.5"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row>
    <row r="175" spans="1:22" ht="14.5"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row>
    <row r="176" spans="1:22" ht="14.5"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row>
    <row r="177" spans="1:22" ht="14.5"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row>
    <row r="178" spans="1:22" ht="14.5"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row>
    <row r="179" spans="1:22" ht="14.5"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row>
    <row r="180" spans="1:22" ht="14.5"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row>
    <row r="181" spans="1:22" ht="14.5"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row>
    <row r="182" spans="1:22" ht="14.5"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row>
    <row r="183" spans="1:22" ht="14.5"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row>
    <row r="184" spans="1:22" ht="14.5"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row>
    <row r="185" spans="1:22" ht="14.5"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row>
    <row r="186" spans="1:22" ht="14.5"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row>
    <row r="187" spans="1:22" ht="14.5"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row>
    <row r="188" spans="1:22" ht="14.5"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row>
    <row r="189" spans="1:22" ht="14.5"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row>
    <row r="190" spans="1:22" ht="14.5"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row>
    <row r="191" spans="1:22" ht="14.5"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row>
    <row r="192" spans="1:22" ht="14.5"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row>
    <row r="193" spans="1:22" ht="14.5"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row>
    <row r="194" spans="1:22" ht="14.5"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row>
    <row r="195" spans="1:22" ht="14.5"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row>
    <row r="196" spans="1:22" ht="14.5"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row>
    <row r="197" spans="1:22" ht="14.5"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row>
    <row r="198" spans="1:22" ht="14.5"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row>
    <row r="199" spans="1:22" ht="14.5"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row>
    <row r="200" spans="1:22" ht="14.5"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row>
    <row r="201" spans="1:22" ht="14.5"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row>
    <row r="202" spans="1:22" ht="14.5"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row>
    <row r="203" spans="1:22" ht="14.5"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row>
    <row r="204" spans="1:22" ht="14.5"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row>
    <row r="205" spans="1:22" ht="14.5"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row>
    <row r="206" spans="1:22" ht="14.5"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row>
    <row r="207" spans="1:22" ht="14.5"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row>
    <row r="208" spans="1:22" ht="14.5"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row>
    <row r="209" spans="1:22" ht="14.5"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row>
    <row r="210" spans="1:22" ht="14.5"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row>
    <row r="211" spans="1:22" ht="14.5"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row>
    <row r="212" spans="1:22" ht="14.5"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row>
    <row r="213" spans="1:22" ht="14.5"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row>
    <row r="214" spans="1:22" ht="14.5"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row>
    <row r="215" spans="1:22" ht="14.5"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row>
    <row r="216" spans="1:22" ht="14.5"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row>
    <row r="217" spans="1:22" ht="14.5"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row>
    <row r="218" spans="1:22" ht="14.5"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row>
    <row r="219" spans="1:22" ht="14.5"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row>
    <row r="220" spans="1:22" ht="14.5"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row>
    <row r="221" spans="1:22" ht="14.5"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row>
    <row r="222" spans="1:22" ht="14.5"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row>
    <row r="223" spans="1:22" ht="14.5"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row>
    <row r="224" spans="1:22" ht="14.5"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row>
    <row r="225" spans="1:22" ht="14.5"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row>
    <row r="226" spans="1:22" ht="14.5"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row>
    <row r="227" spans="1:22" ht="14.5"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row>
    <row r="228" spans="1:22" ht="14.5"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row>
    <row r="229" spans="1:22" ht="14.5"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row>
    <row r="230" spans="1:22" ht="14.5"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row>
    <row r="231" spans="1:22" ht="14.5"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row>
    <row r="232" spans="1:22" ht="14.5"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row>
    <row r="233" spans="1:22" ht="14.5"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row>
    <row r="234" spans="1:22" ht="14.5"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row>
    <row r="235" spans="1:22" ht="14.5"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row>
    <row r="236" spans="1:22" ht="14.5"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row>
    <row r="237" spans="1:22" ht="14.5"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row>
    <row r="238" spans="1:22" ht="14.5"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row>
    <row r="239" spans="1:22" ht="14.5"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row>
    <row r="240" spans="1:22" ht="14.5"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row>
    <row r="241" spans="1:22" ht="14.5"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row>
    <row r="242" spans="1:22" ht="14.5"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row>
    <row r="243" spans="1:22" ht="14.5"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row>
    <row r="244" spans="1:22" ht="14.5"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row>
    <row r="245" spans="1:22" ht="14.5"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row>
    <row r="246" spans="1:22" ht="14.5"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row>
    <row r="247" spans="1:22" ht="14.5"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row>
    <row r="248" spans="1:22" ht="14.5"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row>
    <row r="249" spans="1:22" ht="14.5"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row>
    <row r="250" spans="1:22" ht="14.5"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row>
    <row r="251" spans="1:22" ht="14.5"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row>
    <row r="252" spans="1:22" ht="14.5"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row>
    <row r="253" spans="1:22" ht="14.5"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row>
    <row r="254" spans="1:22" ht="14.5"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row>
    <row r="255" spans="1:22" ht="14.5"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row>
    <row r="256" spans="1:22" ht="14.5"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row>
    <row r="257" spans="1:22" ht="14.5"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row>
    <row r="258" spans="1:22" ht="14.5"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row>
    <row r="259" spans="1:22" ht="14.5"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row>
    <row r="260" spans="1:22" ht="14.5"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row>
    <row r="261" spans="1:22" ht="14.5"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row>
    <row r="262" spans="1:22" ht="14.5"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row>
    <row r="263" spans="1:22" ht="14.5"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row>
    <row r="264" spans="1:22" ht="14.5"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row>
    <row r="265" spans="1:22" ht="14.5"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row>
    <row r="266" spans="1:22" ht="14.5"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row>
    <row r="267" spans="1:22" ht="14.5"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row>
    <row r="268" spans="1:22" ht="14.5"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row>
    <row r="269" spans="1:22" ht="14.5"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row>
    <row r="270" spans="1:22" ht="14.5"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row>
    <row r="271" spans="1:22" ht="14.5"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row>
    <row r="272" spans="1:22" ht="14.5"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row>
    <row r="273" spans="1:22" ht="14.5"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row>
    <row r="274" spans="1:22" ht="14.5"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row>
    <row r="275" spans="1:22" ht="14.5"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row>
    <row r="276" spans="1:22" ht="14.5"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row>
    <row r="277" spans="1:22" ht="14.5"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row>
    <row r="278" spans="1:22" ht="14.5"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row>
    <row r="279" spans="1:22" ht="14.5"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row>
    <row r="280" spans="1:22" ht="14.5"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row>
    <row r="281" spans="1:22" ht="14.5"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row>
    <row r="282" spans="1:22" ht="14.5"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row>
    <row r="283" spans="1:22" ht="14.5"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row>
    <row r="284" spans="1:22" ht="14.5"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row>
    <row r="285" spans="1:22" ht="14.5"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row>
    <row r="286" spans="1:22" ht="14.5"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row>
    <row r="287" spans="1:22" ht="14.5"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row>
    <row r="288" spans="1:22" ht="14.5"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row>
    <row r="289" spans="1:22" ht="14.5"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row>
    <row r="290" spans="1:22" ht="14.5"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row>
    <row r="291" spans="1:22" ht="14.5"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row>
    <row r="292" spans="1:22" ht="14.5"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row>
    <row r="293" spans="1:22" ht="14.5"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row>
    <row r="294" spans="1:22" ht="14.5"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row>
    <row r="295" spans="1:22" ht="14.5"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row>
    <row r="296" spans="1:22" ht="14.5"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row>
    <row r="297" spans="1:22" ht="14.5"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row>
    <row r="298" spans="1:22" ht="14.5"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row>
    <row r="299" spans="1:22" ht="14.5"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row>
    <row r="300" spans="1:22" ht="14.5"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row>
    <row r="301" spans="1:22" ht="14.5"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row>
    <row r="302" spans="1:22" ht="14.5"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row>
    <row r="303" spans="1:22" ht="14.5"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row>
    <row r="304" spans="1:22" ht="14.5"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row>
    <row r="305" spans="1:22" ht="14.5"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row>
    <row r="306" spans="1:22" ht="14.5"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row>
    <row r="307" spans="1:22" ht="14.5"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row>
    <row r="308" spans="1:22" ht="14.5"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row>
    <row r="309" spans="1:22" ht="14.5"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row>
    <row r="310" spans="1:22" ht="14.5"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row>
    <row r="311" spans="1:22" ht="14.5"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row>
    <row r="312" spans="1:22" ht="14.5"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row>
    <row r="313" spans="1:22" ht="14.5"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row>
    <row r="314" spans="1:22" ht="14.5"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row>
    <row r="315" spans="1:22" ht="14.5"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row>
    <row r="316" spans="1:22" ht="14.5"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row>
    <row r="317" spans="1:22" ht="14.5"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row>
    <row r="318" spans="1:22" ht="14.5"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row>
    <row r="319" spans="1:22" ht="14.5"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row>
    <row r="320" spans="1:22" ht="14.5"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row>
    <row r="321" spans="1:22" ht="14.5"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row>
    <row r="322" spans="1:22" ht="14.5"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row>
    <row r="323" spans="1:22" ht="14.5"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row>
    <row r="324" spans="1:22" ht="14.5"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row>
    <row r="325" spans="1:22" ht="14.5"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row>
    <row r="326" spans="1:22" ht="14.5"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row>
    <row r="327" spans="1:22" ht="14.5"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row>
    <row r="328" spans="1:22" ht="14.5"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row>
    <row r="329" spans="1:22" ht="14.5"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row>
    <row r="330" spans="1:22" ht="14.5"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row>
    <row r="331" spans="1:22" ht="14.5"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row>
    <row r="332" spans="1:22" ht="14.5"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row>
    <row r="333" spans="1:22" ht="14.5"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row>
    <row r="334" spans="1:22" ht="14.5"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row>
    <row r="335" spans="1:22" ht="14.5"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row>
    <row r="336" spans="1:22" ht="14.5"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row>
    <row r="337" spans="1:22" ht="14.5"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row>
    <row r="338" spans="1:22" ht="14.5"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row>
    <row r="339" spans="1:22" ht="14.5"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row>
    <row r="340" spans="1:22" ht="14.5"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row>
    <row r="341" spans="1:22" ht="14.5"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row>
    <row r="342" spans="1:22" ht="14.5"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row>
    <row r="343" spans="1:22" ht="14.5"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row>
    <row r="344" spans="1:22" ht="14.5"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row>
    <row r="345" spans="1:22" ht="14.5"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row>
    <row r="346" spans="1:22" ht="14.5"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row>
    <row r="347" spans="1:22" ht="14.5"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row>
    <row r="348" spans="1:22" ht="14.5"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row>
    <row r="349" spans="1:22" ht="14.5"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row>
    <row r="350" spans="1:22" ht="14.5"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row>
    <row r="351" spans="1:22" ht="14.5"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row>
    <row r="352" spans="1:22" ht="14.5"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row>
    <row r="353" spans="1:22" ht="14.5"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row>
    <row r="354" spans="1:22" ht="14.5"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row>
    <row r="355" spans="1:22" ht="14.5"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row>
    <row r="356" spans="1:22" ht="14.5"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row>
    <row r="357" spans="1:22" ht="14.5"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row>
    <row r="358" spans="1:22" ht="14.5"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row>
    <row r="359" spans="1:22" ht="14.5"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row>
    <row r="360" spans="1:22" ht="14.5"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row>
    <row r="361" spans="1:22" ht="14.5"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row>
    <row r="362" spans="1:22" ht="14.5"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row>
    <row r="363" spans="1:22" ht="14.5"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row>
    <row r="364" spans="1:22" ht="14.5"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row>
    <row r="365" spans="1:22" ht="14.5"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row>
    <row r="366" spans="1:22" ht="14.5"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row>
    <row r="367" spans="1:22" ht="14.5"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row>
    <row r="368" spans="1:22" ht="14.5"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row>
    <row r="369" spans="1:22" ht="14.5"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row>
    <row r="370" spans="1:22" ht="14.5"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row>
    <row r="371" spans="1:22" ht="14.5"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row>
    <row r="372" spans="1:22" ht="14.5"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row>
    <row r="373" spans="1:22" ht="14.5"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row>
    <row r="374" spans="1:22" ht="14.5"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row>
    <row r="375" spans="1:22" ht="14.5"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row>
    <row r="376" spans="1:22" ht="14.5"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row>
    <row r="377" spans="1:22" ht="14.5"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row>
    <row r="378" spans="1:22" ht="14.5"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row>
    <row r="379" spans="1:22" ht="14.5"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row>
    <row r="380" spans="1:22" ht="14.5"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row>
    <row r="381" spans="1:22" ht="14.5"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row>
    <row r="382" spans="1:22" ht="14.5"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row>
    <row r="383" spans="1:22" ht="14.5"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row>
    <row r="384" spans="1:22" ht="14.5"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row>
    <row r="385" spans="1:22" ht="14.5"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row>
    <row r="386" spans="1:22" ht="14.5"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row>
    <row r="387" spans="1:22" ht="14.5"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row>
    <row r="388" spans="1:22" ht="14.5"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row>
    <row r="389" spans="1:22" ht="14.5"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row>
    <row r="390" spans="1:22" ht="14.5"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row>
    <row r="391" spans="1:22" ht="14.5"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row>
    <row r="392" spans="1:22" ht="14.5"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row>
    <row r="393" spans="1:22" ht="14.5"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row>
    <row r="394" spans="1:22" ht="14.5"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row>
    <row r="395" spans="1:22" ht="14.5"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row>
    <row r="396" spans="1:22" ht="14.5"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row>
    <row r="397" spans="1:22" ht="14.5"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row>
    <row r="398" spans="1:22" ht="14.5"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row>
    <row r="399" spans="1:22" ht="14.5"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row>
    <row r="400" spans="1:22" ht="14.5"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row>
    <row r="401" spans="1:22" ht="14.5"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row>
    <row r="402" spans="1:22" ht="14.5"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row>
    <row r="403" spans="1:22" ht="14.5"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row>
    <row r="404" spans="1:22" ht="14.5"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row>
    <row r="405" spans="1:22" ht="14.5"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row>
    <row r="406" spans="1:22" ht="14.5"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row>
    <row r="407" spans="1:22" ht="14.5"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row>
    <row r="408" spans="1:22" ht="14.5"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row>
    <row r="409" spans="1:22" ht="14.5"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row>
    <row r="410" spans="1:22" ht="14.5"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row>
    <row r="411" spans="1:22" ht="14.5"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row>
    <row r="412" spans="1:22" ht="14.5"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row>
    <row r="413" spans="1:22" ht="14.5"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row>
    <row r="414" spans="1:22" ht="14.5"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row>
    <row r="415" spans="1:22" ht="14.5"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row>
    <row r="416" spans="1:22" ht="14.5"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row>
    <row r="417" spans="1:22" ht="14.5"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row>
    <row r="418" spans="1:22" ht="14.5"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row>
    <row r="419" spans="1:22" ht="14.5"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row>
    <row r="420" spans="1:22" ht="14.5"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row>
    <row r="421" spans="1:22" ht="14.5"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row>
    <row r="422" spans="1:22" ht="14.5"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row>
    <row r="423" spans="1:22" ht="14.5"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row>
    <row r="424" spans="1:22" ht="14.5"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row>
    <row r="425" spans="1:22" ht="14.5"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row>
    <row r="426" spans="1:22" ht="14.5"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row>
    <row r="427" spans="1:22" ht="14.5"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row>
    <row r="428" spans="1:22" ht="14.5"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row>
    <row r="429" spans="1:22" ht="14.5"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row>
    <row r="430" spans="1:22" ht="14.5"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row>
    <row r="431" spans="1:22" ht="14.5"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row>
    <row r="432" spans="1:22" ht="14.5"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row>
    <row r="433" spans="1:22" ht="14.5"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row>
    <row r="434" spans="1:22" ht="14.5"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row>
    <row r="435" spans="1:22" ht="14.5"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row>
    <row r="436" spans="1:22" ht="14.5"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row>
    <row r="437" spans="1:22" ht="14.5"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row>
    <row r="438" spans="1:22" ht="14.5"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row>
    <row r="439" spans="1:22" ht="14.5"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row>
    <row r="440" spans="1:22" ht="14.5"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row>
    <row r="441" spans="1:22" ht="14.5"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row>
    <row r="442" spans="1:22" ht="14.5"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row>
    <row r="443" spans="1:22" ht="14.5"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row>
    <row r="444" spans="1:22" ht="14.5"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row>
    <row r="445" spans="1:22" ht="14.5"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row>
    <row r="446" spans="1:22" ht="14.5"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row>
    <row r="447" spans="1:22" ht="14.5"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row>
    <row r="448" spans="1:22" ht="14.5"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row>
    <row r="449" spans="1:22" ht="14.5"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row>
    <row r="450" spans="1:22" ht="14.5"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row>
    <row r="451" spans="1:22" ht="14.5"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row>
    <row r="452" spans="1:22" ht="14.5"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row>
    <row r="453" spans="1:22" ht="14.5"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row>
    <row r="454" spans="1:22" ht="14.5"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row>
    <row r="455" spans="1:22" ht="14.5"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row>
    <row r="456" spans="1:22" ht="14.5"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row>
    <row r="457" spans="1:22" ht="14.5"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row>
    <row r="458" spans="1:22" ht="14.5"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row>
    <row r="459" spans="1:22" ht="14.5"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row>
    <row r="460" spans="1:22" ht="14.5"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row>
    <row r="461" spans="1:22" ht="14.5"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row>
    <row r="462" spans="1:22" ht="14.5"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row>
    <row r="463" spans="1:22" ht="14.5"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row>
    <row r="464" spans="1:22" ht="14.5"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row>
    <row r="465" spans="1:22" ht="14.5"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row>
    <row r="466" spans="1:22" ht="14.5"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row>
    <row r="467" spans="1:22" ht="14.5"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row>
    <row r="468" spans="1:22" ht="14.5"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row>
    <row r="469" spans="1:22" ht="14.5"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row>
    <row r="470" spans="1:22" ht="14.5"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row>
    <row r="471" spans="1:22" ht="14.5"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row>
    <row r="472" spans="1:22" ht="14.5"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row>
    <row r="473" spans="1:22" ht="14.5"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row>
    <row r="474" spans="1:22" ht="14.5"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row>
    <row r="475" spans="1:22" ht="14.5"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row>
    <row r="476" spans="1:22" ht="14.5"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row>
    <row r="477" spans="1:22" ht="14.5"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row>
    <row r="478" spans="1:22" ht="14.5"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row>
    <row r="479" spans="1:22" ht="14.5"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row>
    <row r="480" spans="1:22" ht="14.5"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row>
    <row r="481" spans="1:22" ht="14.5"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row>
    <row r="482" spans="1:22" ht="14.5"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row>
    <row r="483" spans="1:22" ht="14.5"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row>
    <row r="484" spans="1:22" ht="14.5"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row>
    <row r="485" spans="1:22" ht="14.5"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row>
    <row r="486" spans="1:22" ht="14.5"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row>
    <row r="487" spans="1:22" ht="14.5"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row>
    <row r="488" spans="1:22" ht="14.5"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row>
    <row r="489" spans="1:22" ht="14.5"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row>
    <row r="490" spans="1:22" ht="14.5"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row>
    <row r="491" spans="1:22" ht="14.5"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row>
    <row r="492" spans="1:22" ht="14.5"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row>
    <row r="493" spans="1:22" ht="14.5"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row>
    <row r="494" spans="1:22" ht="14.5"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row>
    <row r="495" spans="1:22" ht="14.5"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row>
    <row r="496" spans="1:22" ht="14.5"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row>
    <row r="497" spans="1:22" ht="14.5"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row>
    <row r="498" spans="1:22" ht="14.5"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row>
    <row r="499" spans="1:22" ht="14.5"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row>
    <row r="500" spans="1:22" ht="14.5"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row>
    <row r="501" spans="1:22" ht="14.5"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row>
    <row r="502" spans="1:22" ht="14.5"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row>
    <row r="503" spans="1:22" ht="14.5"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row>
    <row r="504" spans="1:22" ht="14.5"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row>
    <row r="505" spans="1:22" ht="14.5"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row>
    <row r="506" spans="1:22" ht="14.5"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row>
    <row r="507" spans="1:22" ht="14.5"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row>
    <row r="508" spans="1:22" ht="14.5"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row>
    <row r="509" spans="1:22" ht="14.5"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row>
    <row r="510" spans="1:22" ht="14.5"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row>
    <row r="511" spans="1:22" ht="14.5"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row>
    <row r="512" spans="1:22" ht="14.5"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row>
    <row r="513" spans="1:22" ht="14.5"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row>
    <row r="514" spans="1:22" ht="14.5"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row>
    <row r="515" spans="1:22" ht="14.5"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row>
    <row r="516" spans="1:22" ht="14.5"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row>
    <row r="517" spans="1:22" ht="14.5"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row>
    <row r="518" spans="1:22" ht="14.5"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row>
    <row r="519" spans="1:22" ht="14.5"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row>
    <row r="520" spans="1:22" ht="14.5"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row>
    <row r="521" spans="1:22" ht="14.5"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row>
    <row r="522" spans="1:22" ht="14.5"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row>
    <row r="523" spans="1:22" ht="14.5"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row>
    <row r="524" spans="1:22" ht="14.5"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row>
    <row r="525" spans="1:22" ht="14.5"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row>
    <row r="526" spans="1:22" ht="14.5"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row>
    <row r="527" spans="1:22" ht="14.5"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row>
    <row r="528" spans="1:22" ht="14.5"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row>
    <row r="529" spans="1:22" ht="14.5"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row>
    <row r="530" spans="1:22" ht="14.5"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row>
    <row r="531" spans="1:22" ht="14.5"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row>
    <row r="532" spans="1:22" ht="14.5"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row>
    <row r="533" spans="1:22" ht="14.5"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row>
    <row r="534" spans="1:22" ht="14.5"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row>
    <row r="535" spans="1:22" ht="14.5"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row>
    <row r="536" spans="1:22" ht="14.5"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row>
    <row r="537" spans="1:22" ht="14.5"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row>
    <row r="538" spans="1:22" ht="14.5"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row>
    <row r="539" spans="1:22" ht="14.5"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row>
    <row r="540" spans="1:22" ht="14.5"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row>
    <row r="541" spans="1:22" ht="14.5"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row>
    <row r="542" spans="1:22" ht="14.5"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row>
    <row r="543" spans="1:22" ht="14.5"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row>
    <row r="544" spans="1:22" ht="14.5"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row>
    <row r="545" spans="1:22" ht="14.5"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row>
    <row r="546" spans="1:22" ht="14.5"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row>
    <row r="547" spans="1:22" ht="14.5"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row>
    <row r="548" spans="1:22" ht="14.5"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row>
    <row r="549" spans="1:22" ht="14.5"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row>
    <row r="550" spans="1:22" ht="14.5"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row>
    <row r="551" spans="1:22" ht="14.5"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row>
    <row r="552" spans="1:22" ht="14.5"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row>
    <row r="553" spans="1:22" ht="14.5"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row>
    <row r="554" spans="1:22" ht="14.5"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row>
    <row r="555" spans="1:22" ht="14.5"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row>
    <row r="556" spans="1:22" ht="14.5"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row>
    <row r="557" spans="1:22" ht="14.5"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row>
    <row r="558" spans="1:22" ht="14.5"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row>
    <row r="559" spans="1:22" ht="14.5"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row>
    <row r="560" spans="1:22" ht="14.5"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row>
    <row r="561" spans="1:22" ht="14.5"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row>
    <row r="562" spans="1:22" ht="14.5"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row>
    <row r="563" spans="1:22" ht="14.5"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row>
    <row r="564" spans="1:22" ht="14.5"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row>
    <row r="565" spans="1:22" ht="14.5"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row>
    <row r="566" spans="1:22" ht="14.5"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row>
    <row r="567" spans="1:22" ht="14.5"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row>
    <row r="568" spans="1:22" ht="14.5"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row>
    <row r="569" spans="1:22" ht="14.5"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row>
    <row r="570" spans="1:22" ht="14.5"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row>
    <row r="571" spans="1:22" ht="14.5"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row>
    <row r="572" spans="1:22" ht="14.5"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row>
    <row r="573" spans="1:22" ht="14.5"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row>
    <row r="574" spans="1:22" ht="14.5"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row>
    <row r="575" spans="1:22" ht="14.5"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row>
    <row r="576" spans="1:22" ht="14.5"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row>
    <row r="577" spans="1:22" ht="14.5"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row>
    <row r="578" spans="1:22" ht="14.5"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row>
    <row r="579" spans="1:22" ht="14.5"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row>
    <row r="580" spans="1:22" ht="14.5"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row>
    <row r="581" spans="1:22" ht="14.5"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row>
    <row r="582" spans="1:22" ht="14.5"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row>
    <row r="583" spans="1:22" ht="14.5"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row>
    <row r="584" spans="1:22" ht="14.5"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row>
    <row r="585" spans="1:22" ht="14.5"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row>
    <row r="586" spans="1:22" ht="14.5"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row>
    <row r="587" spans="1:22" ht="14.5"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row>
    <row r="588" spans="1:22" ht="14.5"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row>
    <row r="589" spans="1:22" ht="14.5"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row>
    <row r="590" spans="1:22" ht="14.5"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row>
    <row r="591" spans="1:22" ht="14.5"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row>
    <row r="592" spans="1:22" ht="14.5"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row>
    <row r="593" spans="1:22" ht="14.5"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row>
    <row r="594" spans="1:22" ht="14.5"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row>
    <row r="595" spans="1:22" ht="14.5"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row>
    <row r="596" spans="1:22" ht="14.5"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row>
    <row r="597" spans="1:22" ht="14.5"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row>
    <row r="598" spans="1:22" ht="14.5"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row>
    <row r="599" spans="1:22" ht="14.5"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row>
    <row r="600" spans="1:22" ht="14.5"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row>
    <row r="601" spans="1:22" ht="14.5"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row>
    <row r="602" spans="1:22" ht="14.5"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row>
    <row r="603" spans="1:22" ht="14.5"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row>
    <row r="604" spans="1:22" ht="14.5"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row>
    <row r="605" spans="1:22" ht="14.5"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row>
    <row r="606" spans="1:22" ht="14.5"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row>
    <row r="607" spans="1:22" ht="14.5"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row>
    <row r="608" spans="1:22" ht="14.5"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row>
    <row r="609" spans="1:22" ht="14.5"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row>
    <row r="610" spans="1:22" ht="14.5"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row>
    <row r="611" spans="1:22" ht="14.5"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row>
    <row r="612" spans="1:22" ht="14.5"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row>
    <row r="613" spans="1:22" ht="14.5"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row>
    <row r="614" spans="1:22" ht="14.5"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row>
    <row r="615" spans="1:22" ht="14.5"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row>
    <row r="616" spans="1:22" ht="14.5"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row>
    <row r="617" spans="1:22" ht="14.5"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row>
    <row r="618" spans="1:22" ht="14.5"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row>
    <row r="619" spans="1:22" ht="14.5"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row>
    <row r="620" spans="1:22" ht="14.5"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row>
    <row r="621" spans="1:22" ht="14.5"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row>
    <row r="622" spans="1:22" ht="14.5"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row>
    <row r="623" spans="1:22" ht="14.5"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row>
    <row r="624" spans="1:22" ht="14.5"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row>
    <row r="625" spans="1:22" ht="14.5"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row>
    <row r="626" spans="1:22" ht="14.5"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row>
    <row r="627" spans="1:22" ht="14.5"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row>
    <row r="628" spans="1:22" ht="14.5"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row>
    <row r="629" spans="1:22" ht="14.5"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row>
    <row r="630" spans="1:22" ht="14.5"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row>
    <row r="631" spans="1:22" ht="14.5"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row>
    <row r="632" spans="1:22" ht="14.5"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row>
    <row r="633" spans="1:22" ht="14.5"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row>
    <row r="634" spans="1:22" ht="14.5"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row>
    <row r="635" spans="1:22" ht="14.5"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row>
    <row r="636" spans="1:22" ht="14.5"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row>
    <row r="637" spans="1:22" ht="14.5"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row>
    <row r="638" spans="1:22" ht="14.5"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row>
    <row r="639" spans="1:22" ht="14.5"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row>
    <row r="640" spans="1:22" ht="14.5"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row>
    <row r="641" spans="1:22" ht="14.5"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row>
    <row r="642" spans="1:22" ht="14.5"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row>
    <row r="643" spans="1:22" ht="14.5"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row>
    <row r="644" spans="1:22" ht="14.5"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row>
    <row r="645" spans="1:22" ht="14.5"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row>
    <row r="646" spans="1:22" ht="14.5"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row>
    <row r="647" spans="1:22" ht="14.5"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row>
    <row r="648" spans="1:22" ht="14.5"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row>
    <row r="649" spans="1:22" ht="14.5"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row>
    <row r="650" spans="1:22" ht="14.5"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row>
    <row r="651" spans="1:22" ht="14.5"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row>
    <row r="652" spans="1:22" ht="14.5"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row>
    <row r="653" spans="1:22" ht="14.5"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row>
    <row r="654" spans="1:22" ht="14.5"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row>
    <row r="655" spans="1:22" ht="14.5"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row>
    <row r="656" spans="1:22" ht="14.5"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row>
    <row r="657" spans="1:22" ht="14.5"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row>
    <row r="658" spans="1:22" ht="14.5"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row>
    <row r="659" spans="1:22" ht="14.5"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row>
    <row r="660" spans="1:22" ht="14.5"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row>
    <row r="661" spans="1:22" ht="14.5"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row>
    <row r="662" spans="1:22" ht="14.5"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row>
    <row r="663" spans="1:22" ht="14.5"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row>
    <row r="664" spans="1:22" ht="14.5"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row>
    <row r="665" spans="1:22" ht="14.5"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row>
    <row r="666" spans="1:22" ht="14.5"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row>
    <row r="667" spans="1:22" ht="14.5"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row>
    <row r="668" spans="1:22" ht="14.5"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row>
    <row r="669" spans="1:22" ht="14.5"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row>
    <row r="670" spans="1:22" ht="14.5"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row>
    <row r="671" spans="1:22" ht="14.5"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row>
    <row r="672" spans="1:22" ht="14.5"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row>
    <row r="673" spans="1:22" ht="14.5"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row>
    <row r="674" spans="1:22" ht="14.5"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row>
    <row r="675" spans="1:22" ht="14.5"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row>
    <row r="676" spans="1:22" ht="14.5"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row>
    <row r="677" spans="1:22" ht="14.5"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row>
    <row r="678" spans="1:22" ht="14.5"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row>
    <row r="679" spans="1:22" ht="14.5"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row>
    <row r="680" spans="1:22" ht="14.5"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row>
    <row r="681" spans="1:22" ht="14.5"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row>
    <row r="682" spans="1:22" ht="14.5"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row>
    <row r="683" spans="1:22" ht="14.5"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row>
    <row r="684" spans="1:22" ht="14.5"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row>
    <row r="685" spans="1:22" ht="14.5"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row>
    <row r="686" spans="1:22" ht="14.5"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row>
    <row r="687" spans="1:22" ht="14.5"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row>
    <row r="688" spans="1:22" ht="14.5"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row>
    <row r="689" spans="1:22" ht="14.5"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row>
    <row r="690" spans="1:22" ht="14.5"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row>
    <row r="691" spans="1:22" ht="14.5"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row>
    <row r="692" spans="1:22" ht="14.5"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row>
    <row r="693" spans="1:22" ht="14.5"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row>
    <row r="694" spans="1:22" ht="14.5"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row>
    <row r="695" spans="1:22" ht="14.5"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row>
    <row r="696" spans="1:22" ht="14.5"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row>
    <row r="697" spans="1:22" ht="14.5"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row>
    <row r="698" spans="1:22" ht="14.5"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row>
    <row r="699" spans="1:22" ht="14.5"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row>
    <row r="700" spans="1:22" ht="14.5"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row>
    <row r="701" spans="1:22" ht="14.5"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row>
    <row r="702" spans="1:22" ht="14.5"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row>
    <row r="703" spans="1:22" ht="14.5"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row>
    <row r="704" spans="1:22" ht="14.5"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row>
    <row r="705" spans="1:22" ht="14.5"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row>
    <row r="706" spans="1:22" ht="14.5"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row>
    <row r="707" spans="1:22" ht="14.5"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row>
    <row r="708" spans="1:22" ht="14.5"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row>
    <row r="709" spans="1:22" ht="14.5"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row>
    <row r="710" spans="1:22" ht="14.5"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row>
    <row r="711" spans="1:22" ht="14.5"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row>
    <row r="712" spans="1:22" ht="14.5"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row>
    <row r="713" spans="1:22" ht="14.5"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row>
    <row r="714" spans="1:22" ht="14.5"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row>
    <row r="715" spans="1:22" ht="14.5"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row>
    <row r="716" spans="1:22" ht="14.5"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row>
    <row r="717" spans="1:22" ht="14.5"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row>
    <row r="718" spans="1:22" ht="14.5"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row>
    <row r="719" spans="1:22" ht="14.5"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row>
    <row r="720" spans="1:22" ht="14.5"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row>
    <row r="721" spans="1:22" ht="14.5"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row>
    <row r="722" spans="1:22" ht="14.5"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row>
    <row r="723" spans="1:22" ht="14.5"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row>
    <row r="724" spans="1:22" ht="14.5"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row>
    <row r="725" spans="1:22" ht="14.5"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row>
    <row r="726" spans="1:22" ht="14.5"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row>
    <row r="727" spans="1:22" ht="14.5"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row>
    <row r="728" spans="1:22" ht="14.5"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row>
    <row r="729" spans="1:22" ht="14.5"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row>
    <row r="730" spans="1:22" ht="14.5"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row>
    <row r="731" spans="1:22" ht="14.5"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row>
    <row r="732" spans="1:22" ht="14.5"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row>
    <row r="733" spans="1:22" ht="14.5"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row>
    <row r="734" spans="1:22" ht="14.5"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row>
    <row r="735" spans="1:22" ht="14.5"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row>
    <row r="736" spans="1:22" ht="14.5"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row>
    <row r="737" spans="1:22" ht="14.5"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row>
    <row r="738" spans="1:22" ht="14.5"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row>
    <row r="739" spans="1:22" ht="14.5"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row>
    <row r="740" spans="1:22" ht="14.5"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row>
    <row r="741" spans="1:22" ht="14.5"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row>
    <row r="742" spans="1:22" ht="14.5"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row>
    <row r="743" spans="1:22" ht="14.5"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row>
    <row r="744" spans="1:22" ht="14.5"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row>
    <row r="745" spans="1:22" ht="14.5"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row>
    <row r="746" spans="1:22" ht="14.5"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row>
    <row r="747" spans="1:22" ht="14.5"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row>
    <row r="748" spans="1:22" ht="14.5"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row>
    <row r="749" spans="1:22" ht="14.5"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row>
    <row r="750" spans="1:22" ht="14.5"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row>
    <row r="751" spans="1:22" ht="14.5"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row>
    <row r="752" spans="1:22" ht="14.5"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row>
    <row r="753" spans="1:22" ht="14.5"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row>
    <row r="754" spans="1:22" ht="14.5"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row>
    <row r="755" spans="1:22" ht="14.5"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row>
    <row r="756" spans="1:22" ht="14.5"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row>
    <row r="757" spans="1:22" ht="14.5"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row>
    <row r="758" spans="1:22" ht="14.5"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row>
    <row r="759" spans="1:22" ht="14.5"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row>
    <row r="760" spans="1:22" ht="14.5"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row>
    <row r="761" spans="1:22" ht="14.5"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row>
    <row r="762" spans="1:22" ht="14.5"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row>
    <row r="763" spans="1:22" ht="14.5"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row>
    <row r="764" spans="1:22" ht="14.5"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row>
    <row r="765" spans="1:22" ht="14.5"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row>
    <row r="766" spans="1:22" ht="14.5"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row>
    <row r="767" spans="1:22" ht="14.5"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row>
    <row r="768" spans="1:22" ht="14.5"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row>
    <row r="769" spans="1:22" ht="14.5"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row>
    <row r="770" spans="1:22" ht="14.5"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row>
    <row r="771" spans="1:22" ht="14.5"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row>
    <row r="772" spans="1:22" ht="14.5"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row>
    <row r="773" spans="1:22" ht="14.5"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row>
    <row r="774" spans="1:22" ht="14.5"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row>
    <row r="775" spans="1:22" ht="14.5"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row>
    <row r="776" spans="1:22" ht="14.5"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row>
    <row r="777" spans="1:22" ht="14.5"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row>
    <row r="778" spans="1:22" ht="14.5"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row>
    <row r="779" spans="1:22" ht="14.5"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row>
    <row r="780" spans="1:22" ht="14.5"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row>
    <row r="781" spans="1:22" ht="14.5"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row>
    <row r="782" spans="1:22" ht="14.5"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row>
    <row r="783" spans="1:22" ht="14.5"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row>
    <row r="784" spans="1:22" ht="14.5"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row>
    <row r="785" spans="1:22" ht="14.5"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row>
    <row r="786" spans="1:22" ht="14.5"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row>
    <row r="787" spans="1:22" ht="14.5"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row>
    <row r="788" spans="1:22" ht="14.5"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row>
    <row r="789" spans="1:22" ht="14.5" x14ac:dyDescent="0.35">
      <c r="A789" s="11"/>
      <c r="B789" s="11"/>
      <c r="C789" s="11"/>
      <c r="D789" s="11"/>
      <c r="E789" s="11"/>
      <c r="F789" s="11"/>
      <c r="G789" s="11"/>
      <c r="H789" s="11"/>
      <c r="I789" s="11"/>
      <c r="J789" s="11"/>
      <c r="K789" s="11"/>
      <c r="L789" s="11"/>
      <c r="M789" s="11"/>
      <c r="N789" s="11"/>
      <c r="O789" s="11"/>
      <c r="P789" s="11"/>
      <c r="Q789" s="11"/>
      <c r="R789" s="11"/>
      <c r="S789" s="11"/>
      <c r="T789" s="11"/>
      <c r="U789" s="11"/>
      <c r="V789" s="11"/>
    </row>
    <row r="790" spans="1:22" ht="14.5" x14ac:dyDescent="0.35">
      <c r="A790" s="11"/>
      <c r="B790" s="11"/>
      <c r="C790" s="11"/>
      <c r="D790" s="11"/>
      <c r="E790" s="11"/>
      <c r="F790" s="11"/>
      <c r="G790" s="11"/>
      <c r="H790" s="11"/>
      <c r="I790" s="11"/>
      <c r="J790" s="11"/>
      <c r="K790" s="11"/>
      <c r="L790" s="11"/>
      <c r="M790" s="11"/>
      <c r="N790" s="11"/>
      <c r="O790" s="11"/>
      <c r="P790" s="11"/>
      <c r="Q790" s="11"/>
      <c r="R790" s="11"/>
      <c r="S790" s="11"/>
      <c r="T790" s="11"/>
      <c r="U790" s="11"/>
      <c r="V790" s="11"/>
    </row>
    <row r="791" spans="1:22" ht="14.5" x14ac:dyDescent="0.35">
      <c r="A791" s="11"/>
      <c r="B791" s="11"/>
      <c r="C791" s="11"/>
      <c r="D791" s="11"/>
      <c r="E791" s="11"/>
      <c r="F791" s="11"/>
      <c r="G791" s="11"/>
      <c r="H791" s="11"/>
      <c r="I791" s="11"/>
      <c r="J791" s="11"/>
      <c r="K791" s="11"/>
      <c r="L791" s="11"/>
      <c r="M791" s="11"/>
      <c r="N791" s="11"/>
      <c r="O791" s="11"/>
      <c r="P791" s="11"/>
      <c r="Q791" s="11"/>
      <c r="R791" s="11"/>
      <c r="S791" s="11"/>
      <c r="T791" s="11"/>
      <c r="U791" s="11"/>
      <c r="V791" s="11"/>
    </row>
    <row r="792" spans="1:22" ht="14.5" x14ac:dyDescent="0.35">
      <c r="A792" s="11"/>
      <c r="B792" s="11"/>
      <c r="C792" s="11"/>
      <c r="D792" s="11"/>
      <c r="E792" s="11"/>
      <c r="F792" s="11"/>
      <c r="G792" s="11"/>
      <c r="H792" s="11"/>
      <c r="I792" s="11"/>
      <c r="J792" s="11"/>
      <c r="K792" s="11"/>
      <c r="L792" s="11"/>
      <c r="M792" s="11"/>
      <c r="N792" s="11"/>
      <c r="O792" s="11"/>
      <c r="P792" s="11"/>
      <c r="Q792" s="11"/>
      <c r="R792" s="11"/>
      <c r="S792" s="11"/>
      <c r="T792" s="11"/>
      <c r="U792" s="11"/>
      <c r="V792" s="11"/>
    </row>
    <row r="793" spans="1:22" ht="14.5" x14ac:dyDescent="0.35">
      <c r="A793" s="11"/>
      <c r="B793" s="11"/>
      <c r="C793" s="11"/>
      <c r="D793" s="11"/>
      <c r="E793" s="11"/>
      <c r="F793" s="11"/>
      <c r="G793" s="11"/>
      <c r="H793" s="11"/>
      <c r="I793" s="11"/>
      <c r="J793" s="11"/>
      <c r="K793" s="11"/>
      <c r="L793" s="11"/>
      <c r="M793" s="11"/>
      <c r="N793" s="11"/>
      <c r="O793" s="11"/>
      <c r="P793" s="11"/>
      <c r="Q793" s="11"/>
      <c r="R793" s="11"/>
      <c r="S793" s="11"/>
      <c r="T793" s="11"/>
      <c r="U793" s="11"/>
      <c r="V793" s="11"/>
    </row>
    <row r="794" spans="1:22" ht="14.5" x14ac:dyDescent="0.35">
      <c r="A794" s="11"/>
      <c r="B794" s="11"/>
      <c r="C794" s="11"/>
      <c r="D794" s="11"/>
      <c r="E794" s="11"/>
      <c r="F794" s="11"/>
      <c r="G794" s="11"/>
      <c r="H794" s="11"/>
      <c r="I794" s="11"/>
      <c r="J794" s="11"/>
      <c r="K794" s="11"/>
      <c r="L794" s="11"/>
      <c r="M794" s="11"/>
      <c r="N794" s="11"/>
      <c r="O794" s="11"/>
      <c r="P794" s="11"/>
      <c r="Q794" s="11"/>
      <c r="R794" s="11"/>
      <c r="S794" s="11"/>
      <c r="T794" s="11"/>
      <c r="U794" s="11"/>
      <c r="V794" s="11"/>
    </row>
    <row r="795" spans="1:22" ht="14.5" x14ac:dyDescent="0.35">
      <c r="A795" s="11"/>
      <c r="B795" s="11"/>
      <c r="C795" s="11"/>
      <c r="D795" s="11"/>
      <c r="E795" s="11"/>
      <c r="F795" s="11"/>
      <c r="G795" s="11"/>
      <c r="H795" s="11"/>
      <c r="I795" s="11"/>
      <c r="J795" s="11"/>
      <c r="K795" s="11"/>
      <c r="L795" s="11"/>
      <c r="M795" s="11"/>
      <c r="N795" s="11"/>
      <c r="O795" s="11"/>
      <c r="P795" s="11"/>
      <c r="Q795" s="11"/>
      <c r="R795" s="11"/>
      <c r="S795" s="11"/>
      <c r="T795" s="11"/>
      <c r="U795" s="11"/>
      <c r="V795" s="11"/>
    </row>
    <row r="796" spans="1:22" ht="14.5" x14ac:dyDescent="0.35">
      <c r="A796" s="11"/>
      <c r="B796" s="11"/>
      <c r="C796" s="11"/>
      <c r="D796" s="11"/>
      <c r="E796" s="11"/>
      <c r="F796" s="11"/>
      <c r="G796" s="11"/>
      <c r="H796" s="11"/>
      <c r="I796" s="11"/>
      <c r="J796" s="11"/>
      <c r="K796" s="11"/>
      <c r="L796" s="11"/>
      <c r="M796" s="11"/>
      <c r="N796" s="11"/>
      <c r="O796" s="11"/>
      <c r="P796" s="11"/>
      <c r="Q796" s="11"/>
      <c r="R796" s="11"/>
      <c r="S796" s="11"/>
      <c r="T796" s="11"/>
      <c r="U796" s="11"/>
      <c r="V796" s="11"/>
    </row>
    <row r="797" spans="1:22" ht="14.5" x14ac:dyDescent="0.35">
      <c r="A797" s="11"/>
      <c r="B797" s="11"/>
      <c r="C797" s="11"/>
      <c r="D797" s="11"/>
      <c r="E797" s="11"/>
      <c r="F797" s="11"/>
      <c r="G797" s="11"/>
      <c r="H797" s="11"/>
      <c r="I797" s="11"/>
      <c r="J797" s="11"/>
      <c r="K797" s="11"/>
      <c r="L797" s="11"/>
      <c r="M797" s="11"/>
      <c r="N797" s="11"/>
      <c r="O797" s="11"/>
      <c r="P797" s="11"/>
      <c r="Q797" s="11"/>
      <c r="R797" s="11"/>
      <c r="S797" s="11"/>
      <c r="T797" s="11"/>
      <c r="U797" s="11"/>
      <c r="V797" s="11"/>
    </row>
    <row r="798" spans="1:22" ht="14.5" x14ac:dyDescent="0.35">
      <c r="A798" s="11"/>
      <c r="B798" s="11"/>
      <c r="C798" s="11"/>
      <c r="D798" s="11"/>
      <c r="E798" s="11"/>
      <c r="F798" s="11"/>
      <c r="G798" s="11"/>
      <c r="H798" s="11"/>
      <c r="I798" s="11"/>
      <c r="J798" s="11"/>
      <c r="K798" s="11"/>
      <c r="L798" s="11"/>
      <c r="M798" s="11"/>
      <c r="N798" s="11"/>
      <c r="O798" s="11"/>
      <c r="P798" s="11"/>
      <c r="Q798" s="11"/>
      <c r="R798" s="11"/>
      <c r="S798" s="11"/>
      <c r="T798" s="11"/>
      <c r="U798" s="11"/>
      <c r="V798" s="11"/>
    </row>
    <row r="799" spans="1:22" ht="14.5" x14ac:dyDescent="0.35">
      <c r="A799" s="11"/>
      <c r="B799" s="11"/>
      <c r="C799" s="11"/>
      <c r="D799" s="11"/>
      <c r="E799" s="11"/>
      <c r="F799" s="11"/>
      <c r="G799" s="11"/>
      <c r="H799" s="11"/>
      <c r="I799" s="11"/>
      <c r="J799" s="11"/>
      <c r="K799" s="11"/>
      <c r="L799" s="11"/>
      <c r="M799" s="11"/>
      <c r="N799" s="11"/>
      <c r="O799" s="11"/>
      <c r="P799" s="11"/>
      <c r="Q799" s="11"/>
      <c r="R799" s="11"/>
      <c r="S799" s="11"/>
      <c r="T799" s="11"/>
      <c r="U799" s="11"/>
      <c r="V799" s="11"/>
    </row>
    <row r="800" spans="1:22" ht="14.5" x14ac:dyDescent="0.35">
      <c r="A800" s="11"/>
      <c r="B800" s="11"/>
      <c r="C800" s="11"/>
      <c r="D800" s="11"/>
      <c r="E800" s="11"/>
      <c r="F800" s="11"/>
      <c r="G800" s="11"/>
      <c r="H800" s="11"/>
      <c r="I800" s="11"/>
      <c r="J800" s="11"/>
      <c r="K800" s="11"/>
      <c r="L800" s="11"/>
      <c r="M800" s="11"/>
      <c r="N800" s="11"/>
      <c r="O800" s="11"/>
      <c r="P800" s="11"/>
      <c r="Q800" s="11"/>
      <c r="R800" s="11"/>
      <c r="S800" s="11"/>
      <c r="T800" s="11"/>
      <c r="U800" s="11"/>
      <c r="V800" s="11"/>
    </row>
    <row r="801" spans="1:22" ht="14.5" x14ac:dyDescent="0.35">
      <c r="A801" s="11"/>
      <c r="B801" s="11"/>
      <c r="C801" s="11"/>
      <c r="D801" s="11"/>
      <c r="E801" s="11"/>
      <c r="F801" s="11"/>
      <c r="G801" s="11"/>
      <c r="H801" s="11"/>
      <c r="I801" s="11"/>
      <c r="J801" s="11"/>
      <c r="K801" s="11"/>
      <c r="L801" s="11"/>
      <c r="M801" s="11"/>
      <c r="N801" s="11"/>
      <c r="O801" s="11"/>
      <c r="P801" s="11"/>
      <c r="Q801" s="11"/>
      <c r="R801" s="11"/>
      <c r="S801" s="11"/>
      <c r="T801" s="11"/>
      <c r="U801" s="11"/>
      <c r="V801" s="11"/>
    </row>
    <row r="802" spans="1:22" ht="14.5" x14ac:dyDescent="0.35">
      <c r="A802" s="11"/>
      <c r="B802" s="11"/>
      <c r="C802" s="11"/>
      <c r="D802" s="11"/>
      <c r="E802" s="11"/>
      <c r="F802" s="11"/>
      <c r="G802" s="11"/>
      <c r="H802" s="11"/>
      <c r="I802" s="11"/>
      <c r="J802" s="11"/>
      <c r="K802" s="11"/>
      <c r="L802" s="11"/>
      <c r="M802" s="11"/>
      <c r="N802" s="11"/>
      <c r="O802" s="11"/>
      <c r="P802" s="11"/>
      <c r="Q802" s="11"/>
      <c r="R802" s="11"/>
      <c r="S802" s="11"/>
      <c r="T802" s="11"/>
      <c r="U802" s="11"/>
      <c r="V802" s="11"/>
    </row>
    <row r="803" spans="1:22" ht="14.5" x14ac:dyDescent="0.35">
      <c r="A803" s="11"/>
      <c r="B803" s="11"/>
      <c r="C803" s="11"/>
      <c r="D803" s="11"/>
      <c r="E803" s="11"/>
      <c r="F803" s="11"/>
      <c r="G803" s="11"/>
      <c r="H803" s="11"/>
      <c r="I803" s="11"/>
      <c r="J803" s="11"/>
      <c r="K803" s="11"/>
      <c r="L803" s="11"/>
      <c r="M803" s="11"/>
      <c r="N803" s="11"/>
      <c r="O803" s="11"/>
      <c r="P803" s="11"/>
      <c r="Q803" s="11"/>
      <c r="R803" s="11"/>
      <c r="S803" s="11"/>
      <c r="T803" s="11"/>
      <c r="U803" s="11"/>
      <c r="V803" s="11"/>
    </row>
    <row r="804" spans="1:22" ht="14.5" x14ac:dyDescent="0.35">
      <c r="A804" s="11"/>
      <c r="B804" s="11"/>
      <c r="C804" s="11"/>
      <c r="D804" s="11"/>
      <c r="E804" s="11"/>
      <c r="F804" s="11"/>
      <c r="G804" s="11"/>
      <c r="H804" s="11"/>
      <c r="I804" s="11"/>
      <c r="J804" s="11"/>
      <c r="K804" s="11"/>
      <c r="L804" s="11"/>
      <c r="M804" s="11"/>
      <c r="N804" s="11"/>
      <c r="O804" s="11"/>
      <c r="P804" s="11"/>
      <c r="Q804" s="11"/>
      <c r="R804" s="11"/>
      <c r="S804" s="11"/>
      <c r="T804" s="11"/>
      <c r="U804" s="11"/>
      <c r="V804" s="11"/>
    </row>
    <row r="805" spans="1:22" ht="14.5" x14ac:dyDescent="0.35">
      <c r="A805" s="11"/>
      <c r="B805" s="11"/>
      <c r="C805" s="11"/>
      <c r="D805" s="11"/>
      <c r="E805" s="11"/>
      <c r="F805" s="11"/>
      <c r="G805" s="11"/>
      <c r="H805" s="11"/>
      <c r="I805" s="11"/>
      <c r="J805" s="11"/>
      <c r="K805" s="11"/>
      <c r="L805" s="11"/>
      <c r="M805" s="11"/>
      <c r="N805" s="11"/>
      <c r="O805" s="11"/>
      <c r="P805" s="11"/>
      <c r="Q805" s="11"/>
      <c r="R805" s="11"/>
      <c r="S805" s="11"/>
      <c r="T805" s="11"/>
      <c r="U805" s="11"/>
      <c r="V805" s="11"/>
    </row>
    <row r="806" spans="1:22" ht="14.5" x14ac:dyDescent="0.35">
      <c r="A806" s="11"/>
      <c r="B806" s="11"/>
      <c r="C806" s="11"/>
      <c r="D806" s="11"/>
      <c r="E806" s="11"/>
      <c r="F806" s="11"/>
      <c r="G806" s="11"/>
      <c r="H806" s="11"/>
      <c r="I806" s="11"/>
      <c r="J806" s="11"/>
      <c r="K806" s="11"/>
      <c r="L806" s="11"/>
      <c r="M806" s="11"/>
      <c r="N806" s="11"/>
      <c r="O806" s="11"/>
      <c r="P806" s="11"/>
      <c r="Q806" s="11"/>
      <c r="R806" s="11"/>
      <c r="S806" s="11"/>
      <c r="T806" s="11"/>
      <c r="U806" s="11"/>
      <c r="V806" s="11"/>
    </row>
    <row r="807" spans="1:22" ht="14.5" x14ac:dyDescent="0.35">
      <c r="A807" s="11"/>
      <c r="B807" s="11"/>
      <c r="C807" s="11"/>
      <c r="D807" s="11"/>
      <c r="E807" s="11"/>
      <c r="F807" s="11"/>
      <c r="G807" s="11"/>
      <c r="H807" s="11"/>
      <c r="I807" s="11"/>
      <c r="J807" s="11"/>
      <c r="K807" s="11"/>
      <c r="L807" s="11"/>
      <c r="M807" s="11"/>
      <c r="N807" s="11"/>
      <c r="O807" s="11"/>
      <c r="P807" s="11"/>
      <c r="Q807" s="11"/>
      <c r="R807" s="11"/>
      <c r="S807" s="11"/>
      <c r="T807" s="11"/>
      <c r="U807" s="11"/>
      <c r="V807" s="11"/>
    </row>
    <row r="808" spans="1:22" ht="14.5" x14ac:dyDescent="0.35">
      <c r="A808" s="11"/>
      <c r="B808" s="11"/>
      <c r="C808" s="11"/>
      <c r="D808" s="11"/>
      <c r="E808" s="11"/>
      <c r="F808" s="11"/>
      <c r="G808" s="11"/>
      <c r="H808" s="11"/>
      <c r="I808" s="11"/>
      <c r="J808" s="11"/>
      <c r="K808" s="11"/>
      <c r="L808" s="11"/>
      <c r="M808" s="11"/>
      <c r="N808" s="11"/>
      <c r="O808" s="11"/>
      <c r="P808" s="11"/>
      <c r="Q808" s="11"/>
      <c r="R808" s="11"/>
      <c r="S808" s="11"/>
      <c r="T808" s="11"/>
      <c r="U808" s="11"/>
      <c r="V808" s="11"/>
    </row>
    <row r="809" spans="1:22" ht="14.5" x14ac:dyDescent="0.35">
      <c r="A809" s="11"/>
      <c r="B809" s="11"/>
      <c r="C809" s="11"/>
      <c r="D809" s="11"/>
      <c r="E809" s="11"/>
      <c r="F809" s="11"/>
      <c r="G809" s="11"/>
      <c r="H809" s="11"/>
      <c r="I809" s="11"/>
      <c r="J809" s="11"/>
      <c r="K809" s="11"/>
      <c r="L809" s="11"/>
      <c r="M809" s="11"/>
      <c r="N809" s="11"/>
      <c r="O809" s="11"/>
      <c r="P809" s="11"/>
      <c r="Q809" s="11"/>
      <c r="R809" s="11"/>
      <c r="S809" s="11"/>
      <c r="T809" s="11"/>
      <c r="U809" s="11"/>
      <c r="V809" s="11"/>
    </row>
    <row r="810" spans="1:22" ht="14.5" x14ac:dyDescent="0.35">
      <c r="A810" s="11"/>
      <c r="B810" s="11"/>
      <c r="C810" s="11"/>
      <c r="D810" s="11"/>
      <c r="E810" s="11"/>
      <c r="F810" s="11"/>
      <c r="G810" s="11"/>
      <c r="H810" s="11"/>
      <c r="I810" s="11"/>
      <c r="J810" s="11"/>
      <c r="K810" s="11"/>
      <c r="L810" s="11"/>
      <c r="M810" s="11"/>
      <c r="N810" s="11"/>
      <c r="O810" s="11"/>
      <c r="P810" s="11"/>
      <c r="Q810" s="11"/>
      <c r="R810" s="11"/>
      <c r="S810" s="11"/>
      <c r="T810" s="11"/>
      <c r="U810" s="11"/>
      <c r="V810" s="11"/>
    </row>
    <row r="811" spans="1:22" ht="14.5" x14ac:dyDescent="0.35">
      <c r="A811" s="11"/>
      <c r="B811" s="11"/>
      <c r="C811" s="11"/>
      <c r="D811" s="11"/>
      <c r="E811" s="11"/>
      <c r="F811" s="11"/>
      <c r="G811" s="11"/>
      <c r="H811" s="11"/>
      <c r="I811" s="11"/>
      <c r="J811" s="11"/>
      <c r="K811" s="11"/>
      <c r="L811" s="11"/>
      <c r="M811" s="11"/>
      <c r="N811" s="11"/>
      <c r="O811" s="11"/>
      <c r="P811" s="11"/>
      <c r="Q811" s="11"/>
      <c r="R811" s="11"/>
      <c r="S811" s="11"/>
      <c r="T811" s="11"/>
      <c r="U811" s="11"/>
      <c r="V811" s="11"/>
    </row>
    <row r="812" spans="1:22" ht="14.5" x14ac:dyDescent="0.35">
      <c r="A812" s="11"/>
      <c r="B812" s="11"/>
      <c r="C812" s="11"/>
      <c r="D812" s="11"/>
      <c r="E812" s="11"/>
      <c r="F812" s="11"/>
      <c r="G812" s="11"/>
      <c r="H812" s="11"/>
      <c r="I812" s="11"/>
      <c r="J812" s="11"/>
      <c r="K812" s="11"/>
      <c r="L812" s="11"/>
      <c r="M812" s="11"/>
      <c r="N812" s="11"/>
      <c r="O812" s="11"/>
      <c r="P812" s="11"/>
      <c r="Q812" s="11"/>
      <c r="R812" s="11"/>
      <c r="S812" s="11"/>
      <c r="T812" s="11"/>
      <c r="U812" s="11"/>
      <c r="V812" s="11"/>
    </row>
    <row r="813" spans="1:22" ht="14.5" x14ac:dyDescent="0.35">
      <c r="A813" s="11"/>
      <c r="B813" s="11"/>
      <c r="C813" s="11"/>
      <c r="D813" s="11"/>
      <c r="E813" s="11"/>
      <c r="F813" s="11"/>
      <c r="G813" s="11"/>
      <c r="H813" s="11"/>
      <c r="I813" s="11"/>
      <c r="J813" s="11"/>
      <c r="K813" s="11"/>
      <c r="L813" s="11"/>
      <c r="M813" s="11"/>
      <c r="N813" s="11"/>
      <c r="O813" s="11"/>
      <c r="P813" s="11"/>
      <c r="Q813" s="11"/>
      <c r="R813" s="11"/>
      <c r="S813" s="11"/>
      <c r="T813" s="11"/>
      <c r="U813" s="11"/>
      <c r="V813" s="11"/>
    </row>
    <row r="814" spans="1:22" ht="14.5" x14ac:dyDescent="0.35">
      <c r="A814" s="11"/>
      <c r="B814" s="11"/>
      <c r="C814" s="11"/>
      <c r="D814" s="11"/>
      <c r="E814" s="11"/>
      <c r="F814" s="11"/>
      <c r="G814" s="11"/>
      <c r="H814" s="11"/>
      <c r="I814" s="11"/>
      <c r="J814" s="11"/>
      <c r="K814" s="11"/>
      <c r="L814" s="11"/>
      <c r="M814" s="11"/>
      <c r="N814" s="11"/>
      <c r="O814" s="11"/>
      <c r="P814" s="11"/>
      <c r="Q814" s="11"/>
      <c r="R814" s="11"/>
      <c r="S814" s="11"/>
      <c r="T814" s="11"/>
      <c r="U814" s="11"/>
      <c r="V814" s="11"/>
    </row>
    <row r="815" spans="1:22" ht="14.5" x14ac:dyDescent="0.35">
      <c r="A815" s="11"/>
      <c r="B815" s="11"/>
      <c r="C815" s="11"/>
      <c r="D815" s="11"/>
      <c r="E815" s="11"/>
      <c r="F815" s="11"/>
      <c r="G815" s="11"/>
      <c r="H815" s="11"/>
      <c r="I815" s="11"/>
      <c r="J815" s="11"/>
      <c r="K815" s="11"/>
      <c r="L815" s="11"/>
      <c r="M815" s="11"/>
      <c r="N815" s="11"/>
      <c r="O815" s="11"/>
      <c r="P815" s="11"/>
      <c r="Q815" s="11"/>
      <c r="R815" s="11"/>
      <c r="S815" s="11"/>
      <c r="T815" s="11"/>
      <c r="U815" s="11"/>
      <c r="V815" s="11"/>
    </row>
    <row r="816" spans="1:22" ht="14.5" x14ac:dyDescent="0.35">
      <c r="A816" s="11"/>
      <c r="B816" s="11"/>
      <c r="C816" s="11"/>
      <c r="D816" s="11"/>
      <c r="E816" s="11"/>
      <c r="F816" s="11"/>
      <c r="G816" s="11"/>
      <c r="H816" s="11"/>
      <c r="I816" s="11"/>
      <c r="J816" s="11"/>
      <c r="K816" s="11"/>
      <c r="L816" s="11"/>
      <c r="M816" s="11"/>
      <c r="N816" s="11"/>
      <c r="O816" s="11"/>
      <c r="P816" s="11"/>
      <c r="Q816" s="11"/>
      <c r="R816" s="11"/>
      <c r="S816" s="11"/>
      <c r="T816" s="11"/>
      <c r="U816" s="11"/>
      <c r="V816" s="11"/>
    </row>
    <row r="817" spans="1:22" ht="14.5" x14ac:dyDescent="0.35">
      <c r="A817" s="11"/>
      <c r="B817" s="11"/>
      <c r="C817" s="11"/>
      <c r="D817" s="11"/>
      <c r="E817" s="11"/>
      <c r="F817" s="11"/>
      <c r="G817" s="11"/>
      <c r="H817" s="11"/>
      <c r="I817" s="11"/>
      <c r="J817" s="11"/>
      <c r="K817" s="11"/>
      <c r="L817" s="11"/>
      <c r="M817" s="11"/>
      <c r="N817" s="11"/>
      <c r="O817" s="11"/>
      <c r="P817" s="11"/>
      <c r="Q817" s="11"/>
      <c r="R817" s="11"/>
      <c r="S817" s="11"/>
      <c r="T817" s="11"/>
      <c r="U817" s="11"/>
      <c r="V817" s="11"/>
    </row>
    <row r="818" spans="1:22" ht="14.5" x14ac:dyDescent="0.35">
      <c r="A818" s="11"/>
      <c r="B818" s="11"/>
      <c r="C818" s="11"/>
      <c r="D818" s="11"/>
      <c r="E818" s="11"/>
      <c r="F818" s="11"/>
      <c r="G818" s="11"/>
      <c r="H818" s="11"/>
      <c r="I818" s="11"/>
      <c r="J818" s="11"/>
      <c r="K818" s="11"/>
      <c r="L818" s="11"/>
      <c r="M818" s="11"/>
      <c r="N818" s="11"/>
      <c r="O818" s="11"/>
      <c r="P818" s="11"/>
      <c r="Q818" s="11"/>
      <c r="R818" s="11"/>
      <c r="S818" s="11"/>
      <c r="T818" s="11"/>
      <c r="U818" s="11"/>
      <c r="V818" s="11"/>
    </row>
    <row r="819" spans="1:22" ht="14.5" x14ac:dyDescent="0.35">
      <c r="A819" s="11"/>
      <c r="B819" s="11"/>
      <c r="C819" s="11"/>
      <c r="D819" s="11"/>
      <c r="E819" s="11"/>
      <c r="F819" s="11"/>
      <c r="G819" s="11"/>
      <c r="H819" s="11"/>
      <c r="I819" s="11"/>
      <c r="J819" s="11"/>
      <c r="K819" s="11"/>
      <c r="L819" s="11"/>
      <c r="M819" s="11"/>
      <c r="N819" s="11"/>
      <c r="O819" s="11"/>
      <c r="P819" s="11"/>
      <c r="Q819" s="11"/>
      <c r="R819" s="11"/>
      <c r="S819" s="11"/>
      <c r="T819" s="11"/>
      <c r="U819" s="11"/>
      <c r="V819" s="11"/>
    </row>
    <row r="820" spans="1:22" ht="14.5" x14ac:dyDescent="0.35">
      <c r="A820" s="11"/>
      <c r="B820" s="11"/>
      <c r="C820" s="11"/>
      <c r="D820" s="11"/>
      <c r="E820" s="11"/>
      <c r="F820" s="11"/>
      <c r="G820" s="11"/>
      <c r="H820" s="11"/>
      <c r="I820" s="11"/>
      <c r="J820" s="11"/>
      <c r="K820" s="11"/>
      <c r="L820" s="11"/>
      <c r="M820" s="11"/>
      <c r="N820" s="11"/>
      <c r="O820" s="11"/>
      <c r="P820" s="11"/>
      <c r="Q820" s="11"/>
      <c r="R820" s="11"/>
      <c r="S820" s="11"/>
      <c r="T820" s="11"/>
      <c r="U820" s="11"/>
      <c r="V820" s="11"/>
    </row>
    <row r="821" spans="1:22" ht="14.5" x14ac:dyDescent="0.35">
      <c r="A821" s="11"/>
      <c r="B821" s="11"/>
      <c r="C821" s="11"/>
      <c r="D821" s="11"/>
      <c r="E821" s="11"/>
      <c r="F821" s="11"/>
      <c r="G821" s="11"/>
      <c r="H821" s="11"/>
      <c r="I821" s="11"/>
      <c r="J821" s="11"/>
      <c r="K821" s="11"/>
      <c r="L821" s="11"/>
      <c r="M821" s="11"/>
      <c r="N821" s="11"/>
      <c r="O821" s="11"/>
      <c r="P821" s="11"/>
      <c r="Q821" s="11"/>
      <c r="R821" s="11"/>
      <c r="S821" s="11"/>
      <c r="T821" s="11"/>
      <c r="U821" s="11"/>
      <c r="V821" s="11"/>
    </row>
    <row r="822" spans="1:22" ht="14.5" x14ac:dyDescent="0.35">
      <c r="A822" s="11"/>
      <c r="B822" s="11"/>
      <c r="C822" s="11"/>
      <c r="D822" s="11"/>
      <c r="E822" s="11"/>
      <c r="F822" s="11"/>
      <c r="G822" s="11"/>
      <c r="H822" s="11"/>
      <c r="I822" s="11"/>
      <c r="J822" s="11"/>
      <c r="K822" s="11"/>
      <c r="L822" s="11"/>
      <c r="M822" s="11"/>
      <c r="N822" s="11"/>
      <c r="O822" s="11"/>
      <c r="P822" s="11"/>
      <c r="Q822" s="11"/>
      <c r="R822" s="11"/>
      <c r="S822" s="11"/>
      <c r="T822" s="11"/>
      <c r="U822" s="11"/>
      <c r="V822" s="11"/>
    </row>
    <row r="823" spans="1:22" ht="14.5" x14ac:dyDescent="0.35">
      <c r="A823" s="11"/>
      <c r="B823" s="11"/>
      <c r="C823" s="11"/>
      <c r="D823" s="11"/>
      <c r="E823" s="11"/>
      <c r="F823" s="11"/>
      <c r="G823" s="11"/>
      <c r="H823" s="11"/>
      <c r="I823" s="11"/>
      <c r="J823" s="11"/>
      <c r="K823" s="11"/>
      <c r="L823" s="11"/>
      <c r="M823" s="11"/>
      <c r="N823" s="11"/>
      <c r="O823" s="11"/>
      <c r="P823" s="11"/>
      <c r="Q823" s="11"/>
      <c r="R823" s="11"/>
      <c r="S823" s="11"/>
      <c r="T823" s="11"/>
      <c r="U823" s="11"/>
      <c r="V823" s="11"/>
    </row>
    <row r="824" spans="1:22" ht="14.5" x14ac:dyDescent="0.35">
      <c r="A824" s="11"/>
      <c r="B824" s="11"/>
      <c r="C824" s="11"/>
      <c r="D824" s="11"/>
      <c r="E824" s="11"/>
      <c r="F824" s="11"/>
      <c r="G824" s="11"/>
      <c r="H824" s="11"/>
      <c r="I824" s="11"/>
      <c r="J824" s="11"/>
      <c r="K824" s="11"/>
      <c r="L824" s="11"/>
      <c r="M824" s="11"/>
      <c r="N824" s="11"/>
      <c r="O824" s="11"/>
      <c r="P824" s="11"/>
      <c r="Q824" s="11"/>
      <c r="R824" s="11"/>
      <c r="S824" s="11"/>
      <c r="T824" s="11"/>
      <c r="U824" s="11"/>
      <c r="V824" s="11"/>
    </row>
    <row r="825" spans="1:22" ht="14.5" x14ac:dyDescent="0.35">
      <c r="A825" s="11"/>
      <c r="B825" s="11"/>
      <c r="C825" s="11"/>
      <c r="D825" s="11"/>
      <c r="E825" s="11"/>
      <c r="F825" s="11"/>
      <c r="G825" s="11"/>
      <c r="H825" s="11"/>
      <c r="I825" s="11"/>
      <c r="J825" s="11"/>
      <c r="K825" s="11"/>
      <c r="L825" s="11"/>
      <c r="M825" s="11"/>
      <c r="N825" s="11"/>
      <c r="O825" s="11"/>
      <c r="P825" s="11"/>
      <c r="Q825" s="11"/>
      <c r="R825" s="11"/>
      <c r="S825" s="11"/>
      <c r="T825" s="11"/>
      <c r="U825" s="11"/>
      <c r="V825" s="11"/>
    </row>
    <row r="826" spans="1:22" ht="14.5" x14ac:dyDescent="0.35">
      <c r="A826" s="11"/>
      <c r="B826" s="11"/>
      <c r="C826" s="11"/>
      <c r="D826" s="11"/>
      <c r="E826" s="11"/>
      <c r="F826" s="11"/>
      <c r="G826" s="11"/>
      <c r="H826" s="11"/>
      <c r="I826" s="11"/>
      <c r="J826" s="11"/>
      <c r="K826" s="11"/>
      <c r="L826" s="11"/>
      <c r="M826" s="11"/>
      <c r="N826" s="11"/>
      <c r="O826" s="11"/>
      <c r="P826" s="11"/>
      <c r="Q826" s="11"/>
      <c r="R826" s="11"/>
      <c r="S826" s="11"/>
      <c r="T826" s="11"/>
      <c r="U826" s="11"/>
      <c r="V826" s="11"/>
    </row>
    <row r="827" spans="1:22" ht="14.5" x14ac:dyDescent="0.35">
      <c r="A827" s="11"/>
      <c r="B827" s="11"/>
      <c r="C827" s="11"/>
      <c r="D827" s="11"/>
      <c r="E827" s="11"/>
      <c r="F827" s="11"/>
      <c r="G827" s="11"/>
      <c r="H827" s="11"/>
      <c r="I827" s="11"/>
      <c r="J827" s="11"/>
      <c r="K827" s="11"/>
      <c r="L827" s="11"/>
      <c r="M827" s="11"/>
      <c r="N827" s="11"/>
      <c r="O827" s="11"/>
      <c r="P827" s="11"/>
      <c r="Q827" s="11"/>
      <c r="R827" s="11"/>
      <c r="S827" s="11"/>
      <c r="T827" s="11"/>
      <c r="U827" s="11"/>
      <c r="V827" s="11"/>
    </row>
    <row r="828" spans="1:22" ht="14.5" x14ac:dyDescent="0.35">
      <c r="A828" s="11"/>
      <c r="B828" s="11"/>
      <c r="C828" s="11"/>
      <c r="D828" s="11"/>
      <c r="E828" s="11"/>
      <c r="F828" s="11"/>
      <c r="G828" s="11"/>
      <c r="H828" s="11"/>
      <c r="I828" s="11"/>
      <c r="J828" s="11"/>
      <c r="K828" s="11"/>
      <c r="L828" s="11"/>
      <c r="M828" s="11"/>
      <c r="N828" s="11"/>
      <c r="O828" s="11"/>
      <c r="P828" s="11"/>
      <c r="Q828" s="11"/>
      <c r="R828" s="11"/>
      <c r="S828" s="11"/>
      <c r="T828" s="11"/>
      <c r="U828" s="11"/>
      <c r="V828" s="11"/>
    </row>
    <row r="829" spans="1:22" ht="14.5" x14ac:dyDescent="0.35">
      <c r="A829" s="11"/>
      <c r="B829" s="11"/>
      <c r="C829" s="11"/>
      <c r="D829" s="11"/>
      <c r="E829" s="11"/>
      <c r="F829" s="11"/>
      <c r="G829" s="11"/>
      <c r="H829" s="11"/>
      <c r="I829" s="11"/>
      <c r="J829" s="11"/>
      <c r="K829" s="11"/>
      <c r="L829" s="11"/>
      <c r="M829" s="11"/>
      <c r="N829" s="11"/>
      <c r="O829" s="11"/>
      <c r="P829" s="11"/>
      <c r="Q829" s="11"/>
      <c r="R829" s="11"/>
      <c r="S829" s="11"/>
      <c r="T829" s="11"/>
      <c r="U829" s="11"/>
      <c r="V829" s="11"/>
    </row>
    <row r="830" spans="1:22" ht="14.5" x14ac:dyDescent="0.35">
      <c r="A830" s="11"/>
      <c r="B830" s="11"/>
      <c r="C830" s="11"/>
      <c r="D830" s="11"/>
      <c r="E830" s="11"/>
      <c r="F830" s="11"/>
      <c r="G830" s="11"/>
      <c r="H830" s="11"/>
      <c r="I830" s="11"/>
      <c r="J830" s="11"/>
      <c r="K830" s="11"/>
      <c r="L830" s="11"/>
      <c r="M830" s="11"/>
      <c r="N830" s="11"/>
      <c r="O830" s="11"/>
      <c r="P830" s="11"/>
      <c r="Q830" s="11"/>
      <c r="R830" s="11"/>
      <c r="S830" s="11"/>
      <c r="T830" s="11"/>
      <c r="U830" s="11"/>
      <c r="V830" s="11"/>
    </row>
    <row r="831" spans="1:22" ht="14.5" x14ac:dyDescent="0.35">
      <c r="A831" s="11"/>
      <c r="B831" s="11"/>
      <c r="C831" s="11"/>
      <c r="D831" s="11"/>
      <c r="E831" s="11"/>
      <c r="F831" s="11"/>
      <c r="G831" s="11"/>
      <c r="H831" s="11"/>
      <c r="I831" s="11"/>
      <c r="J831" s="11"/>
      <c r="K831" s="11"/>
      <c r="L831" s="11"/>
      <c r="M831" s="11"/>
      <c r="N831" s="11"/>
      <c r="O831" s="11"/>
      <c r="P831" s="11"/>
      <c r="Q831" s="11"/>
      <c r="R831" s="11"/>
      <c r="S831" s="11"/>
      <c r="T831" s="11"/>
      <c r="U831" s="11"/>
      <c r="V831" s="11"/>
    </row>
    <row r="832" spans="1:22" ht="14.5" x14ac:dyDescent="0.35">
      <c r="A832" s="11"/>
      <c r="B832" s="11"/>
      <c r="C832" s="11"/>
      <c r="D832" s="11"/>
      <c r="E832" s="11"/>
      <c r="F832" s="11"/>
      <c r="G832" s="11"/>
      <c r="H832" s="11"/>
      <c r="I832" s="11"/>
      <c r="J832" s="11"/>
      <c r="K832" s="11"/>
      <c r="L832" s="11"/>
      <c r="M832" s="11"/>
      <c r="N832" s="11"/>
      <c r="O832" s="11"/>
      <c r="P832" s="11"/>
      <c r="Q832" s="11"/>
      <c r="R832" s="11"/>
      <c r="S832" s="11"/>
      <c r="T832" s="11"/>
      <c r="U832" s="11"/>
      <c r="V832" s="11"/>
    </row>
    <row r="833" spans="1:22" ht="14.5" x14ac:dyDescent="0.35">
      <c r="A833" s="11"/>
      <c r="B833" s="11"/>
      <c r="C833" s="11"/>
      <c r="D833" s="11"/>
      <c r="E833" s="11"/>
      <c r="F833" s="11"/>
      <c r="G833" s="11"/>
      <c r="H833" s="11"/>
      <c r="I833" s="11"/>
      <c r="J833" s="11"/>
      <c r="K833" s="11"/>
      <c r="L833" s="11"/>
      <c r="M833" s="11"/>
      <c r="N833" s="11"/>
      <c r="O833" s="11"/>
      <c r="P833" s="11"/>
      <c r="Q833" s="11"/>
      <c r="R833" s="11"/>
      <c r="S833" s="11"/>
      <c r="T833" s="11"/>
      <c r="U833" s="11"/>
      <c r="V833" s="11"/>
    </row>
    <row r="834" spans="1:22" ht="14.5" x14ac:dyDescent="0.35">
      <c r="A834" s="11"/>
      <c r="B834" s="11"/>
      <c r="C834" s="11"/>
      <c r="D834" s="11"/>
      <c r="E834" s="11"/>
      <c r="F834" s="11"/>
      <c r="G834" s="11"/>
      <c r="H834" s="11"/>
      <c r="I834" s="11"/>
      <c r="J834" s="11"/>
      <c r="K834" s="11"/>
      <c r="L834" s="11"/>
      <c r="M834" s="11"/>
      <c r="N834" s="11"/>
      <c r="O834" s="11"/>
      <c r="P834" s="11"/>
      <c r="Q834" s="11"/>
      <c r="R834" s="11"/>
      <c r="S834" s="11"/>
      <c r="T834" s="11"/>
      <c r="U834" s="11"/>
      <c r="V834" s="11"/>
    </row>
    <row r="835" spans="1:22" ht="14.5" x14ac:dyDescent="0.35">
      <c r="A835" s="11"/>
      <c r="B835" s="11"/>
      <c r="C835" s="11"/>
      <c r="D835" s="11"/>
      <c r="E835" s="11"/>
      <c r="F835" s="11"/>
      <c r="G835" s="11"/>
      <c r="H835" s="11"/>
      <c r="I835" s="11"/>
      <c r="J835" s="11"/>
      <c r="K835" s="11"/>
      <c r="L835" s="11"/>
      <c r="M835" s="11"/>
      <c r="N835" s="11"/>
      <c r="O835" s="11"/>
      <c r="P835" s="11"/>
      <c r="Q835" s="11"/>
      <c r="R835" s="11"/>
      <c r="S835" s="11"/>
      <c r="T835" s="11"/>
      <c r="U835" s="11"/>
      <c r="V835" s="11"/>
    </row>
    <row r="836" spans="1:22" ht="14.5" x14ac:dyDescent="0.35">
      <c r="A836" s="11"/>
      <c r="B836" s="11"/>
      <c r="C836" s="11"/>
      <c r="D836" s="11"/>
      <c r="E836" s="11"/>
      <c r="F836" s="11"/>
      <c r="G836" s="11"/>
      <c r="H836" s="11"/>
      <c r="I836" s="11"/>
      <c r="J836" s="11"/>
      <c r="K836" s="11"/>
      <c r="L836" s="11"/>
      <c r="M836" s="11"/>
      <c r="N836" s="11"/>
      <c r="O836" s="11"/>
      <c r="P836" s="11"/>
      <c r="Q836" s="11"/>
      <c r="R836" s="11"/>
      <c r="S836" s="11"/>
      <c r="T836" s="11"/>
      <c r="U836" s="11"/>
      <c r="V836" s="11"/>
    </row>
    <row r="837" spans="1:22" ht="14.5" x14ac:dyDescent="0.35">
      <c r="A837" s="11"/>
      <c r="B837" s="11"/>
      <c r="C837" s="11"/>
      <c r="D837" s="11"/>
      <c r="E837" s="11"/>
      <c r="F837" s="11"/>
      <c r="G837" s="11"/>
      <c r="H837" s="11"/>
      <c r="I837" s="11"/>
      <c r="J837" s="11"/>
      <c r="K837" s="11"/>
      <c r="L837" s="11"/>
      <c r="M837" s="11"/>
      <c r="N837" s="11"/>
      <c r="O837" s="11"/>
      <c r="P837" s="11"/>
      <c r="Q837" s="11"/>
      <c r="R837" s="11"/>
      <c r="S837" s="11"/>
      <c r="T837" s="11"/>
      <c r="U837" s="11"/>
      <c r="V837" s="11"/>
    </row>
    <row r="838" spans="1:22" ht="14.5" x14ac:dyDescent="0.35">
      <c r="A838" s="11"/>
      <c r="B838" s="11"/>
      <c r="C838" s="11"/>
      <c r="D838" s="11"/>
      <c r="E838" s="11"/>
      <c r="F838" s="11"/>
      <c r="G838" s="11"/>
      <c r="H838" s="11"/>
      <c r="I838" s="11"/>
      <c r="J838" s="11"/>
      <c r="K838" s="11"/>
      <c r="L838" s="11"/>
      <c r="M838" s="11"/>
      <c r="N838" s="11"/>
      <c r="O838" s="11"/>
      <c r="P838" s="11"/>
      <c r="Q838" s="11"/>
      <c r="R838" s="11"/>
      <c r="S838" s="11"/>
      <c r="T838" s="11"/>
      <c r="U838" s="11"/>
      <c r="V838" s="11"/>
    </row>
    <row r="839" spans="1:22" ht="14.5" x14ac:dyDescent="0.35">
      <c r="A839" s="11"/>
      <c r="B839" s="11"/>
      <c r="C839" s="11"/>
      <c r="D839" s="11"/>
      <c r="E839" s="11"/>
      <c r="F839" s="11"/>
      <c r="G839" s="11"/>
      <c r="H839" s="11"/>
      <c r="I839" s="11"/>
      <c r="J839" s="11"/>
      <c r="K839" s="11"/>
      <c r="L839" s="11"/>
      <c r="M839" s="11"/>
      <c r="N839" s="11"/>
      <c r="O839" s="11"/>
      <c r="P839" s="11"/>
      <c r="Q839" s="11"/>
      <c r="R839" s="11"/>
      <c r="S839" s="11"/>
      <c r="T839" s="11"/>
      <c r="U839" s="11"/>
      <c r="V839" s="11"/>
    </row>
    <row r="840" spans="1:22" ht="14.5" x14ac:dyDescent="0.35">
      <c r="A840" s="11"/>
      <c r="B840" s="11"/>
      <c r="C840" s="11"/>
      <c r="D840" s="11"/>
      <c r="E840" s="11"/>
      <c r="F840" s="11"/>
      <c r="G840" s="11"/>
      <c r="H840" s="11"/>
      <c r="I840" s="11"/>
      <c r="J840" s="11"/>
      <c r="K840" s="11"/>
      <c r="L840" s="11"/>
      <c r="M840" s="11"/>
      <c r="N840" s="11"/>
      <c r="O840" s="11"/>
      <c r="P840" s="11"/>
      <c r="Q840" s="11"/>
      <c r="R840" s="11"/>
      <c r="S840" s="11"/>
      <c r="T840" s="11"/>
      <c r="U840" s="11"/>
      <c r="V840" s="11"/>
    </row>
    <row r="841" spans="1:22" ht="14.5" x14ac:dyDescent="0.35">
      <c r="A841" s="11"/>
      <c r="B841" s="11"/>
      <c r="C841" s="11"/>
      <c r="D841" s="11"/>
      <c r="E841" s="11"/>
      <c r="F841" s="11"/>
      <c r="G841" s="11"/>
      <c r="H841" s="11"/>
      <c r="I841" s="11"/>
      <c r="J841" s="11"/>
      <c r="K841" s="11"/>
      <c r="L841" s="11"/>
      <c r="M841" s="11"/>
      <c r="N841" s="11"/>
      <c r="O841" s="11"/>
      <c r="P841" s="11"/>
      <c r="Q841" s="11"/>
      <c r="R841" s="11"/>
      <c r="S841" s="11"/>
      <c r="T841" s="11"/>
      <c r="U841" s="11"/>
      <c r="V841" s="11"/>
    </row>
    <row r="842" spans="1:22" ht="14.5" x14ac:dyDescent="0.35">
      <c r="A842" s="11"/>
      <c r="B842" s="11"/>
      <c r="C842" s="11"/>
      <c r="D842" s="11"/>
      <c r="E842" s="11"/>
      <c r="F842" s="11"/>
      <c r="G842" s="11"/>
      <c r="H842" s="11"/>
      <c r="I842" s="11"/>
      <c r="J842" s="11"/>
      <c r="K842" s="11"/>
      <c r="L842" s="11"/>
      <c r="M842" s="11"/>
      <c r="N842" s="11"/>
      <c r="O842" s="11"/>
      <c r="P842" s="11"/>
      <c r="Q842" s="11"/>
      <c r="R842" s="11"/>
      <c r="S842" s="11"/>
      <c r="T842" s="11"/>
      <c r="U842" s="11"/>
      <c r="V842" s="11"/>
    </row>
    <row r="843" spans="1:22" ht="14.5" x14ac:dyDescent="0.35">
      <c r="A843" s="11"/>
      <c r="B843" s="11"/>
      <c r="C843" s="11"/>
      <c r="D843" s="11"/>
      <c r="E843" s="11"/>
      <c r="F843" s="11"/>
      <c r="G843" s="11"/>
      <c r="H843" s="11"/>
      <c r="I843" s="11"/>
      <c r="J843" s="11"/>
      <c r="K843" s="11"/>
      <c r="L843" s="11"/>
      <c r="M843" s="11"/>
      <c r="N843" s="11"/>
      <c r="O843" s="11"/>
      <c r="P843" s="11"/>
      <c r="Q843" s="11"/>
      <c r="R843" s="11"/>
      <c r="S843" s="11"/>
      <c r="T843" s="11"/>
      <c r="U843" s="11"/>
      <c r="V843" s="11"/>
    </row>
    <row r="844" spans="1:22" ht="14.5" x14ac:dyDescent="0.35">
      <c r="A844" s="11"/>
      <c r="B844" s="11"/>
      <c r="C844" s="11"/>
      <c r="D844" s="11"/>
      <c r="E844" s="11"/>
      <c r="F844" s="11"/>
      <c r="G844" s="11"/>
      <c r="H844" s="11"/>
      <c r="I844" s="11"/>
      <c r="J844" s="11"/>
      <c r="K844" s="11"/>
      <c r="L844" s="11"/>
      <c r="M844" s="11"/>
      <c r="N844" s="11"/>
      <c r="O844" s="11"/>
      <c r="P844" s="11"/>
      <c r="Q844" s="11"/>
      <c r="R844" s="11"/>
      <c r="S844" s="11"/>
      <c r="T844" s="11"/>
      <c r="U844" s="11"/>
      <c r="V844" s="11"/>
    </row>
    <row r="845" spans="1:22" ht="14.5" x14ac:dyDescent="0.35">
      <c r="A845" s="11"/>
      <c r="B845" s="11"/>
      <c r="C845" s="11"/>
      <c r="D845" s="11"/>
      <c r="E845" s="11"/>
      <c r="F845" s="11"/>
      <c r="G845" s="11"/>
      <c r="H845" s="11"/>
      <c r="I845" s="11"/>
      <c r="J845" s="11"/>
      <c r="K845" s="11"/>
      <c r="L845" s="11"/>
      <c r="M845" s="11"/>
      <c r="N845" s="11"/>
      <c r="O845" s="11"/>
      <c r="P845" s="11"/>
      <c r="Q845" s="11"/>
      <c r="R845" s="11"/>
      <c r="S845" s="11"/>
      <c r="T845" s="11"/>
      <c r="U845" s="11"/>
      <c r="V845" s="11"/>
    </row>
    <row r="846" spans="1:22" ht="14.5" x14ac:dyDescent="0.35">
      <c r="A846" s="11"/>
      <c r="B846" s="11"/>
      <c r="C846" s="11"/>
      <c r="D846" s="11"/>
      <c r="E846" s="11"/>
      <c r="F846" s="11"/>
      <c r="G846" s="11"/>
      <c r="H846" s="11"/>
      <c r="I846" s="11"/>
      <c r="J846" s="11"/>
      <c r="K846" s="11"/>
      <c r="L846" s="11"/>
      <c r="M846" s="11"/>
      <c r="N846" s="11"/>
      <c r="O846" s="11"/>
      <c r="P846" s="11"/>
      <c r="Q846" s="11"/>
      <c r="R846" s="11"/>
      <c r="S846" s="11"/>
      <c r="T846" s="11"/>
      <c r="U846" s="11"/>
      <c r="V846" s="11"/>
    </row>
    <row r="847" spans="1:22" ht="14.5" x14ac:dyDescent="0.35">
      <c r="A847" s="11"/>
      <c r="B847" s="11"/>
      <c r="C847" s="11"/>
      <c r="D847" s="11"/>
      <c r="E847" s="11"/>
      <c r="F847" s="11"/>
      <c r="G847" s="11"/>
      <c r="H847" s="11"/>
      <c r="I847" s="11"/>
      <c r="J847" s="11"/>
      <c r="K847" s="11"/>
      <c r="L847" s="11"/>
      <c r="M847" s="11"/>
      <c r="N847" s="11"/>
      <c r="O847" s="11"/>
      <c r="P847" s="11"/>
      <c r="Q847" s="11"/>
      <c r="R847" s="11"/>
      <c r="S847" s="11"/>
      <c r="T847" s="11"/>
      <c r="U847" s="11"/>
      <c r="V847" s="11"/>
    </row>
    <row r="848" spans="1:22" ht="14.5" x14ac:dyDescent="0.35">
      <c r="A848" s="11"/>
      <c r="B848" s="11"/>
      <c r="C848" s="11"/>
      <c r="D848" s="11"/>
      <c r="E848" s="11"/>
      <c r="F848" s="11"/>
      <c r="G848" s="11"/>
      <c r="H848" s="11"/>
      <c r="I848" s="11"/>
      <c r="J848" s="11"/>
      <c r="K848" s="11"/>
      <c r="L848" s="11"/>
      <c r="M848" s="11"/>
      <c r="N848" s="11"/>
      <c r="O848" s="11"/>
      <c r="P848" s="11"/>
      <c r="Q848" s="11"/>
      <c r="R848" s="11"/>
      <c r="S848" s="11"/>
      <c r="T848" s="11"/>
      <c r="U848" s="11"/>
      <c r="V848" s="11"/>
    </row>
    <row r="849" spans="1:22" ht="14.5" x14ac:dyDescent="0.35">
      <c r="A849" s="11"/>
      <c r="B849" s="11"/>
      <c r="C849" s="11"/>
      <c r="D849" s="11"/>
      <c r="E849" s="11"/>
      <c r="F849" s="11"/>
      <c r="G849" s="11"/>
      <c r="H849" s="11"/>
      <c r="I849" s="11"/>
      <c r="J849" s="11"/>
      <c r="K849" s="11"/>
      <c r="L849" s="11"/>
      <c r="M849" s="11"/>
      <c r="N849" s="11"/>
      <c r="O849" s="11"/>
      <c r="P849" s="11"/>
      <c r="Q849" s="11"/>
      <c r="R849" s="11"/>
      <c r="S849" s="11"/>
      <c r="T849" s="11"/>
      <c r="U849" s="11"/>
      <c r="V849" s="11"/>
    </row>
    <row r="850" spans="1:22" ht="14.5" x14ac:dyDescent="0.35">
      <c r="A850" s="11"/>
      <c r="B850" s="11"/>
      <c r="C850" s="11"/>
      <c r="D850" s="11"/>
      <c r="E850" s="11"/>
      <c r="F850" s="11"/>
      <c r="G850" s="11"/>
      <c r="H850" s="11"/>
      <c r="I850" s="11"/>
      <c r="J850" s="11"/>
      <c r="K850" s="11"/>
      <c r="L850" s="11"/>
      <c r="M850" s="11"/>
      <c r="N850" s="11"/>
      <c r="O850" s="11"/>
      <c r="P850" s="11"/>
      <c r="Q850" s="11"/>
      <c r="R850" s="11"/>
      <c r="S850" s="11"/>
      <c r="T850" s="11"/>
      <c r="U850" s="11"/>
      <c r="V850" s="11"/>
    </row>
    <row r="851" spans="1:22" ht="14.5" x14ac:dyDescent="0.35">
      <c r="A851" s="11"/>
      <c r="B851" s="11"/>
      <c r="C851" s="11"/>
      <c r="D851" s="11"/>
      <c r="E851" s="11"/>
      <c r="F851" s="11"/>
      <c r="G851" s="11"/>
      <c r="H851" s="11"/>
      <c r="I851" s="11"/>
      <c r="J851" s="11"/>
      <c r="K851" s="11"/>
      <c r="L851" s="11"/>
      <c r="M851" s="11"/>
      <c r="N851" s="11"/>
      <c r="O851" s="11"/>
      <c r="P851" s="11"/>
      <c r="Q851" s="11"/>
      <c r="R851" s="11"/>
      <c r="S851" s="11"/>
      <c r="T851" s="11"/>
      <c r="U851" s="11"/>
      <c r="V851" s="11"/>
    </row>
    <row r="852" spans="1:22" ht="14.5" x14ac:dyDescent="0.35">
      <c r="A852" s="11"/>
      <c r="B852" s="11"/>
      <c r="C852" s="11"/>
      <c r="D852" s="11"/>
      <c r="E852" s="11"/>
      <c r="F852" s="11"/>
      <c r="G852" s="11"/>
      <c r="H852" s="11"/>
      <c r="I852" s="11"/>
      <c r="J852" s="11"/>
      <c r="K852" s="11"/>
      <c r="L852" s="11"/>
      <c r="M852" s="11"/>
      <c r="N852" s="11"/>
      <c r="O852" s="11"/>
      <c r="P852" s="11"/>
      <c r="Q852" s="11"/>
      <c r="R852" s="11"/>
      <c r="S852" s="11"/>
      <c r="T852" s="11"/>
      <c r="U852" s="11"/>
      <c r="V852" s="11"/>
    </row>
    <row r="853" spans="1:22" ht="14.5" x14ac:dyDescent="0.35">
      <c r="A853" s="11"/>
      <c r="B853" s="11"/>
      <c r="C853" s="11"/>
      <c r="D853" s="11"/>
      <c r="E853" s="11"/>
      <c r="F853" s="11"/>
      <c r="G853" s="11"/>
      <c r="H853" s="11"/>
      <c r="I853" s="11"/>
      <c r="J853" s="11"/>
      <c r="K853" s="11"/>
      <c r="L853" s="11"/>
      <c r="M853" s="11"/>
      <c r="N853" s="11"/>
      <c r="O853" s="11"/>
      <c r="P853" s="11"/>
      <c r="Q853" s="11"/>
      <c r="R853" s="11"/>
      <c r="S853" s="11"/>
      <c r="T853" s="11"/>
      <c r="U853" s="11"/>
      <c r="V853" s="11"/>
    </row>
    <row r="854" spans="1:22" ht="14.5" x14ac:dyDescent="0.35">
      <c r="A854" s="11"/>
      <c r="B854" s="11"/>
      <c r="C854" s="11"/>
      <c r="D854" s="11"/>
      <c r="E854" s="11"/>
      <c r="F854" s="11"/>
      <c r="G854" s="11"/>
      <c r="H854" s="11"/>
      <c r="I854" s="11"/>
      <c r="J854" s="11"/>
      <c r="K854" s="11"/>
      <c r="L854" s="11"/>
      <c r="M854" s="11"/>
      <c r="N854" s="11"/>
      <c r="O854" s="11"/>
      <c r="P854" s="11"/>
      <c r="Q854" s="11"/>
      <c r="R854" s="11"/>
      <c r="S854" s="11"/>
      <c r="T854" s="11"/>
      <c r="U854" s="11"/>
      <c r="V854" s="11"/>
    </row>
    <row r="855" spans="1:22" ht="14.5" x14ac:dyDescent="0.35">
      <c r="A855" s="11"/>
      <c r="B855" s="11"/>
      <c r="C855" s="11"/>
      <c r="D855" s="11"/>
      <c r="E855" s="11"/>
      <c r="F855" s="11"/>
      <c r="G855" s="11"/>
      <c r="H855" s="11"/>
      <c r="I855" s="11"/>
      <c r="J855" s="11"/>
      <c r="K855" s="11"/>
      <c r="L855" s="11"/>
      <c r="M855" s="11"/>
      <c r="N855" s="11"/>
      <c r="O855" s="11"/>
      <c r="P855" s="11"/>
      <c r="Q855" s="11"/>
      <c r="R855" s="11"/>
      <c r="S855" s="11"/>
      <c r="T855" s="11"/>
      <c r="U855" s="11"/>
      <c r="V855" s="11"/>
    </row>
    <row r="856" spans="1:22" ht="14.5" x14ac:dyDescent="0.35">
      <c r="A856" s="11"/>
      <c r="B856" s="11"/>
      <c r="C856" s="11"/>
      <c r="D856" s="11"/>
      <c r="E856" s="11"/>
      <c r="F856" s="11"/>
      <c r="G856" s="11"/>
      <c r="H856" s="11"/>
      <c r="I856" s="11"/>
      <c r="J856" s="11"/>
      <c r="K856" s="11"/>
      <c r="L856" s="11"/>
      <c r="M856" s="11"/>
      <c r="N856" s="11"/>
      <c r="O856" s="11"/>
      <c r="P856" s="11"/>
      <c r="Q856" s="11"/>
      <c r="R856" s="11"/>
      <c r="S856" s="11"/>
      <c r="T856" s="11"/>
      <c r="U856" s="11"/>
      <c r="V856" s="11"/>
    </row>
    <row r="857" spans="1:22" ht="14.5" x14ac:dyDescent="0.35">
      <c r="A857" s="11"/>
      <c r="B857" s="11"/>
      <c r="C857" s="11"/>
      <c r="D857" s="11"/>
      <c r="E857" s="11"/>
      <c r="F857" s="11"/>
      <c r="G857" s="11"/>
      <c r="H857" s="11"/>
      <c r="I857" s="11"/>
      <c r="J857" s="11"/>
      <c r="K857" s="11"/>
      <c r="L857" s="11"/>
      <c r="M857" s="11"/>
      <c r="N857" s="11"/>
      <c r="O857" s="11"/>
      <c r="P857" s="11"/>
      <c r="Q857" s="11"/>
      <c r="R857" s="11"/>
      <c r="S857" s="11"/>
      <c r="T857" s="11"/>
      <c r="U857" s="11"/>
      <c r="V857" s="11"/>
    </row>
    <row r="858" spans="1:22" ht="14.5" x14ac:dyDescent="0.35">
      <c r="A858" s="11"/>
      <c r="B858" s="11"/>
      <c r="C858" s="11"/>
      <c r="D858" s="11"/>
      <c r="E858" s="11"/>
      <c r="F858" s="11"/>
      <c r="G858" s="11"/>
      <c r="H858" s="11"/>
      <c r="I858" s="11"/>
      <c r="J858" s="11"/>
      <c r="K858" s="11"/>
      <c r="L858" s="11"/>
      <c r="M858" s="11"/>
      <c r="N858" s="11"/>
      <c r="O858" s="11"/>
      <c r="P858" s="11"/>
      <c r="Q858" s="11"/>
      <c r="R858" s="11"/>
      <c r="S858" s="11"/>
      <c r="T858" s="11"/>
      <c r="U858" s="11"/>
      <c r="V858" s="11"/>
    </row>
    <row r="859" spans="1:22" ht="14.5" x14ac:dyDescent="0.35">
      <c r="A859" s="11"/>
      <c r="B859" s="11"/>
      <c r="C859" s="11"/>
      <c r="D859" s="11"/>
      <c r="E859" s="11"/>
      <c r="F859" s="11"/>
      <c r="G859" s="11"/>
      <c r="H859" s="11"/>
      <c r="I859" s="11"/>
      <c r="J859" s="11"/>
      <c r="K859" s="11"/>
      <c r="L859" s="11"/>
      <c r="M859" s="11"/>
      <c r="N859" s="11"/>
      <c r="O859" s="11"/>
      <c r="P859" s="11"/>
      <c r="Q859" s="11"/>
      <c r="R859" s="11"/>
      <c r="S859" s="11"/>
      <c r="T859" s="11"/>
      <c r="U859" s="11"/>
      <c r="V859" s="11"/>
    </row>
    <row r="860" spans="1:22" ht="14.5" x14ac:dyDescent="0.35">
      <c r="A860" s="11"/>
      <c r="B860" s="11"/>
      <c r="C860" s="11"/>
      <c r="D860" s="11"/>
      <c r="E860" s="11"/>
      <c r="F860" s="11"/>
      <c r="G860" s="11"/>
      <c r="H860" s="11"/>
      <c r="I860" s="11"/>
      <c r="J860" s="11"/>
      <c r="K860" s="11"/>
      <c r="L860" s="11"/>
      <c r="M860" s="11"/>
      <c r="N860" s="11"/>
      <c r="O860" s="11"/>
      <c r="P860" s="11"/>
      <c r="Q860" s="11"/>
      <c r="R860" s="11"/>
      <c r="S860" s="11"/>
      <c r="T860" s="11"/>
      <c r="U860" s="11"/>
      <c r="V860" s="11"/>
    </row>
    <row r="861" spans="1:22" ht="14.5" x14ac:dyDescent="0.35">
      <c r="A861" s="11"/>
      <c r="B861" s="11"/>
      <c r="C861" s="11"/>
      <c r="D861" s="11"/>
      <c r="E861" s="11"/>
      <c r="F861" s="11"/>
      <c r="G861" s="11"/>
      <c r="H861" s="11"/>
      <c r="I861" s="11"/>
      <c r="J861" s="11"/>
      <c r="K861" s="11"/>
      <c r="L861" s="11"/>
      <c r="M861" s="11"/>
      <c r="N861" s="11"/>
      <c r="O861" s="11"/>
      <c r="P861" s="11"/>
      <c r="Q861" s="11"/>
      <c r="R861" s="11"/>
      <c r="S861" s="11"/>
      <c r="T861" s="11"/>
      <c r="U861" s="11"/>
      <c r="V861" s="11"/>
    </row>
    <row r="862" spans="1:22" ht="14.5" x14ac:dyDescent="0.35">
      <c r="A862" s="11"/>
      <c r="B862" s="11"/>
      <c r="C862" s="11"/>
      <c r="D862" s="11"/>
      <c r="E862" s="11"/>
      <c r="F862" s="11"/>
      <c r="G862" s="11"/>
      <c r="H862" s="11"/>
      <c r="I862" s="11"/>
      <c r="J862" s="11"/>
      <c r="K862" s="11"/>
      <c r="L862" s="11"/>
      <c r="M862" s="11"/>
      <c r="N862" s="11"/>
      <c r="O862" s="11"/>
      <c r="P862" s="11"/>
      <c r="Q862" s="11"/>
      <c r="R862" s="11"/>
      <c r="S862" s="11"/>
      <c r="T862" s="11"/>
      <c r="U862" s="11"/>
      <c r="V862" s="11"/>
    </row>
    <row r="863" spans="1:22" ht="14.5" x14ac:dyDescent="0.35">
      <c r="A863" s="11"/>
      <c r="B863" s="11"/>
      <c r="C863" s="11"/>
      <c r="D863" s="11"/>
      <c r="E863" s="11"/>
      <c r="F863" s="11"/>
      <c r="G863" s="11"/>
      <c r="H863" s="11"/>
      <c r="I863" s="11"/>
      <c r="J863" s="11"/>
      <c r="K863" s="11"/>
      <c r="L863" s="11"/>
      <c r="M863" s="11"/>
      <c r="N863" s="11"/>
      <c r="O863" s="11"/>
      <c r="P863" s="11"/>
      <c r="Q863" s="11"/>
      <c r="R863" s="11"/>
      <c r="S863" s="11"/>
      <c r="T863" s="11"/>
      <c r="U863" s="11"/>
      <c r="V863" s="11"/>
    </row>
    <row r="864" spans="1:22" ht="14.5" x14ac:dyDescent="0.35">
      <c r="A864" s="11"/>
      <c r="B864" s="11"/>
      <c r="C864" s="11"/>
      <c r="D864" s="11"/>
      <c r="E864" s="11"/>
      <c r="F864" s="11"/>
      <c r="G864" s="11"/>
      <c r="H864" s="11"/>
      <c r="I864" s="11"/>
      <c r="J864" s="11"/>
      <c r="K864" s="11"/>
      <c r="L864" s="11"/>
      <c r="M864" s="11"/>
      <c r="N864" s="11"/>
      <c r="O864" s="11"/>
      <c r="P864" s="11"/>
      <c r="Q864" s="11"/>
      <c r="R864" s="11"/>
      <c r="S864" s="11"/>
      <c r="T864" s="11"/>
      <c r="U864" s="11"/>
      <c r="V864" s="11"/>
    </row>
    <row r="865" spans="1:22" ht="14.5" x14ac:dyDescent="0.35">
      <c r="A865" s="11"/>
      <c r="B865" s="11"/>
      <c r="C865" s="11"/>
      <c r="D865" s="11"/>
      <c r="E865" s="11"/>
      <c r="F865" s="11"/>
      <c r="G865" s="11"/>
      <c r="H865" s="11"/>
      <c r="I865" s="11"/>
      <c r="J865" s="11"/>
      <c r="K865" s="11"/>
      <c r="L865" s="11"/>
      <c r="M865" s="11"/>
      <c r="N865" s="11"/>
      <c r="O865" s="11"/>
      <c r="P865" s="11"/>
      <c r="Q865" s="11"/>
      <c r="R865" s="11"/>
      <c r="S865" s="11"/>
      <c r="T865" s="11"/>
      <c r="U865" s="11"/>
      <c r="V865" s="11"/>
    </row>
    <row r="866" spans="1:22" ht="14.5" x14ac:dyDescent="0.35">
      <c r="A866" s="11"/>
      <c r="B866" s="11"/>
      <c r="C866" s="11"/>
      <c r="D866" s="11"/>
      <c r="E866" s="11"/>
      <c r="F866" s="11"/>
      <c r="G866" s="11"/>
      <c r="H866" s="11"/>
      <c r="I866" s="11"/>
      <c r="J866" s="11"/>
      <c r="K866" s="11"/>
      <c r="L866" s="11"/>
      <c r="M866" s="11"/>
      <c r="N866" s="11"/>
      <c r="O866" s="11"/>
      <c r="P866" s="11"/>
      <c r="Q866" s="11"/>
      <c r="R866" s="11"/>
      <c r="S866" s="11"/>
      <c r="T866" s="11"/>
      <c r="U866" s="11"/>
      <c r="V866" s="11"/>
    </row>
    <row r="867" spans="1:22" ht="14.5" x14ac:dyDescent="0.35">
      <c r="A867" s="11"/>
      <c r="B867" s="11"/>
      <c r="C867" s="11"/>
      <c r="D867" s="11"/>
      <c r="E867" s="11"/>
      <c r="F867" s="11"/>
      <c r="G867" s="11"/>
      <c r="H867" s="11"/>
      <c r="I867" s="11"/>
      <c r="J867" s="11"/>
      <c r="K867" s="11"/>
      <c r="L867" s="11"/>
      <c r="M867" s="11"/>
      <c r="N867" s="11"/>
      <c r="O867" s="11"/>
      <c r="P867" s="11"/>
      <c r="Q867" s="11"/>
      <c r="R867" s="11"/>
      <c r="S867" s="11"/>
      <c r="T867" s="11"/>
      <c r="U867" s="11"/>
      <c r="V867" s="11"/>
    </row>
    <row r="868" spans="1:22" ht="14.5" x14ac:dyDescent="0.35">
      <c r="A868" s="11"/>
      <c r="B868" s="11"/>
      <c r="C868" s="11"/>
      <c r="D868" s="11"/>
      <c r="E868" s="11"/>
      <c r="F868" s="11"/>
      <c r="G868" s="11"/>
      <c r="H868" s="11"/>
      <c r="I868" s="11"/>
      <c r="J868" s="11"/>
      <c r="K868" s="11"/>
      <c r="L868" s="11"/>
      <c r="M868" s="11"/>
      <c r="N868" s="11"/>
      <c r="O868" s="11"/>
      <c r="P868" s="11"/>
      <c r="Q868" s="11"/>
      <c r="R868" s="11"/>
      <c r="S868" s="11"/>
      <c r="T868" s="11"/>
      <c r="U868" s="11"/>
      <c r="V868" s="11"/>
    </row>
    <row r="869" spans="1:22" ht="14.5" x14ac:dyDescent="0.35">
      <c r="A869" s="11"/>
      <c r="B869" s="11"/>
      <c r="C869" s="11"/>
      <c r="D869" s="11"/>
      <c r="E869" s="11"/>
      <c r="F869" s="11"/>
      <c r="G869" s="11"/>
      <c r="H869" s="11"/>
      <c r="I869" s="11"/>
      <c r="J869" s="11"/>
      <c r="K869" s="11"/>
      <c r="L869" s="11"/>
      <c r="M869" s="11"/>
      <c r="N869" s="11"/>
      <c r="O869" s="11"/>
      <c r="P869" s="11"/>
      <c r="Q869" s="11"/>
      <c r="R869" s="11"/>
      <c r="S869" s="11"/>
      <c r="T869" s="11"/>
      <c r="U869" s="11"/>
      <c r="V869" s="11"/>
    </row>
    <row r="870" spans="1:22" ht="14.5" x14ac:dyDescent="0.35">
      <c r="A870" s="11"/>
      <c r="B870" s="11"/>
      <c r="C870" s="11"/>
      <c r="D870" s="11"/>
      <c r="E870" s="11"/>
      <c r="F870" s="11"/>
      <c r="G870" s="11"/>
      <c r="H870" s="11"/>
      <c r="I870" s="11"/>
      <c r="J870" s="11"/>
      <c r="K870" s="11"/>
      <c r="L870" s="11"/>
      <c r="M870" s="11"/>
      <c r="N870" s="11"/>
      <c r="O870" s="11"/>
      <c r="P870" s="11"/>
      <c r="Q870" s="11"/>
      <c r="R870" s="11"/>
      <c r="S870" s="11"/>
      <c r="T870" s="11"/>
      <c r="U870" s="11"/>
      <c r="V870" s="11"/>
    </row>
    <row r="871" spans="1:22" ht="14.5" x14ac:dyDescent="0.35">
      <c r="A871" s="11"/>
      <c r="B871" s="11"/>
      <c r="C871" s="11"/>
      <c r="D871" s="11"/>
      <c r="E871" s="11"/>
      <c r="F871" s="11"/>
      <c r="G871" s="11"/>
      <c r="H871" s="11"/>
      <c r="I871" s="11"/>
      <c r="J871" s="11"/>
      <c r="K871" s="11"/>
      <c r="L871" s="11"/>
      <c r="M871" s="11"/>
      <c r="N871" s="11"/>
      <c r="O871" s="11"/>
      <c r="P871" s="11"/>
      <c r="Q871" s="11"/>
      <c r="R871" s="11"/>
      <c r="S871" s="11"/>
      <c r="T871" s="11"/>
      <c r="U871" s="11"/>
      <c r="V871" s="11"/>
    </row>
    <row r="872" spans="1:22" ht="14.5" x14ac:dyDescent="0.35">
      <c r="A872" s="11"/>
      <c r="B872" s="11"/>
      <c r="C872" s="11"/>
      <c r="D872" s="11"/>
      <c r="E872" s="11"/>
      <c r="F872" s="11"/>
      <c r="G872" s="11"/>
      <c r="H872" s="11"/>
      <c r="I872" s="11"/>
      <c r="J872" s="11"/>
      <c r="K872" s="11"/>
      <c r="L872" s="11"/>
      <c r="M872" s="11"/>
      <c r="N872" s="11"/>
      <c r="O872" s="11"/>
      <c r="P872" s="11"/>
      <c r="Q872" s="11"/>
      <c r="R872" s="11"/>
      <c r="S872" s="11"/>
      <c r="T872" s="11"/>
      <c r="U872" s="11"/>
      <c r="V872" s="11"/>
    </row>
    <row r="873" spans="1:22" ht="14.5" x14ac:dyDescent="0.35">
      <c r="A873" s="11"/>
      <c r="B873" s="11"/>
      <c r="C873" s="11"/>
      <c r="D873" s="11"/>
      <c r="E873" s="11"/>
      <c r="F873" s="11"/>
      <c r="G873" s="11"/>
      <c r="H873" s="11"/>
      <c r="I873" s="11"/>
      <c r="J873" s="11"/>
      <c r="K873" s="11"/>
      <c r="L873" s="11"/>
      <c r="M873" s="11"/>
      <c r="N873" s="11"/>
      <c r="O873" s="11"/>
      <c r="P873" s="11"/>
      <c r="Q873" s="11"/>
      <c r="R873" s="11"/>
      <c r="S873" s="11"/>
      <c r="T873" s="11"/>
      <c r="U873" s="11"/>
      <c r="V873" s="11"/>
    </row>
    <row r="874" spans="1:22" ht="14.5" x14ac:dyDescent="0.35">
      <c r="A874" s="11"/>
      <c r="B874" s="11"/>
      <c r="C874" s="11"/>
      <c r="D874" s="11"/>
      <c r="E874" s="11"/>
      <c r="F874" s="11"/>
      <c r="G874" s="11"/>
      <c r="H874" s="11"/>
      <c r="I874" s="11"/>
      <c r="J874" s="11"/>
      <c r="K874" s="11"/>
      <c r="L874" s="11"/>
      <c r="M874" s="11"/>
      <c r="N874" s="11"/>
      <c r="O874" s="11"/>
      <c r="P874" s="11"/>
      <c r="Q874" s="11"/>
      <c r="R874" s="11"/>
      <c r="S874" s="11"/>
      <c r="T874" s="11"/>
      <c r="U874" s="11"/>
      <c r="V874" s="11"/>
    </row>
    <row r="875" spans="1:22" ht="14.5" x14ac:dyDescent="0.35">
      <c r="A875" s="11"/>
      <c r="B875" s="11"/>
      <c r="C875" s="11"/>
      <c r="D875" s="11"/>
      <c r="E875" s="11"/>
      <c r="F875" s="11"/>
      <c r="G875" s="11"/>
      <c r="H875" s="11"/>
      <c r="I875" s="11"/>
      <c r="J875" s="11"/>
      <c r="K875" s="11"/>
      <c r="L875" s="11"/>
      <c r="M875" s="11"/>
      <c r="N875" s="11"/>
      <c r="O875" s="11"/>
      <c r="P875" s="11"/>
      <c r="Q875" s="11"/>
      <c r="R875" s="11"/>
      <c r="S875" s="11"/>
      <c r="T875" s="11"/>
      <c r="U875" s="11"/>
      <c r="V875" s="11"/>
    </row>
    <row r="876" spans="1:22" ht="14.5" x14ac:dyDescent="0.35">
      <c r="A876" s="11"/>
      <c r="B876" s="11"/>
      <c r="C876" s="11"/>
      <c r="D876" s="11"/>
      <c r="E876" s="11"/>
      <c r="F876" s="11"/>
      <c r="G876" s="11"/>
      <c r="H876" s="11"/>
      <c r="I876" s="11"/>
      <c r="J876" s="11"/>
      <c r="K876" s="11"/>
      <c r="L876" s="11"/>
      <c r="M876" s="11"/>
      <c r="N876" s="11"/>
      <c r="O876" s="11"/>
      <c r="P876" s="11"/>
      <c r="Q876" s="11"/>
      <c r="R876" s="11"/>
      <c r="S876" s="11"/>
      <c r="T876" s="11"/>
      <c r="U876" s="11"/>
      <c r="V876" s="11"/>
    </row>
    <row r="877" spans="1:22" ht="14.5" x14ac:dyDescent="0.35">
      <c r="A877" s="11"/>
      <c r="B877" s="11"/>
      <c r="C877" s="11"/>
      <c r="D877" s="11"/>
      <c r="E877" s="11"/>
      <c r="F877" s="11"/>
      <c r="G877" s="11"/>
      <c r="H877" s="11"/>
      <c r="I877" s="11"/>
      <c r="J877" s="11"/>
      <c r="K877" s="11"/>
      <c r="L877" s="11"/>
      <c r="M877" s="11"/>
      <c r="N877" s="11"/>
      <c r="O877" s="11"/>
      <c r="P877" s="11"/>
      <c r="Q877" s="11"/>
      <c r="R877" s="11"/>
      <c r="S877" s="11"/>
      <c r="T877" s="11"/>
      <c r="U877" s="11"/>
      <c r="V877" s="11"/>
    </row>
    <row r="878" spans="1:22" ht="14.5" x14ac:dyDescent="0.35">
      <c r="A878" s="11"/>
      <c r="B878" s="11"/>
      <c r="C878" s="11"/>
      <c r="D878" s="11"/>
      <c r="E878" s="11"/>
      <c r="F878" s="11"/>
      <c r="G878" s="11"/>
      <c r="H878" s="11"/>
      <c r="I878" s="11"/>
      <c r="J878" s="11"/>
      <c r="K878" s="11"/>
      <c r="L878" s="11"/>
      <c r="M878" s="11"/>
      <c r="N878" s="11"/>
      <c r="O878" s="11"/>
      <c r="P878" s="11"/>
      <c r="Q878" s="11"/>
      <c r="R878" s="11"/>
      <c r="S878" s="11"/>
      <c r="T878" s="11"/>
      <c r="U878" s="11"/>
      <c r="V878" s="11"/>
    </row>
    <row r="879" spans="1:22" ht="14.5" x14ac:dyDescent="0.35">
      <c r="A879" s="11"/>
      <c r="B879" s="11"/>
      <c r="C879" s="11"/>
      <c r="D879" s="11"/>
      <c r="E879" s="11"/>
      <c r="F879" s="11"/>
      <c r="G879" s="11"/>
      <c r="H879" s="11"/>
      <c r="I879" s="11"/>
      <c r="J879" s="11"/>
      <c r="K879" s="11"/>
      <c r="L879" s="11"/>
      <c r="M879" s="11"/>
      <c r="N879" s="11"/>
      <c r="O879" s="11"/>
      <c r="P879" s="11"/>
      <c r="Q879" s="11"/>
      <c r="R879" s="11"/>
      <c r="S879" s="11"/>
      <c r="T879" s="11"/>
      <c r="U879" s="11"/>
      <c r="V879" s="11"/>
    </row>
    <row r="880" spans="1:22" ht="14.5" x14ac:dyDescent="0.35">
      <c r="A880" s="11"/>
      <c r="B880" s="11"/>
      <c r="C880" s="11"/>
      <c r="D880" s="11"/>
      <c r="E880" s="11"/>
      <c r="F880" s="11"/>
      <c r="G880" s="11"/>
      <c r="H880" s="11"/>
      <c r="I880" s="11"/>
      <c r="J880" s="11"/>
      <c r="K880" s="11"/>
      <c r="L880" s="11"/>
      <c r="M880" s="11"/>
      <c r="N880" s="11"/>
      <c r="O880" s="11"/>
      <c r="P880" s="11"/>
      <c r="Q880" s="11"/>
      <c r="R880" s="11"/>
      <c r="S880" s="11"/>
      <c r="T880" s="11"/>
      <c r="U880" s="11"/>
      <c r="V880" s="11"/>
    </row>
    <row r="881" spans="1:22" ht="14.5" x14ac:dyDescent="0.35">
      <c r="A881" s="11"/>
      <c r="B881" s="11"/>
      <c r="C881" s="11"/>
      <c r="D881" s="11"/>
      <c r="E881" s="11"/>
      <c r="F881" s="11"/>
      <c r="G881" s="11"/>
      <c r="H881" s="11"/>
      <c r="I881" s="11"/>
      <c r="J881" s="11"/>
      <c r="K881" s="11"/>
      <c r="L881" s="11"/>
      <c r="M881" s="11"/>
      <c r="N881" s="11"/>
      <c r="O881" s="11"/>
      <c r="P881" s="11"/>
      <c r="Q881" s="11"/>
      <c r="R881" s="11"/>
      <c r="S881" s="11"/>
      <c r="T881" s="11"/>
      <c r="U881" s="11"/>
      <c r="V881" s="11"/>
    </row>
    <row r="882" spans="1:22" ht="14.5" x14ac:dyDescent="0.35">
      <c r="A882" s="11"/>
      <c r="B882" s="11"/>
      <c r="C882" s="11"/>
      <c r="D882" s="11"/>
      <c r="E882" s="11"/>
      <c r="F882" s="11"/>
      <c r="G882" s="11"/>
      <c r="H882" s="11"/>
      <c r="I882" s="11"/>
      <c r="J882" s="11"/>
      <c r="K882" s="11"/>
      <c r="L882" s="11"/>
      <c r="M882" s="11"/>
      <c r="N882" s="11"/>
      <c r="O882" s="11"/>
      <c r="P882" s="11"/>
      <c r="Q882" s="11"/>
      <c r="R882" s="11"/>
      <c r="S882" s="11"/>
      <c r="T882" s="11"/>
      <c r="U882" s="11"/>
      <c r="V882" s="11"/>
    </row>
    <row r="883" spans="1:22" ht="14.5" x14ac:dyDescent="0.35">
      <c r="A883" s="11"/>
      <c r="B883" s="11"/>
      <c r="C883" s="11"/>
      <c r="D883" s="11"/>
      <c r="E883" s="11"/>
      <c r="F883" s="11"/>
      <c r="G883" s="11"/>
      <c r="H883" s="11"/>
      <c r="I883" s="11"/>
      <c r="J883" s="11"/>
      <c r="K883" s="11"/>
      <c r="L883" s="11"/>
      <c r="M883" s="11"/>
      <c r="N883" s="11"/>
      <c r="O883" s="11"/>
      <c r="P883" s="11"/>
      <c r="Q883" s="11"/>
      <c r="R883" s="11"/>
      <c r="S883" s="11"/>
      <c r="T883" s="11"/>
      <c r="U883" s="11"/>
      <c r="V883" s="11"/>
    </row>
    <row r="884" spans="1:22" ht="14.5" x14ac:dyDescent="0.35">
      <c r="A884" s="11"/>
      <c r="B884" s="11"/>
      <c r="C884" s="11"/>
      <c r="D884" s="11"/>
      <c r="E884" s="11"/>
      <c r="F884" s="11"/>
      <c r="G884" s="11"/>
      <c r="H884" s="11"/>
      <c r="I884" s="11"/>
      <c r="J884" s="11"/>
      <c r="K884" s="11"/>
      <c r="L884" s="11"/>
      <c r="M884" s="11"/>
      <c r="N884" s="11"/>
      <c r="O884" s="11"/>
      <c r="P884" s="11"/>
      <c r="Q884" s="11"/>
      <c r="R884" s="11"/>
      <c r="S884" s="11"/>
      <c r="T884" s="11"/>
      <c r="U884" s="11"/>
      <c r="V884" s="11"/>
    </row>
    <row r="885" spans="1:22" ht="14.5" x14ac:dyDescent="0.35">
      <c r="A885" s="11"/>
      <c r="B885" s="11"/>
      <c r="C885" s="11"/>
      <c r="D885" s="11"/>
      <c r="E885" s="11"/>
      <c r="F885" s="11"/>
      <c r="G885" s="11"/>
      <c r="H885" s="11"/>
      <c r="I885" s="11"/>
      <c r="J885" s="11"/>
      <c r="K885" s="11"/>
      <c r="L885" s="11"/>
      <c r="M885" s="11"/>
      <c r="N885" s="11"/>
      <c r="O885" s="11"/>
      <c r="P885" s="11"/>
      <c r="Q885" s="11"/>
      <c r="R885" s="11"/>
      <c r="S885" s="11"/>
      <c r="T885" s="11"/>
      <c r="U885" s="11"/>
      <c r="V885" s="11"/>
    </row>
    <row r="886" spans="1:22" ht="14.5" x14ac:dyDescent="0.35">
      <c r="A886" s="11"/>
      <c r="B886" s="11"/>
      <c r="C886" s="11"/>
      <c r="D886" s="11"/>
      <c r="E886" s="11"/>
      <c r="F886" s="11"/>
      <c r="G886" s="11"/>
      <c r="H886" s="11"/>
      <c r="I886" s="11"/>
      <c r="J886" s="11"/>
      <c r="K886" s="11"/>
      <c r="L886" s="11"/>
      <c r="M886" s="11"/>
      <c r="N886" s="11"/>
      <c r="O886" s="11"/>
      <c r="P886" s="11"/>
      <c r="Q886" s="11"/>
      <c r="R886" s="11"/>
      <c r="S886" s="11"/>
      <c r="T886" s="11"/>
      <c r="U886" s="11"/>
      <c r="V886" s="11"/>
    </row>
    <row r="887" spans="1:22" ht="14.5" x14ac:dyDescent="0.35">
      <c r="A887" s="11"/>
      <c r="B887" s="11"/>
      <c r="C887" s="11"/>
      <c r="D887" s="11"/>
      <c r="E887" s="11"/>
      <c r="F887" s="11"/>
      <c r="G887" s="11"/>
      <c r="H887" s="11"/>
      <c r="I887" s="11"/>
      <c r="J887" s="11"/>
      <c r="K887" s="11"/>
      <c r="L887" s="11"/>
      <c r="M887" s="11"/>
      <c r="N887" s="11"/>
      <c r="O887" s="11"/>
      <c r="P887" s="11"/>
      <c r="Q887" s="11"/>
      <c r="R887" s="11"/>
      <c r="S887" s="11"/>
      <c r="T887" s="11"/>
      <c r="U887" s="11"/>
      <c r="V887" s="11"/>
    </row>
    <row r="888" spans="1:22" ht="14.5" x14ac:dyDescent="0.35">
      <c r="A888" s="11"/>
      <c r="B888" s="11"/>
      <c r="C888" s="11"/>
      <c r="D888" s="11"/>
      <c r="E888" s="11"/>
      <c r="F888" s="11"/>
      <c r="G888" s="11"/>
      <c r="H888" s="11"/>
      <c r="I888" s="11"/>
      <c r="J888" s="11"/>
      <c r="K888" s="11"/>
      <c r="L888" s="11"/>
      <c r="M888" s="11"/>
      <c r="N888" s="11"/>
      <c r="O888" s="11"/>
      <c r="P888" s="11"/>
      <c r="Q888" s="11"/>
      <c r="R888" s="11"/>
      <c r="S888" s="11"/>
      <c r="T888" s="11"/>
      <c r="U888" s="11"/>
      <c r="V888" s="11"/>
    </row>
    <row r="889" spans="1:22" ht="14.5" x14ac:dyDescent="0.35">
      <c r="A889" s="11"/>
      <c r="B889" s="11"/>
      <c r="C889" s="11"/>
      <c r="D889" s="11"/>
      <c r="E889" s="11"/>
      <c r="F889" s="11"/>
      <c r="G889" s="11"/>
      <c r="H889" s="11"/>
      <c r="I889" s="11"/>
      <c r="J889" s="11"/>
      <c r="K889" s="11"/>
      <c r="L889" s="11"/>
      <c r="M889" s="11"/>
      <c r="N889" s="11"/>
      <c r="O889" s="11"/>
      <c r="P889" s="11"/>
      <c r="Q889" s="11"/>
      <c r="R889" s="11"/>
      <c r="S889" s="11"/>
      <c r="T889" s="11"/>
      <c r="U889" s="11"/>
      <c r="V889" s="11"/>
    </row>
    <row r="890" spans="1:22" ht="14.5" x14ac:dyDescent="0.35">
      <c r="A890" s="11"/>
      <c r="B890" s="11"/>
      <c r="C890" s="11"/>
      <c r="D890" s="11"/>
      <c r="E890" s="11"/>
      <c r="F890" s="11"/>
      <c r="G890" s="11"/>
      <c r="H890" s="11"/>
      <c r="I890" s="11"/>
      <c r="J890" s="11"/>
      <c r="K890" s="11"/>
      <c r="L890" s="11"/>
      <c r="M890" s="11"/>
      <c r="N890" s="11"/>
      <c r="O890" s="11"/>
      <c r="P890" s="11"/>
      <c r="Q890" s="11"/>
      <c r="R890" s="11"/>
      <c r="S890" s="11"/>
      <c r="T890" s="11"/>
      <c r="U890" s="11"/>
      <c r="V890" s="11"/>
    </row>
    <row r="891" spans="1:22" ht="14.5" x14ac:dyDescent="0.35">
      <c r="A891" s="11"/>
      <c r="B891" s="11"/>
      <c r="C891" s="11"/>
      <c r="D891" s="11"/>
      <c r="E891" s="11"/>
      <c r="F891" s="11"/>
      <c r="G891" s="11"/>
      <c r="H891" s="11"/>
      <c r="I891" s="11"/>
      <c r="J891" s="11"/>
      <c r="K891" s="11"/>
      <c r="L891" s="11"/>
      <c r="M891" s="11"/>
      <c r="N891" s="11"/>
      <c r="O891" s="11"/>
      <c r="P891" s="11"/>
      <c r="Q891" s="11"/>
      <c r="R891" s="11"/>
      <c r="S891" s="11"/>
      <c r="T891" s="11"/>
      <c r="U891" s="11"/>
      <c r="V891" s="11"/>
    </row>
    <row r="892" spans="1:22" ht="14.5" x14ac:dyDescent="0.35">
      <c r="A892" s="11"/>
      <c r="B892" s="11"/>
      <c r="C892" s="11"/>
      <c r="D892" s="11"/>
      <c r="E892" s="11"/>
      <c r="F892" s="11"/>
      <c r="G892" s="11"/>
      <c r="H892" s="11"/>
      <c r="I892" s="11"/>
      <c r="J892" s="11"/>
      <c r="K892" s="11"/>
      <c r="L892" s="11"/>
      <c r="M892" s="11"/>
      <c r="N892" s="11"/>
      <c r="O892" s="11"/>
      <c r="P892" s="11"/>
      <c r="Q892" s="11"/>
      <c r="R892" s="11"/>
      <c r="S892" s="11"/>
      <c r="T892" s="11"/>
      <c r="U892" s="11"/>
      <c r="V892" s="11"/>
    </row>
    <row r="893" spans="1:22" ht="14.5" x14ac:dyDescent="0.35">
      <c r="A893" s="11"/>
      <c r="B893" s="11"/>
      <c r="C893" s="11"/>
      <c r="D893" s="11"/>
      <c r="E893" s="11"/>
      <c r="F893" s="11"/>
      <c r="G893" s="11"/>
      <c r="H893" s="11"/>
      <c r="I893" s="11"/>
      <c r="J893" s="11"/>
      <c r="K893" s="11"/>
      <c r="L893" s="11"/>
      <c r="M893" s="11"/>
      <c r="N893" s="11"/>
      <c r="O893" s="11"/>
      <c r="P893" s="11"/>
      <c r="Q893" s="11"/>
      <c r="R893" s="11"/>
      <c r="S893" s="11"/>
      <c r="T893" s="11"/>
      <c r="U893" s="11"/>
      <c r="V893" s="11"/>
    </row>
    <row r="894" spans="1:22" ht="14.5" x14ac:dyDescent="0.35">
      <c r="A894" s="11"/>
      <c r="B894" s="11"/>
      <c r="C894" s="11"/>
      <c r="D894" s="11"/>
      <c r="E894" s="11"/>
      <c r="F894" s="11"/>
      <c r="G894" s="11"/>
      <c r="H894" s="11"/>
      <c r="I894" s="11"/>
      <c r="J894" s="11"/>
      <c r="K894" s="11"/>
      <c r="L894" s="11"/>
      <c r="M894" s="11"/>
      <c r="N894" s="11"/>
      <c r="O894" s="11"/>
      <c r="P894" s="11"/>
      <c r="Q894" s="11"/>
      <c r="R894" s="11"/>
      <c r="S894" s="11"/>
      <c r="T894" s="11"/>
      <c r="U894" s="11"/>
      <c r="V894" s="11"/>
    </row>
    <row r="895" spans="1:22" ht="14.5" x14ac:dyDescent="0.35">
      <c r="A895" s="11"/>
      <c r="B895" s="11"/>
      <c r="C895" s="11"/>
      <c r="D895" s="11"/>
      <c r="E895" s="11"/>
      <c r="F895" s="11"/>
      <c r="G895" s="11"/>
      <c r="H895" s="11"/>
      <c r="I895" s="11"/>
      <c r="J895" s="11"/>
      <c r="K895" s="11"/>
      <c r="L895" s="11"/>
      <c r="M895" s="11"/>
      <c r="N895" s="11"/>
      <c r="O895" s="11"/>
      <c r="P895" s="11"/>
      <c r="Q895" s="11"/>
      <c r="R895" s="11"/>
      <c r="S895" s="11"/>
      <c r="T895" s="11"/>
      <c r="U895" s="11"/>
      <c r="V895" s="11"/>
    </row>
    <row r="896" spans="1:22" ht="14.5" x14ac:dyDescent="0.35">
      <c r="A896" s="11"/>
      <c r="B896" s="11"/>
      <c r="C896" s="11"/>
      <c r="D896" s="11"/>
      <c r="E896" s="11"/>
      <c r="F896" s="11"/>
      <c r="G896" s="11"/>
      <c r="H896" s="11"/>
      <c r="I896" s="11"/>
      <c r="J896" s="11"/>
      <c r="K896" s="11"/>
      <c r="L896" s="11"/>
      <c r="M896" s="11"/>
      <c r="N896" s="11"/>
      <c r="O896" s="11"/>
      <c r="P896" s="11"/>
      <c r="Q896" s="11"/>
      <c r="R896" s="11"/>
      <c r="S896" s="11"/>
      <c r="T896" s="11"/>
      <c r="U896" s="11"/>
      <c r="V896" s="11"/>
    </row>
    <row r="897" spans="1:22" ht="14.5" x14ac:dyDescent="0.35">
      <c r="A897" s="11"/>
      <c r="B897" s="11"/>
      <c r="C897" s="11"/>
      <c r="D897" s="11"/>
      <c r="E897" s="11"/>
      <c r="F897" s="11"/>
      <c r="G897" s="11"/>
      <c r="H897" s="11"/>
      <c r="I897" s="11"/>
      <c r="J897" s="11"/>
      <c r="K897" s="11"/>
      <c r="L897" s="11"/>
      <c r="M897" s="11"/>
      <c r="N897" s="11"/>
      <c r="O897" s="11"/>
      <c r="P897" s="11"/>
      <c r="Q897" s="11"/>
      <c r="R897" s="11"/>
      <c r="S897" s="11"/>
      <c r="T897" s="11"/>
      <c r="U897" s="11"/>
      <c r="V897" s="11"/>
    </row>
    <row r="898" spans="1:22" ht="14.5" x14ac:dyDescent="0.35">
      <c r="A898" s="11"/>
      <c r="B898" s="11"/>
      <c r="C898" s="11"/>
      <c r="D898" s="11"/>
      <c r="E898" s="11"/>
      <c r="F898" s="11"/>
      <c r="G898" s="11"/>
      <c r="H898" s="11"/>
      <c r="I898" s="11"/>
      <c r="J898" s="11"/>
      <c r="K898" s="11"/>
      <c r="L898" s="11"/>
      <c r="M898" s="11"/>
      <c r="N898" s="11"/>
      <c r="O898" s="11"/>
      <c r="P898" s="11"/>
      <c r="Q898" s="11"/>
      <c r="R898" s="11"/>
      <c r="S898" s="11"/>
      <c r="T898" s="11"/>
      <c r="U898" s="11"/>
      <c r="V898" s="11"/>
    </row>
    <row r="899" spans="1:22" ht="14.5" x14ac:dyDescent="0.35">
      <c r="A899" s="11"/>
      <c r="B899" s="11"/>
      <c r="C899" s="11"/>
      <c r="D899" s="11"/>
      <c r="E899" s="11"/>
      <c r="F899" s="11"/>
      <c r="G899" s="11"/>
      <c r="H899" s="11"/>
      <c r="I899" s="11"/>
      <c r="J899" s="11"/>
      <c r="K899" s="11"/>
      <c r="L899" s="11"/>
      <c r="M899" s="11"/>
      <c r="N899" s="11"/>
      <c r="O899" s="11"/>
      <c r="P899" s="11"/>
      <c r="Q899" s="11"/>
      <c r="R899" s="11"/>
      <c r="S899" s="11"/>
      <c r="T899" s="11"/>
      <c r="U899" s="11"/>
      <c r="V899" s="11"/>
    </row>
    <row r="900" spans="1:22" ht="14.5" x14ac:dyDescent="0.35">
      <c r="A900" s="11"/>
      <c r="B900" s="11"/>
      <c r="C900" s="11"/>
      <c r="D900" s="11"/>
      <c r="E900" s="11"/>
      <c r="F900" s="11"/>
      <c r="G900" s="11"/>
      <c r="H900" s="11"/>
      <c r="I900" s="11"/>
      <c r="J900" s="11"/>
      <c r="K900" s="11"/>
      <c r="L900" s="11"/>
      <c r="M900" s="11"/>
      <c r="N900" s="11"/>
      <c r="O900" s="11"/>
      <c r="P900" s="11"/>
      <c r="Q900" s="11"/>
      <c r="R900" s="11"/>
      <c r="S900" s="11"/>
      <c r="T900" s="11"/>
      <c r="U900" s="11"/>
      <c r="V900" s="11"/>
    </row>
    <row r="901" spans="1:22" ht="14.5" x14ac:dyDescent="0.35">
      <c r="A901" s="11"/>
      <c r="B901" s="11"/>
      <c r="C901" s="11"/>
      <c r="D901" s="11"/>
      <c r="E901" s="11"/>
      <c r="F901" s="11"/>
      <c r="G901" s="11"/>
      <c r="H901" s="11"/>
      <c r="I901" s="11"/>
      <c r="J901" s="11"/>
      <c r="K901" s="11"/>
      <c r="L901" s="11"/>
      <c r="M901" s="11"/>
      <c r="N901" s="11"/>
      <c r="O901" s="11"/>
      <c r="P901" s="11"/>
      <c r="Q901" s="11"/>
      <c r="R901" s="11"/>
      <c r="S901" s="11"/>
      <c r="T901" s="11"/>
      <c r="U901" s="11"/>
      <c r="V901" s="11"/>
    </row>
    <row r="902" spans="1:22" ht="14.5" x14ac:dyDescent="0.35">
      <c r="A902" s="11"/>
      <c r="B902" s="11"/>
      <c r="C902" s="11"/>
      <c r="D902" s="11"/>
      <c r="E902" s="11"/>
      <c r="F902" s="11"/>
      <c r="G902" s="11"/>
      <c r="H902" s="11"/>
      <c r="I902" s="11"/>
      <c r="J902" s="11"/>
      <c r="K902" s="11"/>
      <c r="L902" s="11"/>
      <c r="M902" s="11"/>
      <c r="N902" s="11"/>
      <c r="O902" s="11"/>
      <c r="P902" s="11"/>
      <c r="Q902" s="11"/>
      <c r="R902" s="11"/>
      <c r="S902" s="11"/>
      <c r="T902" s="11"/>
      <c r="U902" s="11"/>
      <c r="V902" s="11"/>
    </row>
    <row r="903" spans="1:22" ht="14.5" x14ac:dyDescent="0.35">
      <c r="A903" s="11"/>
      <c r="B903" s="11"/>
      <c r="C903" s="11"/>
      <c r="D903" s="11"/>
      <c r="E903" s="11"/>
      <c r="F903" s="11"/>
      <c r="G903" s="11"/>
      <c r="H903" s="11"/>
      <c r="I903" s="11"/>
      <c r="J903" s="11"/>
      <c r="K903" s="11"/>
      <c r="L903" s="11"/>
      <c r="M903" s="11"/>
      <c r="N903" s="11"/>
      <c r="O903" s="11"/>
      <c r="P903" s="11"/>
      <c r="Q903" s="11"/>
      <c r="R903" s="11"/>
      <c r="S903" s="11"/>
      <c r="T903" s="11"/>
      <c r="U903" s="11"/>
      <c r="V903" s="11"/>
    </row>
    <row r="904" spans="1:22" ht="14.5" x14ac:dyDescent="0.35">
      <c r="A904" s="11"/>
      <c r="B904" s="11"/>
      <c r="C904" s="11"/>
      <c r="D904" s="11"/>
      <c r="E904" s="11"/>
      <c r="F904" s="11"/>
      <c r="G904" s="11"/>
      <c r="H904" s="11"/>
      <c r="I904" s="11"/>
      <c r="J904" s="11"/>
      <c r="K904" s="11"/>
      <c r="L904" s="11"/>
      <c r="M904" s="11"/>
      <c r="N904" s="11"/>
      <c r="O904" s="11"/>
      <c r="P904" s="11"/>
      <c r="Q904" s="11"/>
      <c r="R904" s="11"/>
      <c r="S904" s="11"/>
      <c r="T904" s="11"/>
      <c r="U904" s="11"/>
      <c r="V904" s="11"/>
    </row>
    <row r="905" spans="1:22" ht="14.5" x14ac:dyDescent="0.35">
      <c r="A905" s="11"/>
      <c r="B905" s="11"/>
      <c r="C905" s="11"/>
      <c r="D905" s="11"/>
      <c r="E905" s="11"/>
      <c r="F905" s="11"/>
      <c r="G905" s="11"/>
      <c r="H905" s="11"/>
      <c r="I905" s="11"/>
      <c r="J905" s="11"/>
      <c r="K905" s="11"/>
      <c r="L905" s="11"/>
      <c r="M905" s="11"/>
      <c r="N905" s="11"/>
      <c r="O905" s="11"/>
      <c r="P905" s="11"/>
      <c r="Q905" s="11"/>
      <c r="R905" s="11"/>
      <c r="S905" s="11"/>
      <c r="T905" s="11"/>
      <c r="U905" s="11"/>
      <c r="V905" s="11"/>
    </row>
    <row r="906" spans="1:22" ht="14.5" x14ac:dyDescent="0.35">
      <c r="A906" s="11"/>
      <c r="B906" s="11"/>
      <c r="C906" s="11"/>
      <c r="D906" s="11"/>
      <c r="E906" s="11"/>
      <c r="F906" s="11"/>
      <c r="G906" s="11"/>
      <c r="H906" s="11"/>
      <c r="I906" s="11"/>
      <c r="J906" s="11"/>
      <c r="K906" s="11"/>
      <c r="L906" s="11"/>
      <c r="M906" s="11"/>
      <c r="N906" s="11"/>
      <c r="O906" s="11"/>
      <c r="P906" s="11"/>
      <c r="Q906" s="11"/>
      <c r="R906" s="11"/>
      <c r="S906" s="11"/>
      <c r="T906" s="11"/>
      <c r="U906" s="11"/>
      <c r="V906" s="11"/>
    </row>
    <row r="907" spans="1:22" ht="14.5" x14ac:dyDescent="0.35">
      <c r="A907" s="11"/>
      <c r="B907" s="11"/>
      <c r="C907" s="11"/>
      <c r="D907" s="11"/>
      <c r="E907" s="11"/>
      <c r="F907" s="11"/>
      <c r="G907" s="11"/>
      <c r="H907" s="11"/>
      <c r="I907" s="11"/>
      <c r="J907" s="11"/>
      <c r="K907" s="11"/>
      <c r="L907" s="11"/>
      <c r="M907" s="11"/>
      <c r="N907" s="11"/>
      <c r="O907" s="11"/>
      <c r="P907" s="11"/>
      <c r="Q907" s="11"/>
      <c r="R907" s="11"/>
      <c r="S907" s="11"/>
      <c r="T907" s="11"/>
      <c r="U907" s="11"/>
      <c r="V907" s="11"/>
    </row>
    <row r="908" spans="1:22" ht="14.5" x14ac:dyDescent="0.35">
      <c r="A908" s="11"/>
      <c r="B908" s="11"/>
      <c r="C908" s="11"/>
      <c r="D908" s="11"/>
      <c r="E908" s="11"/>
      <c r="F908" s="11"/>
      <c r="G908" s="11"/>
      <c r="H908" s="11"/>
      <c r="I908" s="11"/>
      <c r="J908" s="11"/>
      <c r="K908" s="11"/>
      <c r="L908" s="11"/>
      <c r="M908" s="11"/>
      <c r="N908" s="11"/>
      <c r="O908" s="11"/>
      <c r="P908" s="11"/>
      <c r="Q908" s="11"/>
      <c r="R908" s="11"/>
      <c r="S908" s="11"/>
      <c r="T908" s="11"/>
      <c r="U908" s="11"/>
      <c r="V908" s="11"/>
    </row>
    <row r="909" spans="1:22" ht="14.5" x14ac:dyDescent="0.35">
      <c r="A909" s="11"/>
      <c r="B909" s="11"/>
      <c r="C909" s="11"/>
      <c r="D909" s="11"/>
      <c r="E909" s="11"/>
      <c r="F909" s="11"/>
      <c r="G909" s="11"/>
      <c r="H909" s="11"/>
      <c r="I909" s="11"/>
      <c r="J909" s="11"/>
      <c r="K909" s="11"/>
      <c r="L909" s="11"/>
      <c r="M909" s="11"/>
      <c r="N909" s="11"/>
      <c r="O909" s="11"/>
      <c r="P909" s="11"/>
      <c r="Q909" s="11"/>
      <c r="R909" s="11"/>
      <c r="S909" s="11"/>
      <c r="T909" s="11"/>
      <c r="U909" s="11"/>
      <c r="V909" s="11"/>
    </row>
    <row r="910" spans="1:22" ht="14.5" x14ac:dyDescent="0.35">
      <c r="A910" s="11"/>
      <c r="B910" s="11"/>
      <c r="C910" s="11"/>
      <c r="D910" s="11"/>
      <c r="E910" s="11"/>
      <c r="F910" s="11"/>
      <c r="G910" s="11"/>
      <c r="H910" s="11"/>
      <c r="I910" s="11"/>
      <c r="J910" s="11"/>
      <c r="K910" s="11"/>
      <c r="L910" s="11"/>
      <c r="M910" s="11"/>
      <c r="N910" s="11"/>
      <c r="O910" s="11"/>
      <c r="P910" s="11"/>
      <c r="Q910" s="11"/>
      <c r="R910" s="11"/>
      <c r="S910" s="11"/>
      <c r="T910" s="11"/>
      <c r="U910" s="11"/>
      <c r="V910" s="11"/>
    </row>
    <row r="911" spans="1:22" ht="14.5" x14ac:dyDescent="0.35">
      <c r="A911" s="11"/>
      <c r="B911" s="11"/>
      <c r="C911" s="11"/>
      <c r="D911" s="11"/>
      <c r="E911" s="11"/>
      <c r="F911" s="11"/>
      <c r="G911" s="11"/>
      <c r="H911" s="11"/>
      <c r="I911" s="11"/>
      <c r="J911" s="11"/>
      <c r="K911" s="11"/>
      <c r="L911" s="11"/>
      <c r="M911" s="11"/>
      <c r="N911" s="11"/>
      <c r="O911" s="11"/>
      <c r="P911" s="11"/>
      <c r="Q911" s="11"/>
      <c r="R911" s="11"/>
      <c r="S911" s="11"/>
      <c r="T911" s="11"/>
      <c r="U911" s="11"/>
      <c r="V911" s="11"/>
    </row>
    <row r="912" spans="1:22" ht="14.5" x14ac:dyDescent="0.35">
      <c r="A912" s="11"/>
      <c r="B912" s="11"/>
      <c r="C912" s="11"/>
      <c r="D912" s="11"/>
      <c r="E912" s="11"/>
      <c r="F912" s="11"/>
      <c r="G912" s="11"/>
      <c r="H912" s="11"/>
      <c r="I912" s="11"/>
      <c r="J912" s="11"/>
      <c r="K912" s="11"/>
      <c r="L912" s="11"/>
      <c r="M912" s="11"/>
      <c r="N912" s="11"/>
      <c r="O912" s="11"/>
      <c r="P912" s="11"/>
      <c r="Q912" s="11"/>
      <c r="R912" s="11"/>
      <c r="S912" s="11"/>
      <c r="T912" s="11"/>
      <c r="U912" s="11"/>
      <c r="V912" s="11"/>
    </row>
    <row r="913" spans="1:22" ht="14.5" x14ac:dyDescent="0.35">
      <c r="A913" s="11"/>
      <c r="B913" s="11"/>
      <c r="C913" s="11"/>
      <c r="D913" s="11"/>
      <c r="E913" s="11"/>
      <c r="F913" s="11"/>
      <c r="G913" s="11"/>
      <c r="H913" s="11"/>
      <c r="I913" s="11"/>
      <c r="J913" s="11"/>
      <c r="K913" s="11"/>
      <c r="L913" s="11"/>
      <c r="M913" s="11"/>
      <c r="N913" s="11"/>
      <c r="O913" s="11"/>
      <c r="P913" s="11"/>
      <c r="Q913" s="11"/>
      <c r="R913" s="11"/>
      <c r="S913" s="11"/>
      <c r="T913" s="11"/>
      <c r="U913" s="11"/>
      <c r="V913" s="11"/>
    </row>
    <row r="914" spans="1:22" ht="14.5" x14ac:dyDescent="0.35">
      <c r="A914" s="11"/>
      <c r="B914" s="11"/>
      <c r="C914" s="11"/>
      <c r="D914" s="11"/>
      <c r="E914" s="11"/>
      <c r="F914" s="11"/>
      <c r="G914" s="11"/>
      <c r="H914" s="11"/>
      <c r="I914" s="11"/>
      <c r="J914" s="11"/>
      <c r="K914" s="11"/>
      <c r="L914" s="11"/>
      <c r="M914" s="11"/>
      <c r="N914" s="11"/>
      <c r="O914" s="11"/>
      <c r="P914" s="11"/>
      <c r="Q914" s="11"/>
      <c r="R914" s="11"/>
      <c r="S914" s="11"/>
      <c r="T914" s="11"/>
      <c r="U914" s="11"/>
      <c r="V914" s="11"/>
    </row>
    <row r="915" spans="1:22" ht="14.5" x14ac:dyDescent="0.35">
      <c r="A915" s="11"/>
      <c r="B915" s="11"/>
      <c r="C915" s="11"/>
      <c r="D915" s="11"/>
      <c r="E915" s="11"/>
      <c r="F915" s="11"/>
      <c r="G915" s="11"/>
      <c r="H915" s="11"/>
      <c r="I915" s="11"/>
      <c r="J915" s="11"/>
      <c r="K915" s="11"/>
      <c r="L915" s="11"/>
      <c r="M915" s="11"/>
      <c r="N915" s="11"/>
      <c r="O915" s="11"/>
      <c r="P915" s="11"/>
      <c r="Q915" s="11"/>
      <c r="R915" s="11"/>
      <c r="S915" s="11"/>
      <c r="T915" s="11"/>
      <c r="U915" s="11"/>
      <c r="V915" s="11"/>
    </row>
    <row r="916" spans="1:22" ht="14.5" x14ac:dyDescent="0.35">
      <c r="A916" s="11"/>
      <c r="B916" s="11"/>
      <c r="C916" s="11"/>
      <c r="D916" s="11"/>
      <c r="E916" s="11"/>
      <c r="F916" s="11"/>
      <c r="G916" s="11"/>
      <c r="H916" s="11"/>
      <c r="I916" s="11"/>
      <c r="J916" s="11"/>
      <c r="K916" s="11"/>
      <c r="L916" s="11"/>
      <c r="M916" s="11"/>
      <c r="N916" s="11"/>
      <c r="O916" s="11"/>
      <c r="P916" s="11"/>
      <c r="Q916" s="11"/>
      <c r="R916" s="11"/>
      <c r="S916" s="11"/>
      <c r="T916" s="11"/>
      <c r="U916" s="11"/>
      <c r="V916" s="11"/>
    </row>
    <row r="917" spans="1:22" ht="14.5" x14ac:dyDescent="0.35">
      <c r="A917" s="11"/>
      <c r="B917" s="11"/>
      <c r="C917" s="11"/>
      <c r="D917" s="11"/>
      <c r="E917" s="11"/>
      <c r="F917" s="11"/>
      <c r="G917" s="11"/>
      <c r="H917" s="11"/>
      <c r="I917" s="11"/>
      <c r="J917" s="11"/>
      <c r="K917" s="11"/>
      <c r="L917" s="11"/>
      <c r="M917" s="11"/>
      <c r="N917" s="11"/>
      <c r="O917" s="11"/>
      <c r="P917" s="11"/>
      <c r="Q917" s="11"/>
      <c r="R917" s="11"/>
      <c r="S917" s="11"/>
      <c r="T917" s="11"/>
      <c r="U917" s="11"/>
      <c r="V917" s="11"/>
    </row>
    <row r="918" spans="1:22" ht="14.5" x14ac:dyDescent="0.35">
      <c r="A918" s="11"/>
      <c r="B918" s="11"/>
      <c r="C918" s="11"/>
      <c r="D918" s="11"/>
      <c r="E918" s="11"/>
      <c r="F918" s="11"/>
      <c r="G918" s="11"/>
      <c r="H918" s="11"/>
      <c r="I918" s="11"/>
      <c r="J918" s="11"/>
      <c r="K918" s="11"/>
      <c r="L918" s="11"/>
      <c r="M918" s="11"/>
      <c r="N918" s="11"/>
      <c r="O918" s="11"/>
      <c r="P918" s="11"/>
      <c r="Q918" s="11"/>
      <c r="R918" s="11"/>
      <c r="S918" s="11"/>
      <c r="T918" s="11"/>
      <c r="U918" s="11"/>
      <c r="V918" s="11"/>
    </row>
    <row r="919" spans="1:22" ht="14.5" x14ac:dyDescent="0.35">
      <c r="A919" s="11"/>
      <c r="B919" s="11"/>
      <c r="C919" s="11"/>
      <c r="D919" s="11"/>
      <c r="E919" s="11"/>
      <c r="F919" s="11"/>
      <c r="G919" s="11"/>
      <c r="H919" s="11"/>
      <c r="I919" s="11"/>
      <c r="J919" s="11"/>
      <c r="K919" s="11"/>
      <c r="L919" s="11"/>
      <c r="M919" s="11"/>
      <c r="N919" s="11"/>
      <c r="O919" s="11"/>
      <c r="P919" s="11"/>
      <c r="Q919" s="11"/>
      <c r="R919" s="11"/>
      <c r="S919" s="11"/>
      <c r="T919" s="11"/>
      <c r="U919" s="11"/>
      <c r="V919" s="11"/>
    </row>
    <row r="920" spans="1:22" ht="14.5" x14ac:dyDescent="0.35">
      <c r="A920" s="11"/>
      <c r="B920" s="11"/>
      <c r="C920" s="11"/>
      <c r="D920" s="11"/>
      <c r="E920" s="11"/>
      <c r="F920" s="11"/>
      <c r="G920" s="11"/>
      <c r="H920" s="11"/>
      <c r="I920" s="11"/>
      <c r="J920" s="11"/>
      <c r="K920" s="11"/>
      <c r="L920" s="11"/>
      <c r="M920" s="11"/>
      <c r="N920" s="11"/>
      <c r="O920" s="11"/>
      <c r="P920" s="11"/>
      <c r="Q920" s="11"/>
      <c r="R920" s="11"/>
      <c r="S920" s="11"/>
      <c r="T920" s="11"/>
      <c r="U920" s="11"/>
      <c r="V920" s="11"/>
    </row>
    <row r="921" spans="1:22" ht="14.5" x14ac:dyDescent="0.35">
      <c r="A921" s="11"/>
      <c r="B921" s="11"/>
      <c r="C921" s="11"/>
      <c r="D921" s="11"/>
      <c r="E921" s="11"/>
      <c r="F921" s="11"/>
      <c r="G921" s="11"/>
      <c r="H921" s="11"/>
      <c r="I921" s="11"/>
      <c r="J921" s="11"/>
      <c r="K921" s="11"/>
      <c r="L921" s="11"/>
      <c r="M921" s="11"/>
      <c r="N921" s="11"/>
      <c r="O921" s="11"/>
      <c r="P921" s="11"/>
      <c r="Q921" s="11"/>
      <c r="R921" s="11"/>
      <c r="S921" s="11"/>
      <c r="T921" s="11"/>
      <c r="U921" s="11"/>
      <c r="V921" s="11"/>
    </row>
    <row r="922" spans="1:22" ht="14.5" x14ac:dyDescent="0.35">
      <c r="A922" s="11"/>
      <c r="B922" s="11"/>
      <c r="C922" s="11"/>
      <c r="D922" s="11"/>
      <c r="E922" s="11"/>
      <c r="F922" s="11"/>
      <c r="G922" s="11"/>
      <c r="H922" s="11"/>
      <c r="I922" s="11"/>
      <c r="J922" s="11"/>
      <c r="K922" s="11"/>
      <c r="L922" s="11"/>
      <c r="M922" s="11"/>
      <c r="N922" s="11"/>
      <c r="O922" s="11"/>
      <c r="P922" s="11"/>
      <c r="Q922" s="11"/>
      <c r="R922" s="11"/>
      <c r="S922" s="11"/>
      <c r="T922" s="11"/>
      <c r="U922" s="11"/>
      <c r="V922" s="11"/>
    </row>
    <row r="923" spans="1:22" ht="14.5" x14ac:dyDescent="0.35">
      <c r="A923" s="11"/>
      <c r="B923" s="11"/>
      <c r="C923" s="11"/>
      <c r="D923" s="11"/>
      <c r="E923" s="11"/>
      <c r="F923" s="11"/>
      <c r="G923" s="11"/>
      <c r="H923" s="11"/>
      <c r="I923" s="11"/>
      <c r="J923" s="11"/>
      <c r="K923" s="11"/>
      <c r="L923" s="11"/>
      <c r="M923" s="11"/>
      <c r="N923" s="11"/>
      <c r="O923" s="11"/>
      <c r="P923" s="11"/>
      <c r="Q923" s="11"/>
      <c r="R923" s="11"/>
      <c r="S923" s="11"/>
      <c r="T923" s="11"/>
      <c r="U923" s="11"/>
      <c r="V923" s="11"/>
    </row>
    <row r="924" spans="1:22" ht="14.5" x14ac:dyDescent="0.35">
      <c r="A924" s="11"/>
      <c r="B924" s="11"/>
      <c r="C924" s="11"/>
      <c r="D924" s="11"/>
      <c r="E924" s="11"/>
      <c r="F924" s="11"/>
      <c r="G924" s="11"/>
      <c r="H924" s="11"/>
      <c r="I924" s="11"/>
      <c r="J924" s="11"/>
      <c r="K924" s="11"/>
      <c r="L924" s="11"/>
      <c r="M924" s="11"/>
      <c r="N924" s="11"/>
      <c r="O924" s="11"/>
      <c r="P924" s="11"/>
      <c r="Q924" s="11"/>
      <c r="R924" s="11"/>
      <c r="S924" s="11"/>
      <c r="T924" s="11"/>
      <c r="U924" s="11"/>
      <c r="V924" s="11"/>
    </row>
    <row r="925" spans="1:22" ht="14.5" x14ac:dyDescent="0.35">
      <c r="A925" s="11"/>
      <c r="B925" s="11"/>
      <c r="C925" s="11"/>
      <c r="D925" s="11"/>
      <c r="E925" s="11"/>
      <c r="F925" s="11"/>
      <c r="G925" s="11"/>
      <c r="H925" s="11"/>
      <c r="I925" s="11"/>
      <c r="J925" s="11"/>
      <c r="K925" s="11"/>
      <c r="L925" s="11"/>
      <c r="M925" s="11"/>
      <c r="N925" s="11"/>
      <c r="O925" s="11"/>
      <c r="P925" s="11"/>
      <c r="Q925" s="11"/>
      <c r="R925" s="11"/>
      <c r="S925" s="11"/>
      <c r="T925" s="11"/>
      <c r="U925" s="11"/>
      <c r="V925" s="11"/>
    </row>
    <row r="926" spans="1:22" ht="14.5" x14ac:dyDescent="0.35">
      <c r="A926" s="11"/>
      <c r="B926" s="11"/>
      <c r="C926" s="11"/>
      <c r="D926" s="11"/>
      <c r="E926" s="11"/>
      <c r="F926" s="11"/>
      <c r="G926" s="11"/>
      <c r="H926" s="11"/>
      <c r="I926" s="11"/>
      <c r="J926" s="11"/>
      <c r="K926" s="11"/>
      <c r="L926" s="11"/>
      <c r="M926" s="11"/>
      <c r="N926" s="11"/>
      <c r="O926" s="11"/>
      <c r="P926" s="11"/>
      <c r="Q926" s="11"/>
      <c r="R926" s="11"/>
      <c r="S926" s="11"/>
      <c r="T926" s="11"/>
      <c r="U926" s="11"/>
      <c r="V926" s="11"/>
    </row>
    <row r="927" spans="1:22" ht="14.5" x14ac:dyDescent="0.35">
      <c r="A927" s="11"/>
      <c r="B927" s="11"/>
      <c r="C927" s="11"/>
      <c r="D927" s="11"/>
      <c r="E927" s="11"/>
      <c r="F927" s="11"/>
      <c r="G927" s="11"/>
      <c r="H927" s="11"/>
      <c r="I927" s="11"/>
      <c r="J927" s="11"/>
      <c r="K927" s="11"/>
      <c r="L927" s="11"/>
      <c r="M927" s="11"/>
      <c r="N927" s="11"/>
      <c r="O927" s="11"/>
      <c r="P927" s="11"/>
      <c r="Q927" s="11"/>
      <c r="R927" s="11"/>
      <c r="S927" s="11"/>
      <c r="T927" s="11"/>
      <c r="U927" s="11"/>
      <c r="V927" s="11"/>
    </row>
    <row r="928" spans="1:22" ht="14.5" x14ac:dyDescent="0.35">
      <c r="A928" s="11"/>
      <c r="B928" s="11"/>
      <c r="C928" s="11"/>
      <c r="D928" s="11"/>
      <c r="E928" s="11"/>
      <c r="F928" s="11"/>
      <c r="G928" s="11"/>
      <c r="H928" s="11"/>
      <c r="I928" s="11"/>
      <c r="J928" s="11"/>
      <c r="K928" s="11"/>
      <c r="L928" s="11"/>
      <c r="M928" s="11"/>
      <c r="N928" s="11"/>
      <c r="O928" s="11"/>
      <c r="P928" s="11"/>
      <c r="Q928" s="11"/>
      <c r="R928" s="11"/>
      <c r="S928" s="11"/>
      <c r="T928" s="11"/>
      <c r="U928" s="11"/>
      <c r="V928" s="11"/>
    </row>
    <row r="929" spans="1:22" ht="14.5" x14ac:dyDescent="0.35">
      <c r="A929" s="11"/>
      <c r="B929" s="11"/>
      <c r="C929" s="11"/>
      <c r="D929" s="11"/>
      <c r="E929" s="11"/>
      <c r="F929" s="11"/>
      <c r="G929" s="11"/>
      <c r="H929" s="11"/>
      <c r="I929" s="11"/>
      <c r="J929" s="11"/>
      <c r="K929" s="11"/>
      <c r="L929" s="11"/>
      <c r="M929" s="11"/>
      <c r="N929" s="11"/>
      <c r="O929" s="11"/>
      <c r="P929" s="11"/>
      <c r="Q929" s="11"/>
      <c r="R929" s="11"/>
      <c r="S929" s="11"/>
      <c r="T929" s="11"/>
      <c r="U929" s="11"/>
      <c r="V929" s="11"/>
    </row>
    <row r="930" spans="1:22" ht="14.5" x14ac:dyDescent="0.35">
      <c r="A930" s="11"/>
      <c r="B930" s="11"/>
      <c r="C930" s="11"/>
      <c r="D930" s="11"/>
      <c r="E930" s="11"/>
      <c r="F930" s="11"/>
      <c r="G930" s="11"/>
      <c r="H930" s="11"/>
      <c r="I930" s="11"/>
      <c r="J930" s="11"/>
      <c r="K930" s="11"/>
      <c r="L930" s="11"/>
      <c r="M930" s="11"/>
      <c r="N930" s="11"/>
      <c r="O930" s="11"/>
      <c r="P930" s="11"/>
      <c r="Q930" s="11"/>
      <c r="R930" s="11"/>
      <c r="S930" s="11"/>
      <c r="T930" s="11"/>
      <c r="U930" s="11"/>
      <c r="V930" s="11"/>
    </row>
    <row r="931" spans="1:22" ht="14.5" x14ac:dyDescent="0.35">
      <c r="A931" s="11"/>
      <c r="B931" s="11"/>
      <c r="C931" s="11"/>
      <c r="D931" s="11"/>
      <c r="E931" s="11"/>
      <c r="F931" s="11"/>
      <c r="G931" s="11"/>
      <c r="H931" s="11"/>
      <c r="I931" s="11"/>
      <c r="J931" s="11"/>
      <c r="K931" s="11"/>
      <c r="L931" s="11"/>
      <c r="M931" s="11"/>
      <c r="N931" s="11"/>
      <c r="O931" s="11"/>
      <c r="P931" s="11"/>
      <c r="Q931" s="11"/>
      <c r="R931" s="11"/>
      <c r="S931" s="11"/>
      <c r="T931" s="11"/>
      <c r="U931" s="11"/>
      <c r="V931" s="11"/>
    </row>
    <row r="932" spans="1:22" ht="14.5" x14ac:dyDescent="0.35">
      <c r="A932" s="11"/>
      <c r="B932" s="11"/>
      <c r="C932" s="11"/>
      <c r="D932" s="11"/>
      <c r="E932" s="11"/>
      <c r="F932" s="11"/>
      <c r="G932" s="11"/>
      <c r="H932" s="11"/>
      <c r="I932" s="11"/>
      <c r="J932" s="11"/>
      <c r="K932" s="11"/>
      <c r="L932" s="11"/>
      <c r="M932" s="11"/>
      <c r="N932" s="11"/>
      <c r="O932" s="11"/>
      <c r="P932" s="11"/>
      <c r="Q932" s="11"/>
      <c r="R932" s="11"/>
      <c r="S932" s="11"/>
      <c r="T932" s="11"/>
      <c r="U932" s="11"/>
      <c r="V932" s="11"/>
    </row>
    <row r="933" spans="1:22" ht="14.5" x14ac:dyDescent="0.35">
      <c r="A933" s="11"/>
      <c r="B933" s="11"/>
      <c r="C933" s="11"/>
      <c r="D933" s="11"/>
      <c r="E933" s="11"/>
      <c r="F933" s="11"/>
      <c r="G933" s="11"/>
      <c r="H933" s="11"/>
      <c r="I933" s="11"/>
      <c r="J933" s="11"/>
      <c r="K933" s="11"/>
      <c r="L933" s="11"/>
      <c r="M933" s="11"/>
      <c r="N933" s="11"/>
      <c r="O933" s="11"/>
      <c r="P933" s="11"/>
      <c r="Q933" s="11"/>
      <c r="R933" s="11"/>
      <c r="S933" s="11"/>
      <c r="T933" s="11"/>
      <c r="U933" s="11"/>
      <c r="V933" s="11"/>
    </row>
    <row r="934" spans="1:22" ht="14.5" x14ac:dyDescent="0.35">
      <c r="A934" s="11"/>
      <c r="B934" s="11"/>
      <c r="C934" s="11"/>
      <c r="D934" s="11"/>
      <c r="E934" s="11"/>
      <c r="F934" s="11"/>
      <c r="G934" s="11"/>
      <c r="H934" s="11"/>
      <c r="I934" s="11"/>
      <c r="J934" s="11"/>
      <c r="K934" s="11"/>
      <c r="L934" s="11"/>
      <c r="M934" s="11"/>
      <c r="N934" s="11"/>
      <c r="O934" s="11"/>
      <c r="P934" s="11"/>
      <c r="Q934" s="11"/>
      <c r="R934" s="11"/>
      <c r="S934" s="11"/>
      <c r="T934" s="11"/>
      <c r="U934" s="11"/>
      <c r="V934" s="11"/>
    </row>
    <row r="935" spans="1:22" ht="14.5" x14ac:dyDescent="0.35">
      <c r="A935" s="11"/>
      <c r="B935" s="11"/>
      <c r="C935" s="11"/>
      <c r="D935" s="11"/>
      <c r="E935" s="11"/>
      <c r="F935" s="11"/>
      <c r="G935" s="11"/>
      <c r="H935" s="11"/>
      <c r="I935" s="11"/>
      <c r="J935" s="11"/>
      <c r="K935" s="11"/>
      <c r="L935" s="11"/>
      <c r="M935" s="11"/>
      <c r="N935" s="11"/>
      <c r="O935" s="11"/>
      <c r="P935" s="11"/>
      <c r="Q935" s="11"/>
      <c r="R935" s="11"/>
      <c r="S935" s="11"/>
      <c r="T935" s="11"/>
      <c r="U935" s="11"/>
      <c r="V935" s="11"/>
    </row>
    <row r="936" spans="1:22" ht="14.5" x14ac:dyDescent="0.35">
      <c r="A936" s="11"/>
      <c r="B936" s="11"/>
      <c r="C936" s="11"/>
      <c r="D936" s="11"/>
      <c r="E936" s="11"/>
      <c r="F936" s="11"/>
      <c r="G936" s="11"/>
      <c r="H936" s="11"/>
      <c r="I936" s="11"/>
      <c r="J936" s="11"/>
      <c r="K936" s="11"/>
      <c r="L936" s="11"/>
      <c r="M936" s="11"/>
      <c r="N936" s="11"/>
      <c r="O936" s="11"/>
      <c r="P936" s="11"/>
      <c r="Q936" s="11"/>
      <c r="R936" s="11"/>
      <c r="S936" s="11"/>
      <c r="T936" s="11"/>
      <c r="U936" s="11"/>
      <c r="V936" s="11"/>
    </row>
    <row r="937" spans="1:22" ht="14.5" x14ac:dyDescent="0.35">
      <c r="A937" s="11"/>
      <c r="B937" s="11"/>
      <c r="C937" s="11"/>
      <c r="D937" s="11"/>
      <c r="E937" s="11"/>
      <c r="F937" s="11"/>
      <c r="G937" s="11"/>
      <c r="H937" s="11"/>
      <c r="I937" s="11"/>
      <c r="J937" s="11"/>
      <c r="K937" s="11"/>
      <c r="L937" s="11"/>
      <c r="M937" s="11"/>
      <c r="N937" s="11"/>
      <c r="O937" s="11"/>
      <c r="P937" s="11"/>
      <c r="Q937" s="11"/>
      <c r="R937" s="11"/>
      <c r="S937" s="11"/>
      <c r="T937" s="11"/>
      <c r="U937" s="11"/>
      <c r="V937" s="11"/>
    </row>
    <row r="938" spans="1:22" ht="14.5" x14ac:dyDescent="0.35">
      <c r="A938" s="11"/>
      <c r="B938" s="11"/>
      <c r="C938" s="11"/>
      <c r="D938" s="11"/>
      <c r="E938" s="11"/>
      <c r="F938" s="11"/>
      <c r="G938" s="11"/>
      <c r="H938" s="11"/>
      <c r="I938" s="11"/>
      <c r="J938" s="11"/>
      <c r="K938" s="11"/>
      <c r="L938" s="11"/>
      <c r="M938" s="11"/>
      <c r="N938" s="11"/>
      <c r="O938" s="11"/>
      <c r="P938" s="11"/>
      <c r="Q938" s="11"/>
      <c r="R938" s="11"/>
      <c r="S938" s="11"/>
      <c r="T938" s="11"/>
      <c r="U938" s="11"/>
      <c r="V938" s="11"/>
    </row>
    <row r="939" spans="1:22" ht="14.5" x14ac:dyDescent="0.35">
      <c r="A939" s="11"/>
      <c r="B939" s="11"/>
      <c r="C939" s="11"/>
      <c r="D939" s="11"/>
      <c r="E939" s="11"/>
      <c r="F939" s="11"/>
      <c r="G939" s="11"/>
      <c r="H939" s="11"/>
      <c r="I939" s="11"/>
      <c r="J939" s="11"/>
      <c r="K939" s="11"/>
      <c r="L939" s="11"/>
      <c r="M939" s="11"/>
      <c r="N939" s="11"/>
      <c r="O939" s="11"/>
      <c r="P939" s="11"/>
      <c r="Q939" s="11"/>
      <c r="R939" s="11"/>
      <c r="S939" s="11"/>
      <c r="T939" s="11"/>
      <c r="U939" s="11"/>
      <c r="V939" s="11"/>
    </row>
    <row r="940" spans="1:22" ht="14.5" x14ac:dyDescent="0.35">
      <c r="A940" s="11"/>
      <c r="B940" s="11"/>
      <c r="C940" s="11"/>
      <c r="D940" s="11"/>
      <c r="E940" s="11"/>
      <c r="F940" s="11"/>
      <c r="G940" s="11"/>
      <c r="H940" s="11"/>
      <c r="I940" s="11"/>
      <c r="J940" s="11"/>
      <c r="K940" s="11"/>
      <c r="L940" s="11"/>
      <c r="M940" s="11"/>
      <c r="N940" s="11"/>
      <c r="O940" s="11"/>
      <c r="P940" s="11"/>
      <c r="Q940" s="11"/>
      <c r="R940" s="11"/>
      <c r="S940" s="11"/>
      <c r="T940" s="11"/>
      <c r="U940" s="11"/>
      <c r="V940" s="11"/>
    </row>
    <row r="941" spans="1:22" ht="14.5" x14ac:dyDescent="0.35">
      <c r="A941" s="11"/>
      <c r="B941" s="11"/>
      <c r="C941" s="11"/>
      <c r="D941" s="11"/>
      <c r="E941" s="11"/>
      <c r="F941" s="11"/>
      <c r="G941" s="11"/>
      <c r="H941" s="11"/>
      <c r="I941" s="11"/>
      <c r="J941" s="11"/>
      <c r="K941" s="11"/>
      <c r="L941" s="11"/>
      <c r="M941" s="11"/>
      <c r="N941" s="11"/>
      <c r="O941" s="11"/>
      <c r="P941" s="11"/>
      <c r="Q941" s="11"/>
      <c r="R941" s="11"/>
      <c r="S941" s="11"/>
      <c r="T941" s="11"/>
      <c r="U941" s="11"/>
      <c r="V941" s="11"/>
    </row>
    <row r="942" spans="1:22" ht="14.5" x14ac:dyDescent="0.35">
      <c r="A942" s="11"/>
      <c r="B942" s="11"/>
      <c r="C942" s="11"/>
      <c r="D942" s="11"/>
      <c r="E942" s="11"/>
      <c r="F942" s="11"/>
      <c r="G942" s="11"/>
      <c r="H942" s="11"/>
      <c r="I942" s="11"/>
      <c r="J942" s="11"/>
      <c r="K942" s="11"/>
      <c r="L942" s="11"/>
      <c r="M942" s="11"/>
      <c r="N942" s="11"/>
      <c r="O942" s="11"/>
      <c r="P942" s="11"/>
      <c r="Q942" s="11"/>
      <c r="R942" s="11"/>
      <c r="S942" s="11"/>
      <c r="T942" s="11"/>
      <c r="U942" s="11"/>
      <c r="V942" s="11"/>
    </row>
    <row r="943" spans="1:22" ht="14.5" x14ac:dyDescent="0.35">
      <c r="A943" s="11"/>
      <c r="B943" s="11"/>
      <c r="C943" s="11"/>
      <c r="D943" s="11"/>
      <c r="E943" s="11"/>
      <c r="F943" s="11"/>
      <c r="G943" s="11"/>
      <c r="H943" s="11"/>
      <c r="I943" s="11"/>
      <c r="J943" s="11"/>
      <c r="K943" s="11"/>
      <c r="L943" s="11"/>
      <c r="M943" s="11"/>
      <c r="N943" s="11"/>
      <c r="O943" s="11"/>
      <c r="P943" s="11"/>
      <c r="Q943" s="11"/>
      <c r="R943" s="11"/>
      <c r="S943" s="11"/>
      <c r="T943" s="11"/>
      <c r="U943" s="11"/>
      <c r="V943" s="11"/>
    </row>
    <row r="944" spans="1:22" ht="14.5" x14ac:dyDescent="0.35">
      <c r="A944" s="11"/>
      <c r="B944" s="11"/>
      <c r="C944" s="11"/>
      <c r="D944" s="11"/>
      <c r="E944" s="11"/>
      <c r="F944" s="11"/>
      <c r="G944" s="11"/>
      <c r="H944" s="11"/>
      <c r="I944" s="11"/>
      <c r="J944" s="11"/>
      <c r="K944" s="11"/>
      <c r="L944" s="11"/>
      <c r="M944" s="11"/>
      <c r="N944" s="11"/>
      <c r="O944" s="11"/>
      <c r="P944" s="11"/>
      <c r="Q944" s="11"/>
      <c r="R944" s="11"/>
      <c r="S944" s="11"/>
      <c r="T944" s="11"/>
      <c r="U944" s="11"/>
      <c r="V944" s="11"/>
    </row>
    <row r="945" spans="1:22" ht="14.5" x14ac:dyDescent="0.35">
      <c r="A945" s="11"/>
      <c r="B945" s="11"/>
      <c r="C945" s="11"/>
      <c r="D945" s="11"/>
      <c r="E945" s="11"/>
      <c r="F945" s="11"/>
      <c r="G945" s="11"/>
      <c r="H945" s="11"/>
      <c r="I945" s="11"/>
      <c r="J945" s="11"/>
      <c r="K945" s="11"/>
      <c r="L945" s="11"/>
      <c r="M945" s="11"/>
      <c r="N945" s="11"/>
      <c r="O945" s="11"/>
      <c r="P945" s="11"/>
      <c r="Q945" s="11"/>
      <c r="R945" s="11"/>
      <c r="S945" s="11"/>
      <c r="T945" s="11"/>
      <c r="U945" s="11"/>
      <c r="V945" s="11"/>
    </row>
    <row r="946" spans="1:22" ht="14.5" x14ac:dyDescent="0.35">
      <c r="A946" s="11"/>
      <c r="B946" s="11"/>
      <c r="C946" s="11"/>
      <c r="D946" s="11"/>
      <c r="E946" s="11"/>
      <c r="F946" s="11"/>
      <c r="G946" s="11"/>
      <c r="H946" s="11"/>
      <c r="I946" s="11"/>
      <c r="J946" s="11"/>
      <c r="K946" s="11"/>
      <c r="L946" s="11"/>
      <c r="M946" s="11"/>
      <c r="N946" s="11"/>
      <c r="O946" s="11"/>
      <c r="P946" s="11"/>
      <c r="Q946" s="11"/>
      <c r="R946" s="11"/>
      <c r="S946" s="11"/>
      <c r="T946" s="11"/>
      <c r="U946" s="11"/>
      <c r="V946" s="11"/>
    </row>
    <row r="947" spans="1:22" ht="14.5" x14ac:dyDescent="0.35">
      <c r="A947" s="11"/>
      <c r="B947" s="11"/>
      <c r="C947" s="11"/>
      <c r="D947" s="11"/>
      <c r="E947" s="11"/>
      <c r="F947" s="11"/>
      <c r="G947" s="11"/>
      <c r="H947" s="11"/>
      <c r="I947" s="11"/>
      <c r="J947" s="11"/>
      <c r="K947" s="11"/>
      <c r="L947" s="11"/>
      <c r="M947" s="11"/>
      <c r="N947" s="11"/>
      <c r="O947" s="11"/>
      <c r="P947" s="11"/>
      <c r="Q947" s="11"/>
      <c r="R947" s="11"/>
      <c r="S947" s="11"/>
      <c r="T947" s="11"/>
      <c r="U947" s="11"/>
      <c r="V947" s="11"/>
    </row>
    <row r="948" spans="1:22" ht="14.5" x14ac:dyDescent="0.35">
      <c r="A948" s="11"/>
      <c r="B948" s="11"/>
      <c r="C948" s="11"/>
      <c r="D948" s="11"/>
      <c r="E948" s="11"/>
      <c r="F948" s="11"/>
      <c r="G948" s="11"/>
      <c r="H948" s="11"/>
      <c r="I948" s="11"/>
      <c r="J948" s="11"/>
      <c r="K948" s="11"/>
      <c r="L948" s="11"/>
      <c r="M948" s="11"/>
      <c r="N948" s="11"/>
      <c r="O948" s="11"/>
      <c r="P948" s="11"/>
      <c r="Q948" s="11"/>
      <c r="R948" s="11"/>
      <c r="S948" s="11"/>
      <c r="T948" s="11"/>
      <c r="U948" s="11"/>
      <c r="V948" s="11"/>
    </row>
    <row r="949" spans="1:22" ht="14.5" x14ac:dyDescent="0.35">
      <c r="A949" s="11"/>
      <c r="B949" s="11"/>
      <c r="C949" s="11"/>
      <c r="D949" s="11"/>
      <c r="E949" s="11"/>
      <c r="F949" s="11"/>
      <c r="G949" s="11"/>
      <c r="H949" s="11"/>
      <c r="I949" s="11"/>
      <c r="J949" s="11"/>
      <c r="K949" s="11"/>
      <c r="L949" s="11"/>
      <c r="M949" s="11"/>
      <c r="N949" s="11"/>
      <c r="O949" s="11"/>
      <c r="P949" s="11"/>
      <c r="Q949" s="11"/>
      <c r="R949" s="11"/>
      <c r="S949" s="11"/>
      <c r="T949" s="11"/>
      <c r="U949" s="11"/>
      <c r="V949" s="11"/>
    </row>
    <row r="950" spans="1:22" ht="14.5" x14ac:dyDescent="0.35">
      <c r="A950" s="11"/>
      <c r="B950" s="11"/>
      <c r="C950" s="11"/>
      <c r="D950" s="11"/>
      <c r="E950" s="11"/>
      <c r="F950" s="11"/>
      <c r="G950" s="11"/>
      <c r="H950" s="11"/>
      <c r="I950" s="11"/>
      <c r="J950" s="11"/>
      <c r="K950" s="11"/>
      <c r="L950" s="11"/>
      <c r="M950" s="11"/>
      <c r="N950" s="11"/>
      <c r="O950" s="11"/>
      <c r="P950" s="11"/>
      <c r="Q950" s="11"/>
      <c r="R950" s="11"/>
      <c r="S950" s="11"/>
      <c r="T950" s="11"/>
      <c r="U950" s="11"/>
      <c r="V950" s="11"/>
    </row>
    <row r="951" spans="1:22" ht="14.5" x14ac:dyDescent="0.35">
      <c r="A951" s="11"/>
      <c r="B951" s="11"/>
      <c r="C951" s="11"/>
      <c r="D951" s="11"/>
      <c r="E951" s="11"/>
      <c r="F951" s="11"/>
      <c r="G951" s="11"/>
      <c r="H951" s="11"/>
      <c r="I951" s="11"/>
      <c r="J951" s="11"/>
      <c r="K951" s="11"/>
      <c r="L951" s="11"/>
      <c r="M951" s="11"/>
      <c r="N951" s="11"/>
      <c r="O951" s="11"/>
      <c r="P951" s="11"/>
      <c r="Q951" s="11"/>
      <c r="R951" s="11"/>
      <c r="S951" s="11"/>
      <c r="T951" s="11"/>
      <c r="U951" s="11"/>
      <c r="V951" s="11"/>
    </row>
    <row r="952" spans="1:22" ht="14.5" x14ac:dyDescent="0.35">
      <c r="A952" s="11"/>
      <c r="B952" s="11"/>
      <c r="C952" s="11"/>
      <c r="D952" s="11"/>
      <c r="E952" s="11"/>
      <c r="F952" s="11"/>
      <c r="G952" s="11"/>
      <c r="H952" s="11"/>
      <c r="I952" s="11"/>
      <c r="J952" s="11"/>
      <c r="K952" s="11"/>
      <c r="L952" s="11"/>
      <c r="M952" s="11"/>
      <c r="N952" s="11"/>
      <c r="O952" s="11"/>
      <c r="P952" s="11"/>
      <c r="Q952" s="11"/>
      <c r="R952" s="11"/>
      <c r="S952" s="11"/>
      <c r="T952" s="11"/>
      <c r="U952" s="11"/>
      <c r="V952" s="11"/>
    </row>
    <row r="953" spans="1:22" ht="14.5" x14ac:dyDescent="0.35">
      <c r="A953" s="11"/>
      <c r="B953" s="11"/>
      <c r="C953" s="11"/>
      <c r="D953" s="11"/>
      <c r="E953" s="11"/>
      <c r="F953" s="11"/>
      <c r="G953" s="11"/>
      <c r="H953" s="11"/>
      <c r="I953" s="11"/>
      <c r="J953" s="11"/>
      <c r="K953" s="11"/>
      <c r="L953" s="11"/>
      <c r="M953" s="11"/>
      <c r="N953" s="11"/>
      <c r="O953" s="11"/>
      <c r="P953" s="11"/>
      <c r="Q953" s="11"/>
      <c r="R953" s="11"/>
      <c r="S953" s="11"/>
      <c r="T953" s="11"/>
      <c r="U953" s="11"/>
      <c r="V953" s="11"/>
    </row>
    <row r="954" spans="1:22" ht="14.5" x14ac:dyDescent="0.35">
      <c r="A954" s="11"/>
      <c r="B954" s="11"/>
      <c r="C954" s="11"/>
      <c r="D954" s="11"/>
      <c r="E954" s="11"/>
      <c r="F954" s="11"/>
      <c r="G954" s="11"/>
      <c r="H954" s="11"/>
      <c r="I954" s="11"/>
      <c r="J954" s="11"/>
      <c r="K954" s="11"/>
      <c r="L954" s="11"/>
      <c r="M954" s="11"/>
      <c r="N954" s="11"/>
      <c r="O954" s="11"/>
      <c r="P954" s="11"/>
      <c r="Q954" s="11"/>
      <c r="R954" s="11"/>
      <c r="S954" s="11"/>
      <c r="T954" s="11"/>
      <c r="U954" s="11"/>
      <c r="V954" s="11"/>
    </row>
    <row r="955" spans="1:22" ht="14.5" x14ac:dyDescent="0.35">
      <c r="A955" s="11"/>
      <c r="B955" s="11"/>
      <c r="C955" s="11"/>
      <c r="D955" s="11"/>
      <c r="E955" s="11"/>
      <c r="F955" s="11"/>
      <c r="G955" s="11"/>
      <c r="H955" s="11"/>
      <c r="I955" s="11"/>
      <c r="J955" s="11"/>
      <c r="K955" s="11"/>
      <c r="L955" s="11"/>
      <c r="M955" s="11"/>
      <c r="N955" s="11"/>
      <c r="O955" s="11"/>
      <c r="P955" s="11"/>
      <c r="Q955" s="11"/>
      <c r="R955" s="11"/>
      <c r="S955" s="11"/>
      <c r="T955" s="11"/>
      <c r="U955" s="11"/>
      <c r="V955" s="11"/>
    </row>
    <row r="956" spans="1:22" ht="14.5" x14ac:dyDescent="0.35">
      <c r="A956" s="11"/>
      <c r="B956" s="11"/>
      <c r="C956" s="11"/>
      <c r="D956" s="11"/>
      <c r="E956" s="11"/>
      <c r="F956" s="11"/>
      <c r="G956" s="11"/>
      <c r="H956" s="11"/>
      <c r="I956" s="11"/>
      <c r="J956" s="11"/>
      <c r="K956" s="11"/>
      <c r="L956" s="11"/>
      <c r="M956" s="11"/>
      <c r="N956" s="11"/>
      <c r="O956" s="11"/>
      <c r="P956" s="11"/>
      <c r="Q956" s="11"/>
      <c r="R956" s="11"/>
      <c r="S956" s="11"/>
      <c r="T956" s="11"/>
      <c r="U956" s="11"/>
      <c r="V956" s="11"/>
    </row>
    <row r="957" spans="1:22" ht="14.5" x14ac:dyDescent="0.35">
      <c r="A957" s="11"/>
      <c r="B957" s="11"/>
      <c r="C957" s="11"/>
      <c r="D957" s="11"/>
      <c r="E957" s="11"/>
      <c r="F957" s="11"/>
      <c r="G957" s="11"/>
      <c r="H957" s="11"/>
      <c r="I957" s="11"/>
      <c r="J957" s="11"/>
      <c r="K957" s="11"/>
      <c r="L957" s="11"/>
      <c r="M957" s="11"/>
      <c r="N957" s="11"/>
      <c r="O957" s="11"/>
      <c r="P957" s="11"/>
      <c r="Q957" s="11"/>
      <c r="R957" s="11"/>
      <c r="S957" s="11"/>
      <c r="T957" s="11"/>
      <c r="U957" s="11"/>
      <c r="V957" s="11"/>
    </row>
    <row r="958" spans="1:22" ht="14.5" x14ac:dyDescent="0.35">
      <c r="A958" s="11"/>
      <c r="B958" s="11"/>
      <c r="C958" s="11"/>
      <c r="D958" s="11"/>
      <c r="E958" s="11"/>
      <c r="F958" s="11"/>
      <c r="G958" s="11"/>
      <c r="H958" s="11"/>
      <c r="I958" s="11"/>
      <c r="J958" s="11"/>
      <c r="K958" s="11"/>
      <c r="L958" s="11"/>
      <c r="M958" s="11"/>
      <c r="N958" s="11"/>
      <c r="O958" s="11"/>
      <c r="P958" s="11"/>
      <c r="Q958" s="11"/>
      <c r="R958" s="11"/>
      <c r="S958" s="11"/>
      <c r="T958" s="11"/>
      <c r="U958" s="11"/>
      <c r="V958" s="11"/>
    </row>
    <row r="959" spans="1:22" ht="14.5" x14ac:dyDescent="0.35">
      <c r="A959" s="11"/>
      <c r="B959" s="11"/>
      <c r="C959" s="11"/>
      <c r="D959" s="11"/>
      <c r="E959" s="11"/>
      <c r="F959" s="11"/>
      <c r="G959" s="11"/>
      <c r="H959" s="11"/>
      <c r="I959" s="11"/>
      <c r="J959" s="11"/>
      <c r="K959" s="11"/>
      <c r="L959" s="11"/>
      <c r="M959" s="11"/>
      <c r="N959" s="11"/>
      <c r="O959" s="11"/>
      <c r="P959" s="11"/>
      <c r="Q959" s="11"/>
      <c r="R959" s="11"/>
      <c r="S959" s="11"/>
      <c r="T959" s="11"/>
      <c r="U959" s="11"/>
      <c r="V959" s="11"/>
    </row>
    <row r="960" spans="1:22" ht="14.5" x14ac:dyDescent="0.35">
      <c r="A960" s="11"/>
      <c r="B960" s="11"/>
      <c r="C960" s="11"/>
      <c r="D960" s="11"/>
      <c r="E960" s="11"/>
      <c r="F960" s="11"/>
      <c r="G960" s="11"/>
      <c r="H960" s="11"/>
      <c r="I960" s="11"/>
      <c r="J960" s="11"/>
      <c r="K960" s="11"/>
      <c r="L960" s="11"/>
      <c r="M960" s="11"/>
      <c r="N960" s="11"/>
      <c r="O960" s="11"/>
      <c r="P960" s="11"/>
      <c r="Q960" s="11"/>
      <c r="R960" s="11"/>
      <c r="S960" s="11"/>
      <c r="T960" s="11"/>
      <c r="U960" s="11"/>
      <c r="V960" s="11"/>
    </row>
    <row r="961" spans="1:22" ht="14.5" x14ac:dyDescent="0.35">
      <c r="A961" s="11"/>
      <c r="B961" s="11"/>
      <c r="C961" s="11"/>
      <c r="D961" s="11"/>
      <c r="E961" s="11"/>
      <c r="F961" s="11"/>
      <c r="G961" s="11"/>
      <c r="H961" s="11"/>
      <c r="I961" s="11"/>
      <c r="J961" s="11"/>
      <c r="K961" s="11"/>
      <c r="L961" s="11"/>
      <c r="M961" s="11"/>
      <c r="N961" s="11"/>
      <c r="O961" s="11"/>
      <c r="P961" s="11"/>
      <c r="Q961" s="11"/>
      <c r="R961" s="11"/>
      <c r="S961" s="11"/>
      <c r="T961" s="11"/>
      <c r="U961" s="11"/>
      <c r="V961" s="11"/>
    </row>
    <row r="962" spans="1:22" ht="14.5" x14ac:dyDescent="0.35">
      <c r="A962" s="11"/>
      <c r="B962" s="11"/>
      <c r="C962" s="11"/>
      <c r="D962" s="11"/>
      <c r="E962" s="11"/>
      <c r="F962" s="11"/>
      <c r="G962" s="11"/>
      <c r="H962" s="11"/>
      <c r="I962" s="11"/>
      <c r="J962" s="11"/>
      <c r="K962" s="11"/>
      <c r="L962" s="11"/>
      <c r="M962" s="11"/>
      <c r="N962" s="11"/>
      <c r="O962" s="11"/>
      <c r="P962" s="11"/>
      <c r="Q962" s="11"/>
      <c r="R962" s="11"/>
      <c r="S962" s="11"/>
      <c r="T962" s="11"/>
      <c r="U962" s="11"/>
      <c r="V962" s="11"/>
    </row>
    <row r="963" spans="1:22" ht="14.5" x14ac:dyDescent="0.35">
      <c r="A963" s="11"/>
      <c r="B963" s="11"/>
      <c r="C963" s="11"/>
      <c r="D963" s="11"/>
      <c r="E963" s="11"/>
      <c r="F963" s="11"/>
      <c r="G963" s="11"/>
      <c r="H963" s="11"/>
      <c r="I963" s="11"/>
      <c r="J963" s="11"/>
      <c r="K963" s="11"/>
      <c r="L963" s="11"/>
      <c r="M963" s="11"/>
      <c r="N963" s="11"/>
      <c r="O963" s="11"/>
      <c r="P963" s="11"/>
      <c r="Q963" s="11"/>
      <c r="R963" s="11"/>
      <c r="S963" s="11"/>
      <c r="T963" s="11"/>
      <c r="U963" s="11"/>
      <c r="V963" s="11"/>
    </row>
    <row r="964" spans="1:22" ht="14.5" x14ac:dyDescent="0.35">
      <c r="A964" s="11"/>
      <c r="B964" s="11"/>
      <c r="C964" s="11"/>
      <c r="D964" s="11"/>
      <c r="E964" s="11"/>
      <c r="F964" s="11"/>
      <c r="G964" s="11"/>
      <c r="H964" s="11"/>
      <c r="I964" s="11"/>
      <c r="J964" s="11"/>
      <c r="K964" s="11"/>
      <c r="L964" s="11"/>
      <c r="M964" s="11"/>
      <c r="N964" s="11"/>
      <c r="O964" s="11"/>
      <c r="P964" s="11"/>
      <c r="Q964" s="11"/>
      <c r="R964" s="11"/>
      <c r="S964" s="11"/>
      <c r="T964" s="11"/>
      <c r="U964" s="11"/>
      <c r="V964" s="11"/>
    </row>
    <row r="965" spans="1:22" ht="14.5" x14ac:dyDescent="0.35">
      <c r="A965" s="11"/>
      <c r="B965" s="11"/>
      <c r="C965" s="11"/>
      <c r="D965" s="11"/>
      <c r="E965" s="11"/>
      <c r="F965" s="11"/>
      <c r="G965" s="11"/>
      <c r="H965" s="11"/>
      <c r="I965" s="11"/>
      <c r="J965" s="11"/>
      <c r="K965" s="11"/>
      <c r="L965" s="11"/>
      <c r="M965" s="11"/>
      <c r="N965" s="11"/>
      <c r="O965" s="11"/>
      <c r="P965" s="11"/>
      <c r="Q965" s="11"/>
      <c r="R965" s="11"/>
      <c r="S965" s="11"/>
      <c r="T965" s="11"/>
      <c r="U965" s="11"/>
      <c r="V965" s="11"/>
    </row>
    <row r="966" spans="1:22" ht="14.5" x14ac:dyDescent="0.35">
      <c r="A966" s="11"/>
      <c r="B966" s="11"/>
      <c r="C966" s="11"/>
      <c r="D966" s="11"/>
      <c r="E966" s="11"/>
      <c r="F966" s="11"/>
      <c r="G966" s="11"/>
      <c r="H966" s="11"/>
      <c r="I966" s="11"/>
      <c r="J966" s="11"/>
      <c r="K966" s="11"/>
      <c r="L966" s="11"/>
      <c r="M966" s="11"/>
      <c r="N966" s="11"/>
      <c r="O966" s="11"/>
      <c r="P966" s="11"/>
      <c r="Q966" s="11"/>
      <c r="R966" s="11"/>
      <c r="S966" s="11"/>
      <c r="T966" s="11"/>
      <c r="U966" s="11"/>
      <c r="V966" s="11"/>
    </row>
    <row r="967" spans="1:22" ht="14.5" x14ac:dyDescent="0.35">
      <c r="A967" s="11"/>
      <c r="B967" s="11"/>
      <c r="C967" s="11"/>
      <c r="D967" s="11"/>
      <c r="E967" s="11"/>
      <c r="F967" s="11"/>
      <c r="G967" s="11"/>
      <c r="H967" s="11"/>
      <c r="I967" s="11"/>
      <c r="J967" s="11"/>
      <c r="K967" s="11"/>
      <c r="L967" s="11"/>
      <c r="M967" s="11"/>
      <c r="N967" s="11"/>
      <c r="O967" s="11"/>
      <c r="P967" s="11"/>
      <c r="Q967" s="11"/>
      <c r="R967" s="11"/>
      <c r="S967" s="11"/>
      <c r="T967" s="11"/>
      <c r="U967" s="11"/>
      <c r="V967" s="11"/>
    </row>
    <row r="968" spans="1:22" ht="14.5" x14ac:dyDescent="0.35">
      <c r="A968" s="11"/>
      <c r="B968" s="11"/>
      <c r="C968" s="11"/>
      <c r="D968" s="11"/>
      <c r="E968" s="11"/>
      <c r="F968" s="11"/>
      <c r="G968" s="11"/>
      <c r="H968" s="11"/>
      <c r="I968" s="11"/>
      <c r="J968" s="11"/>
      <c r="K968" s="11"/>
      <c r="L968" s="11"/>
      <c r="M968" s="11"/>
      <c r="N968" s="11"/>
      <c r="O968" s="11"/>
      <c r="P968" s="11"/>
      <c r="Q968" s="11"/>
      <c r="R968" s="11"/>
      <c r="S968" s="11"/>
      <c r="T968" s="11"/>
      <c r="U968" s="11"/>
      <c r="V968" s="11"/>
    </row>
    <row r="969" spans="1:22" ht="14.5" x14ac:dyDescent="0.35">
      <c r="A969" s="11"/>
      <c r="B969" s="11"/>
      <c r="C969" s="11"/>
      <c r="D969" s="11"/>
      <c r="E969" s="11"/>
      <c r="F969" s="11"/>
      <c r="G969" s="11"/>
      <c r="H969" s="11"/>
      <c r="I969" s="11"/>
      <c r="J969" s="11"/>
      <c r="K969" s="11"/>
      <c r="L969" s="11"/>
      <c r="M969" s="11"/>
      <c r="N969" s="11"/>
      <c r="O969" s="11"/>
      <c r="P969" s="11"/>
      <c r="Q969" s="11"/>
      <c r="R969" s="11"/>
      <c r="S969" s="11"/>
      <c r="T969" s="11"/>
      <c r="U969" s="11"/>
      <c r="V969" s="11"/>
    </row>
    <row r="970" spans="1:22" ht="14.5" x14ac:dyDescent="0.35">
      <c r="A970" s="11"/>
      <c r="B970" s="11"/>
      <c r="C970" s="11"/>
      <c r="D970" s="11"/>
      <c r="E970" s="11"/>
      <c r="F970" s="11"/>
      <c r="G970" s="11"/>
      <c r="H970" s="11"/>
      <c r="I970" s="11"/>
      <c r="J970" s="11"/>
      <c r="K970" s="11"/>
      <c r="L970" s="11"/>
      <c r="M970" s="11"/>
      <c r="N970" s="11"/>
      <c r="O970" s="11"/>
      <c r="P970" s="11"/>
      <c r="Q970" s="11"/>
      <c r="R970" s="11"/>
      <c r="S970" s="11"/>
      <c r="T970" s="11"/>
      <c r="U970" s="11"/>
      <c r="V970" s="11"/>
    </row>
    <row r="971" spans="1:22" ht="14.5" x14ac:dyDescent="0.35">
      <c r="A971" s="11"/>
      <c r="B971" s="11"/>
      <c r="C971" s="11"/>
      <c r="D971" s="11"/>
      <c r="E971" s="11"/>
      <c r="F971" s="11"/>
      <c r="G971" s="11"/>
      <c r="H971" s="11"/>
      <c r="I971" s="11"/>
      <c r="J971" s="11"/>
      <c r="K971" s="11"/>
      <c r="L971" s="11"/>
      <c r="M971" s="11"/>
      <c r="N971" s="11"/>
      <c r="O971" s="11"/>
      <c r="P971" s="11"/>
      <c r="Q971" s="11"/>
      <c r="R971" s="11"/>
      <c r="S971" s="11"/>
      <c r="T971" s="11"/>
      <c r="U971" s="11"/>
      <c r="V971" s="11"/>
    </row>
    <row r="972" spans="1:22" ht="14.5" x14ac:dyDescent="0.35">
      <c r="A972" s="11"/>
      <c r="B972" s="11"/>
      <c r="C972" s="11"/>
      <c r="D972" s="11"/>
      <c r="E972" s="11"/>
      <c r="F972" s="11"/>
      <c r="G972" s="11"/>
      <c r="H972" s="11"/>
      <c r="I972" s="11"/>
      <c r="J972" s="11"/>
      <c r="K972" s="11"/>
      <c r="L972" s="11"/>
      <c r="M972" s="11"/>
      <c r="N972" s="11"/>
      <c r="O972" s="11"/>
      <c r="P972" s="11"/>
      <c r="Q972" s="11"/>
      <c r="R972" s="11"/>
      <c r="S972" s="11"/>
      <c r="T972" s="11"/>
      <c r="U972" s="11"/>
      <c r="V972" s="11"/>
    </row>
    <row r="973" spans="1:22" ht="14.5" x14ac:dyDescent="0.35">
      <c r="A973" s="11"/>
      <c r="B973" s="11"/>
      <c r="C973" s="11"/>
      <c r="D973" s="11"/>
      <c r="E973" s="11"/>
      <c r="F973" s="11"/>
      <c r="G973" s="11"/>
      <c r="H973" s="11"/>
      <c r="I973" s="11"/>
      <c r="J973" s="11"/>
      <c r="K973" s="11"/>
      <c r="L973" s="11"/>
      <c r="M973" s="11"/>
      <c r="N973" s="11"/>
      <c r="O973" s="11"/>
      <c r="P973" s="11"/>
      <c r="Q973" s="11"/>
      <c r="R973" s="11"/>
      <c r="S973" s="11"/>
      <c r="T973" s="11"/>
      <c r="U973" s="11"/>
      <c r="V973" s="11"/>
    </row>
    <row r="974" spans="1:22" ht="14.5" x14ac:dyDescent="0.35">
      <c r="A974" s="11"/>
      <c r="B974" s="11"/>
      <c r="C974" s="11"/>
      <c r="D974" s="11"/>
      <c r="E974" s="11"/>
      <c r="F974" s="11"/>
      <c r="G974" s="11"/>
      <c r="H974" s="11"/>
      <c r="I974" s="11"/>
      <c r="J974" s="11"/>
      <c r="K974" s="11"/>
      <c r="L974" s="11"/>
      <c r="M974" s="11"/>
      <c r="N974" s="11"/>
      <c r="O974" s="11"/>
      <c r="P974" s="11"/>
      <c r="Q974" s="11"/>
      <c r="R974" s="11"/>
      <c r="S974" s="11"/>
      <c r="T974" s="11"/>
      <c r="U974" s="11"/>
      <c r="V974" s="11"/>
    </row>
    <row r="975" spans="1:22" ht="14.5" x14ac:dyDescent="0.35">
      <c r="A975" s="11"/>
      <c r="B975" s="11"/>
      <c r="C975" s="11"/>
      <c r="D975" s="11"/>
      <c r="E975" s="11"/>
      <c r="F975" s="11"/>
      <c r="G975" s="11"/>
      <c r="H975" s="11"/>
      <c r="I975" s="11"/>
      <c r="J975" s="11"/>
      <c r="K975" s="11"/>
      <c r="L975" s="11"/>
      <c r="M975" s="11"/>
      <c r="N975" s="11"/>
      <c r="O975" s="11"/>
      <c r="P975" s="11"/>
      <c r="Q975" s="11"/>
      <c r="R975" s="11"/>
      <c r="S975" s="11"/>
      <c r="T975" s="11"/>
      <c r="U975" s="11"/>
      <c r="V975" s="11"/>
    </row>
    <row r="976" spans="1:22" ht="14.5" x14ac:dyDescent="0.35">
      <c r="A976" s="11"/>
      <c r="B976" s="11"/>
      <c r="C976" s="11"/>
      <c r="D976" s="11"/>
      <c r="E976" s="11"/>
      <c r="F976" s="11"/>
      <c r="G976" s="11"/>
      <c r="H976" s="11"/>
      <c r="I976" s="11"/>
      <c r="J976" s="11"/>
      <c r="K976" s="11"/>
      <c r="L976" s="11"/>
      <c r="M976" s="11"/>
      <c r="N976" s="11"/>
      <c r="O976" s="11"/>
      <c r="P976" s="11"/>
      <c r="Q976" s="11"/>
      <c r="R976" s="11"/>
      <c r="S976" s="11"/>
      <c r="T976" s="11"/>
      <c r="U976" s="11"/>
      <c r="V976" s="11"/>
    </row>
    <row r="977" spans="1:22" ht="14.5" x14ac:dyDescent="0.35">
      <c r="A977" s="11"/>
      <c r="B977" s="11"/>
      <c r="C977" s="11"/>
      <c r="D977" s="11"/>
      <c r="E977" s="11"/>
      <c r="F977" s="11"/>
      <c r="G977" s="11"/>
      <c r="H977" s="11"/>
      <c r="I977" s="11"/>
      <c r="J977" s="11"/>
      <c r="K977" s="11"/>
      <c r="L977" s="11"/>
      <c r="M977" s="11"/>
      <c r="N977" s="11"/>
      <c r="O977" s="11"/>
      <c r="P977" s="11"/>
      <c r="Q977" s="11"/>
      <c r="R977" s="11"/>
      <c r="S977" s="11"/>
      <c r="T977" s="11"/>
      <c r="U977" s="11"/>
      <c r="V977" s="11"/>
    </row>
    <row r="978" spans="1:22" ht="14.5" x14ac:dyDescent="0.35">
      <c r="A978" s="11"/>
      <c r="B978" s="11"/>
      <c r="C978" s="11"/>
      <c r="D978" s="11"/>
      <c r="E978" s="11"/>
      <c r="F978" s="11"/>
      <c r="G978" s="11"/>
      <c r="H978" s="11"/>
      <c r="I978" s="11"/>
      <c r="J978" s="11"/>
      <c r="K978" s="11"/>
      <c r="L978" s="11"/>
      <c r="M978" s="11"/>
      <c r="N978" s="11"/>
      <c r="O978" s="11"/>
      <c r="P978" s="11"/>
      <c r="Q978" s="11"/>
      <c r="R978" s="11"/>
      <c r="S978" s="11"/>
      <c r="T978" s="11"/>
      <c r="U978" s="11"/>
      <c r="V978" s="11"/>
    </row>
    <row r="979" spans="1:22" ht="14.5" x14ac:dyDescent="0.35">
      <c r="A979" s="11"/>
      <c r="B979" s="11"/>
      <c r="C979" s="11"/>
      <c r="D979" s="11"/>
      <c r="E979" s="11"/>
      <c r="F979" s="11"/>
      <c r="G979" s="11"/>
      <c r="H979" s="11"/>
      <c r="I979" s="11"/>
      <c r="J979" s="11"/>
      <c r="K979" s="11"/>
      <c r="L979" s="11"/>
      <c r="M979" s="11"/>
      <c r="N979" s="11"/>
      <c r="O979" s="11"/>
      <c r="P979" s="11"/>
      <c r="Q979" s="11"/>
      <c r="R979" s="11"/>
      <c r="S979" s="11"/>
      <c r="T979" s="11"/>
      <c r="U979" s="11"/>
      <c r="V979" s="11"/>
    </row>
    <row r="980" spans="1:22" ht="14.5" x14ac:dyDescent="0.35">
      <c r="A980" s="11"/>
      <c r="B980" s="11"/>
      <c r="C980" s="11"/>
      <c r="D980" s="11"/>
      <c r="E980" s="11"/>
      <c r="F980" s="11"/>
      <c r="G980" s="11"/>
      <c r="H980" s="11"/>
      <c r="I980" s="11"/>
      <c r="J980" s="11"/>
      <c r="K980" s="11"/>
      <c r="L980" s="11"/>
      <c r="M980" s="11"/>
      <c r="N980" s="11"/>
      <c r="O980" s="11"/>
      <c r="P980" s="11"/>
      <c r="Q980" s="11"/>
      <c r="R980" s="11"/>
      <c r="S980" s="11"/>
      <c r="T980" s="11"/>
      <c r="U980" s="11"/>
      <c r="V980" s="11"/>
    </row>
    <row r="981" spans="1:22" ht="14.5" x14ac:dyDescent="0.35">
      <c r="A981" s="11"/>
      <c r="B981" s="11"/>
      <c r="C981" s="11"/>
      <c r="D981" s="11"/>
      <c r="E981" s="11"/>
      <c r="F981" s="11"/>
      <c r="G981" s="11"/>
      <c r="H981" s="11"/>
      <c r="I981" s="11"/>
      <c r="J981" s="11"/>
      <c r="K981" s="11"/>
      <c r="L981" s="11"/>
      <c r="M981" s="11"/>
      <c r="N981" s="11"/>
      <c r="O981" s="11"/>
      <c r="P981" s="11"/>
      <c r="Q981" s="11"/>
      <c r="R981" s="11"/>
      <c r="S981" s="11"/>
      <c r="T981" s="11"/>
      <c r="U981" s="11"/>
      <c r="V981" s="11"/>
    </row>
    <row r="982" spans="1:22" ht="14.5" x14ac:dyDescent="0.35">
      <c r="A982" s="11"/>
      <c r="B982" s="11"/>
      <c r="C982" s="11"/>
      <c r="D982" s="11"/>
      <c r="E982" s="11"/>
      <c r="F982" s="11"/>
      <c r="G982" s="11"/>
      <c r="H982" s="11"/>
      <c r="I982" s="11"/>
      <c r="J982" s="11"/>
      <c r="K982" s="11"/>
      <c r="L982" s="11"/>
      <c r="M982" s="11"/>
      <c r="N982" s="11"/>
      <c r="O982" s="11"/>
      <c r="P982" s="11"/>
      <c r="Q982" s="11"/>
      <c r="R982" s="11"/>
      <c r="S982" s="11"/>
      <c r="T982" s="11"/>
      <c r="U982" s="11"/>
      <c r="V982" s="11"/>
    </row>
    <row r="983" spans="1:22" ht="14.5" x14ac:dyDescent="0.35">
      <c r="A983" s="11"/>
      <c r="B983" s="11"/>
      <c r="C983" s="11"/>
      <c r="D983" s="11"/>
      <c r="E983" s="11"/>
      <c r="F983" s="11"/>
      <c r="G983" s="11"/>
      <c r="H983" s="11"/>
      <c r="I983" s="11"/>
      <c r="J983" s="11"/>
      <c r="K983" s="11"/>
      <c r="L983" s="11"/>
      <c r="M983" s="11"/>
      <c r="N983" s="11"/>
      <c r="O983" s="11"/>
      <c r="P983" s="11"/>
      <c r="Q983" s="11"/>
      <c r="R983" s="11"/>
      <c r="S983" s="11"/>
      <c r="T983" s="11"/>
      <c r="U983" s="11"/>
      <c r="V983" s="11"/>
    </row>
    <row r="984" spans="1:22" ht="14.5" x14ac:dyDescent="0.35">
      <c r="A984" s="11"/>
      <c r="B984" s="11"/>
      <c r="C984" s="11"/>
      <c r="D984" s="11"/>
      <c r="E984" s="11"/>
      <c r="F984" s="11"/>
      <c r="G984" s="11"/>
      <c r="H984" s="11"/>
      <c r="I984" s="11"/>
      <c r="J984" s="11"/>
      <c r="K984" s="11"/>
      <c r="L984" s="11"/>
      <c r="M984" s="11"/>
      <c r="N984" s="11"/>
      <c r="O984" s="11"/>
      <c r="P984" s="11"/>
      <c r="Q984" s="11"/>
      <c r="R984" s="11"/>
      <c r="S984" s="11"/>
      <c r="T984" s="11"/>
      <c r="U984" s="11"/>
      <c r="V984" s="11"/>
    </row>
    <row r="985" spans="1:22" ht="14.5" x14ac:dyDescent="0.35">
      <c r="A985" s="11"/>
      <c r="B985" s="11"/>
      <c r="C985" s="11"/>
      <c r="D985" s="11"/>
      <c r="E985" s="11"/>
      <c r="F985" s="11"/>
      <c r="G985" s="11"/>
      <c r="H985" s="11"/>
      <c r="I985" s="11"/>
      <c r="J985" s="11"/>
      <c r="K985" s="11"/>
      <c r="L985" s="11"/>
      <c r="M985" s="11"/>
      <c r="N985" s="11"/>
      <c r="O985" s="11"/>
      <c r="P985" s="11"/>
      <c r="Q985" s="11"/>
      <c r="R985" s="11"/>
      <c r="S985" s="11"/>
      <c r="T985" s="11"/>
      <c r="U985" s="11"/>
      <c r="V985" s="11"/>
    </row>
    <row r="986" spans="1:22" ht="14.5" x14ac:dyDescent="0.35">
      <c r="A986" s="11"/>
      <c r="B986" s="11"/>
      <c r="C986" s="11"/>
      <c r="D986" s="11"/>
      <c r="E986" s="11"/>
      <c r="F986" s="11"/>
      <c r="G986" s="11"/>
      <c r="H986" s="11"/>
      <c r="I986" s="11"/>
      <c r="J986" s="11"/>
      <c r="K986" s="11"/>
      <c r="L986" s="11"/>
      <c r="M986" s="11"/>
      <c r="N986" s="11"/>
      <c r="O986" s="11"/>
      <c r="P986" s="11"/>
      <c r="Q986" s="11"/>
      <c r="R986" s="11"/>
      <c r="S986" s="11"/>
      <c r="T986" s="11"/>
      <c r="U986" s="11"/>
      <c r="V986" s="11"/>
    </row>
    <row r="987" spans="1:22" ht="14.5" x14ac:dyDescent="0.35">
      <c r="A987" s="11"/>
      <c r="B987" s="11"/>
      <c r="C987" s="11"/>
      <c r="D987" s="11"/>
      <c r="E987" s="11"/>
      <c r="F987" s="11"/>
      <c r="G987" s="11"/>
      <c r="H987" s="11"/>
      <c r="I987" s="11"/>
      <c r="J987" s="11"/>
      <c r="K987" s="11"/>
      <c r="L987" s="11"/>
      <c r="M987" s="11"/>
      <c r="N987" s="11"/>
      <c r="O987" s="11"/>
      <c r="P987" s="11"/>
      <c r="Q987" s="11"/>
      <c r="R987" s="11"/>
      <c r="S987" s="11"/>
      <c r="T987" s="11"/>
      <c r="U987" s="11"/>
      <c r="V987" s="11"/>
    </row>
    <row r="988" spans="1:22" ht="14.5" x14ac:dyDescent="0.35">
      <c r="A988" s="11"/>
      <c r="B988" s="11"/>
      <c r="C988" s="11"/>
      <c r="D988" s="11"/>
      <c r="E988" s="11"/>
      <c r="F988" s="11"/>
      <c r="G988" s="11"/>
      <c r="H988" s="11"/>
      <c r="I988" s="11"/>
      <c r="J988" s="11"/>
      <c r="K988" s="11"/>
      <c r="L988" s="11"/>
      <c r="M988" s="11"/>
      <c r="N988" s="11"/>
      <c r="O988" s="11"/>
      <c r="P988" s="11"/>
      <c r="Q988" s="11"/>
      <c r="R988" s="11"/>
      <c r="S988" s="11"/>
      <c r="T988" s="11"/>
      <c r="U988" s="11"/>
      <c r="V988" s="11"/>
    </row>
    <row r="989" spans="1:22" ht="14.5" x14ac:dyDescent="0.35">
      <c r="A989" s="11"/>
      <c r="B989" s="11"/>
      <c r="C989" s="11"/>
      <c r="D989" s="11"/>
      <c r="E989" s="11"/>
      <c r="F989" s="11"/>
      <c r="G989" s="11"/>
      <c r="H989" s="11"/>
      <c r="I989" s="11"/>
      <c r="J989" s="11"/>
      <c r="K989" s="11"/>
      <c r="L989" s="11"/>
      <c r="M989" s="11"/>
      <c r="N989" s="11"/>
      <c r="O989" s="11"/>
      <c r="P989" s="11"/>
      <c r="Q989" s="11"/>
      <c r="R989" s="11"/>
      <c r="S989" s="11"/>
      <c r="T989" s="11"/>
      <c r="U989" s="11"/>
      <c r="V989" s="11"/>
    </row>
    <row r="990" spans="1:22" ht="14.5" x14ac:dyDescent="0.35">
      <c r="A990" s="11"/>
      <c r="B990" s="11"/>
      <c r="C990" s="11"/>
      <c r="D990" s="11"/>
      <c r="E990" s="11"/>
      <c r="F990" s="11"/>
      <c r="G990" s="11"/>
      <c r="H990" s="11"/>
      <c r="I990" s="11"/>
      <c r="J990" s="11"/>
      <c r="K990" s="11"/>
      <c r="L990" s="11"/>
      <c r="M990" s="11"/>
      <c r="N990" s="11"/>
      <c r="O990" s="11"/>
      <c r="P990" s="11"/>
      <c r="Q990" s="11"/>
      <c r="R990" s="11"/>
      <c r="S990" s="11"/>
      <c r="T990" s="11"/>
      <c r="U990" s="11"/>
      <c r="V990" s="11"/>
    </row>
    <row r="991" spans="1:22" ht="14.5" x14ac:dyDescent="0.35">
      <c r="A991" s="11"/>
      <c r="B991" s="11"/>
      <c r="C991" s="11"/>
      <c r="D991" s="11"/>
      <c r="E991" s="11"/>
      <c r="F991" s="11"/>
      <c r="G991" s="11"/>
      <c r="H991" s="11"/>
      <c r="I991" s="11"/>
      <c r="J991" s="11"/>
      <c r="K991" s="11"/>
      <c r="L991" s="11"/>
      <c r="M991" s="11"/>
      <c r="N991" s="11"/>
      <c r="O991" s="11"/>
      <c r="P991" s="11"/>
      <c r="Q991" s="11"/>
      <c r="R991" s="11"/>
      <c r="S991" s="11"/>
      <c r="T991" s="11"/>
      <c r="U991" s="11"/>
      <c r="V991" s="11"/>
    </row>
    <row r="992" spans="1:22" ht="14.5" x14ac:dyDescent="0.35">
      <c r="A992" s="11"/>
      <c r="B992" s="11"/>
      <c r="C992" s="11"/>
      <c r="D992" s="11"/>
      <c r="E992" s="11"/>
      <c r="F992" s="11"/>
      <c r="G992" s="11"/>
      <c r="H992" s="11"/>
      <c r="I992" s="11"/>
      <c r="J992" s="11"/>
      <c r="K992" s="11"/>
      <c r="L992" s="11"/>
      <c r="M992" s="11"/>
      <c r="N992" s="11"/>
      <c r="O992" s="11"/>
      <c r="P992" s="11"/>
      <c r="Q992" s="11"/>
      <c r="R992" s="11"/>
      <c r="S992" s="11"/>
      <c r="T992" s="11"/>
      <c r="U992" s="11"/>
      <c r="V992" s="11"/>
    </row>
    <row r="993" spans="1:22" ht="14.5" x14ac:dyDescent="0.35">
      <c r="A993" s="11"/>
      <c r="B993" s="11"/>
      <c r="C993" s="11"/>
      <c r="D993" s="11"/>
      <c r="E993" s="11"/>
      <c r="F993" s="11"/>
      <c r="G993" s="11"/>
      <c r="H993" s="11"/>
      <c r="I993" s="11"/>
      <c r="J993" s="11"/>
      <c r="K993" s="11"/>
      <c r="L993" s="11"/>
      <c r="M993" s="11"/>
      <c r="N993" s="11"/>
      <c r="O993" s="11"/>
      <c r="P993" s="11"/>
      <c r="Q993" s="11"/>
      <c r="R993" s="11"/>
      <c r="S993" s="11"/>
      <c r="T993" s="11"/>
      <c r="U993" s="11"/>
      <c r="V993" s="11"/>
    </row>
    <row r="994" spans="1:22" ht="14.5" x14ac:dyDescent="0.35">
      <c r="A994" s="11"/>
      <c r="B994" s="11"/>
      <c r="C994" s="11"/>
      <c r="D994" s="11"/>
      <c r="E994" s="11"/>
      <c r="F994" s="11"/>
      <c r="G994" s="11"/>
      <c r="H994" s="11"/>
      <c r="I994" s="11"/>
      <c r="J994" s="11"/>
      <c r="K994" s="11"/>
      <c r="L994" s="11"/>
      <c r="M994" s="11"/>
      <c r="N994" s="11"/>
      <c r="O994" s="11"/>
      <c r="P994" s="11"/>
      <c r="Q994" s="11"/>
      <c r="R994" s="11"/>
      <c r="S994" s="11"/>
      <c r="T994" s="11"/>
      <c r="U994" s="11"/>
      <c r="V994" s="11"/>
    </row>
    <row r="995" spans="1:22" ht="14.5" x14ac:dyDescent="0.35">
      <c r="A995" s="11"/>
      <c r="B995" s="11"/>
      <c r="C995" s="11"/>
      <c r="D995" s="11"/>
      <c r="E995" s="11"/>
      <c r="F995" s="11"/>
      <c r="G995" s="11"/>
      <c r="H995" s="11"/>
      <c r="I995" s="11"/>
      <c r="J995" s="11"/>
      <c r="K995" s="11"/>
      <c r="L995" s="11"/>
      <c r="M995" s="11"/>
      <c r="N995" s="11"/>
      <c r="O995" s="11"/>
      <c r="P995" s="11"/>
      <c r="Q995" s="11"/>
      <c r="R995" s="11"/>
      <c r="S995" s="11"/>
      <c r="T995" s="11"/>
      <c r="U995" s="11"/>
      <c r="V995" s="11"/>
    </row>
    <row r="996" spans="1:22" ht="14.5" x14ac:dyDescent="0.35">
      <c r="A996" s="11"/>
      <c r="B996" s="11"/>
      <c r="C996" s="11"/>
      <c r="D996" s="11"/>
      <c r="E996" s="11"/>
      <c r="F996" s="11"/>
      <c r="G996" s="11"/>
      <c r="H996" s="11"/>
      <c r="I996" s="11"/>
      <c r="J996" s="11"/>
      <c r="K996" s="11"/>
      <c r="L996" s="11"/>
      <c r="M996" s="11"/>
      <c r="N996" s="11"/>
      <c r="O996" s="11"/>
      <c r="P996" s="11"/>
      <c r="Q996" s="11"/>
      <c r="R996" s="11"/>
      <c r="S996" s="11"/>
      <c r="T996" s="11"/>
      <c r="U996" s="11"/>
      <c r="V996" s="11"/>
    </row>
    <row r="997" spans="1:22" ht="14.5" x14ac:dyDescent="0.35">
      <c r="A997" s="11"/>
      <c r="B997" s="11"/>
      <c r="C997" s="11"/>
      <c r="D997" s="11"/>
      <c r="E997" s="11"/>
      <c r="F997" s="11"/>
      <c r="G997" s="11"/>
      <c r="H997" s="11"/>
      <c r="I997" s="11"/>
      <c r="J997" s="11"/>
      <c r="K997" s="11"/>
      <c r="L997" s="11"/>
      <c r="M997" s="11"/>
      <c r="N997" s="11"/>
      <c r="O997" s="11"/>
      <c r="P997" s="11"/>
      <c r="Q997" s="11"/>
      <c r="R997" s="11"/>
      <c r="S997" s="11"/>
      <c r="T997" s="11"/>
      <c r="U997" s="11"/>
      <c r="V997" s="11"/>
    </row>
    <row r="998" spans="1:22" ht="14.5" x14ac:dyDescent="0.35">
      <c r="A998" s="11"/>
      <c r="B998" s="11"/>
      <c r="C998" s="11"/>
      <c r="D998" s="11"/>
      <c r="E998" s="11"/>
      <c r="F998" s="11"/>
      <c r="G998" s="11"/>
      <c r="H998" s="11"/>
      <c r="I998" s="11"/>
      <c r="J998" s="11"/>
      <c r="K998" s="11"/>
      <c r="L998" s="11"/>
      <c r="M998" s="11"/>
      <c r="N998" s="11"/>
      <c r="O998" s="11"/>
      <c r="P998" s="11"/>
      <c r="Q998" s="11"/>
      <c r="R998" s="11"/>
      <c r="S998" s="11"/>
      <c r="T998" s="11"/>
      <c r="U998" s="11"/>
      <c r="V998" s="11"/>
    </row>
    <row r="999" spans="1:22" ht="14.5" x14ac:dyDescent="0.35">
      <c r="A999" s="11"/>
      <c r="B999" s="11"/>
      <c r="C999" s="11"/>
      <c r="D999" s="11"/>
      <c r="E999" s="11"/>
      <c r="F999" s="11"/>
      <c r="G999" s="11"/>
      <c r="H999" s="11"/>
      <c r="I999" s="11"/>
      <c r="J999" s="11"/>
      <c r="K999" s="11"/>
      <c r="L999" s="11"/>
      <c r="M999" s="11"/>
      <c r="N999" s="11"/>
      <c r="O999" s="11"/>
      <c r="P999" s="11"/>
      <c r="Q999" s="11"/>
      <c r="R999" s="11"/>
      <c r="S999" s="11"/>
      <c r="T999" s="11"/>
      <c r="U999" s="11"/>
      <c r="V999" s="11"/>
    </row>
    <row r="1000" spans="1:22" ht="14.5" x14ac:dyDescent="0.3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row>
    <row r="1001" spans="1:22" ht="14.5" x14ac:dyDescent="0.35">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row>
    <row r="1002" spans="1:22" ht="14.5" x14ac:dyDescent="0.35">
      <c r="A1002" s="11"/>
      <c r="B1002" s="11"/>
      <c r="C1002" s="11"/>
      <c r="D1002" s="11"/>
      <c r="E1002" s="11"/>
      <c r="J1002" s="11"/>
      <c r="K1002" s="11"/>
      <c r="L1002" s="11"/>
      <c r="M1002" s="11"/>
      <c r="N1002" s="11"/>
      <c r="O1002" s="11"/>
      <c r="P1002" s="11"/>
      <c r="Q1002" s="11"/>
      <c r="R1002" s="11"/>
      <c r="S1002" s="11"/>
      <c r="T1002" s="11"/>
      <c r="U1002" s="11"/>
      <c r="V1002" s="11"/>
    </row>
  </sheetData>
  <mergeCells count="8">
    <mergeCell ref="B22:I22"/>
    <mergeCell ref="N22:U22"/>
    <mergeCell ref="B2:G2"/>
    <mergeCell ref="N2:S2"/>
    <mergeCell ref="B3:G3"/>
    <mergeCell ref="N3:S3"/>
    <mergeCell ref="B4:G4"/>
    <mergeCell ref="N4:S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0DAF-8455-401F-8E29-2FC79E3B9076}">
  <dimension ref="B1:D1001"/>
  <sheetViews>
    <sheetView workbookViewId="0">
      <selection activeCell="G9" sqref="G9"/>
    </sheetView>
  </sheetViews>
  <sheetFormatPr defaultColWidth="14.453125" defaultRowHeight="15" customHeight="1" x14ac:dyDescent="0.35"/>
  <cols>
    <col min="1" max="1" width="8.81640625" customWidth="1"/>
    <col min="2" max="2" width="24.1796875" customWidth="1"/>
    <col min="3" max="3" width="8.81640625" customWidth="1"/>
    <col min="4" max="4" width="12.1796875" customWidth="1"/>
    <col min="5" max="26" width="8.81640625" customWidth="1"/>
  </cols>
  <sheetData>
    <row r="1" spans="2:4" ht="14.25" customHeight="1" x14ac:dyDescent="0.35">
      <c r="B1" s="90" t="s">
        <v>41</v>
      </c>
      <c r="C1" s="90" t="s">
        <v>47</v>
      </c>
    </row>
    <row r="2" spans="2:4" ht="14.25" customHeight="1" x14ac:dyDescent="0.35">
      <c r="B2" s="69" t="s">
        <v>54</v>
      </c>
      <c r="C2" s="85">
        <v>27000</v>
      </c>
      <c r="D2" s="11">
        <f t="shared" ref="D2:D19" si="0">C2/(1-0.25)</f>
        <v>36000</v>
      </c>
    </row>
    <row r="3" spans="2:4" ht="14.25" customHeight="1" x14ac:dyDescent="0.35">
      <c r="B3" s="69" t="s">
        <v>60</v>
      </c>
      <c r="C3" s="85">
        <v>66000</v>
      </c>
      <c r="D3" s="11">
        <f t="shared" si="0"/>
        <v>88000</v>
      </c>
    </row>
    <row r="4" spans="2:4" ht="14.25" customHeight="1" x14ac:dyDescent="0.35">
      <c r="B4" s="69" t="s">
        <v>55</v>
      </c>
      <c r="C4" s="85">
        <v>66000</v>
      </c>
      <c r="D4" s="11">
        <f t="shared" si="0"/>
        <v>88000</v>
      </c>
    </row>
    <row r="5" spans="2:4" ht="14.25" customHeight="1" x14ac:dyDescent="0.35">
      <c r="B5" s="69" t="s">
        <v>56</v>
      </c>
      <c r="C5" s="85">
        <v>30</v>
      </c>
      <c r="D5" s="11">
        <f t="shared" si="0"/>
        <v>40</v>
      </c>
    </row>
    <row r="6" spans="2:4" ht="14.25" customHeight="1" x14ac:dyDescent="0.35">
      <c r="B6" s="69" t="s">
        <v>62</v>
      </c>
      <c r="C6" s="85">
        <v>105200</v>
      </c>
      <c r="D6" s="11">
        <f t="shared" si="0"/>
        <v>140266.66666666666</v>
      </c>
    </row>
    <row r="7" spans="2:4" ht="14.25" customHeight="1" x14ac:dyDescent="0.35">
      <c r="B7" s="69" t="s">
        <v>63</v>
      </c>
      <c r="C7" s="85">
        <v>60000</v>
      </c>
      <c r="D7" s="11">
        <f t="shared" si="0"/>
        <v>80000</v>
      </c>
    </row>
    <row r="8" spans="2:4" ht="14.25" customHeight="1" x14ac:dyDescent="0.35">
      <c r="B8" s="69" t="s">
        <v>64</v>
      </c>
      <c r="C8" s="85">
        <v>180000</v>
      </c>
      <c r="D8" s="11">
        <f t="shared" si="0"/>
        <v>240000</v>
      </c>
    </row>
    <row r="9" spans="2:4" ht="14.25" customHeight="1" x14ac:dyDescent="0.35">
      <c r="B9" s="69" t="s">
        <v>61</v>
      </c>
      <c r="C9" s="85">
        <v>18400</v>
      </c>
      <c r="D9" s="11">
        <f t="shared" si="0"/>
        <v>24533.333333333332</v>
      </c>
    </row>
    <row r="10" spans="2:4" ht="14.25" customHeight="1" x14ac:dyDescent="0.35">
      <c r="B10" s="69" t="s">
        <v>126</v>
      </c>
      <c r="C10" s="85">
        <v>17500</v>
      </c>
      <c r="D10" s="11">
        <f t="shared" si="0"/>
        <v>23333.333333333332</v>
      </c>
    </row>
    <row r="11" spans="2:4" ht="14.25" customHeight="1" x14ac:dyDescent="0.35">
      <c r="B11" s="69" t="s">
        <v>127</v>
      </c>
      <c r="C11" s="85">
        <v>12000</v>
      </c>
      <c r="D11" s="11">
        <f t="shared" si="0"/>
        <v>16000</v>
      </c>
    </row>
    <row r="12" spans="2:4" ht="14.25" customHeight="1" x14ac:dyDescent="0.35">
      <c r="B12" s="69" t="s">
        <v>70</v>
      </c>
      <c r="C12" s="85">
        <v>47000</v>
      </c>
      <c r="D12" s="11">
        <f t="shared" si="0"/>
        <v>62666.666666666664</v>
      </c>
    </row>
    <row r="13" spans="2:4" ht="14.25" customHeight="1" x14ac:dyDescent="0.35">
      <c r="B13" s="69" t="s">
        <v>128</v>
      </c>
      <c r="C13" s="85">
        <v>6500</v>
      </c>
      <c r="D13" s="11">
        <f t="shared" si="0"/>
        <v>8666.6666666666661</v>
      </c>
    </row>
    <row r="14" spans="2:4" ht="14.25" customHeight="1" x14ac:dyDescent="0.35">
      <c r="B14" s="69" t="s">
        <v>58</v>
      </c>
      <c r="C14" s="85">
        <v>12000</v>
      </c>
      <c r="D14" s="11">
        <f t="shared" si="0"/>
        <v>16000</v>
      </c>
    </row>
    <row r="15" spans="2:4" ht="14.25" customHeight="1" x14ac:dyDescent="0.35">
      <c r="B15" s="69" t="s">
        <v>129</v>
      </c>
      <c r="C15" s="85">
        <v>8000</v>
      </c>
      <c r="D15" s="11">
        <f t="shared" si="0"/>
        <v>10666.666666666666</v>
      </c>
    </row>
    <row r="16" spans="2:4" ht="14.25" customHeight="1" x14ac:dyDescent="0.35">
      <c r="B16" s="69" t="s">
        <v>130</v>
      </c>
      <c r="C16" s="85">
        <v>22000</v>
      </c>
      <c r="D16" s="11">
        <f t="shared" si="0"/>
        <v>29333.333333333332</v>
      </c>
    </row>
    <row r="17" spans="2:4" ht="14.25" customHeight="1" x14ac:dyDescent="0.35">
      <c r="B17" s="69" t="s">
        <v>69</v>
      </c>
      <c r="C17" s="85">
        <v>9200</v>
      </c>
      <c r="D17" s="11">
        <f t="shared" si="0"/>
        <v>12266.666666666666</v>
      </c>
    </row>
    <row r="18" spans="2:4" ht="14.25" customHeight="1" x14ac:dyDescent="0.35">
      <c r="B18" s="69" t="s">
        <v>57</v>
      </c>
      <c r="C18" s="85">
        <v>3200</v>
      </c>
      <c r="D18" s="11">
        <f t="shared" si="0"/>
        <v>4266.666666666667</v>
      </c>
    </row>
    <row r="19" spans="2:4" ht="14.25" customHeight="1" x14ac:dyDescent="0.35">
      <c r="B19" s="69" t="s">
        <v>131</v>
      </c>
      <c r="C19" s="85">
        <v>70000</v>
      </c>
      <c r="D19" s="11">
        <f t="shared" si="0"/>
        <v>93333.333333333328</v>
      </c>
    </row>
    <row r="20" spans="2:4" ht="14.25" customHeight="1" x14ac:dyDescent="0.35">
      <c r="B20" s="69" t="s">
        <v>132</v>
      </c>
      <c r="C20" s="85">
        <v>36000</v>
      </c>
    </row>
    <row r="21" spans="2:4" ht="14.25" customHeight="1" x14ac:dyDescent="0.35">
      <c r="B21" s="69" t="s">
        <v>59</v>
      </c>
      <c r="C21" s="85">
        <v>35000</v>
      </c>
    </row>
    <row r="22" spans="2:4" ht="14.25" customHeight="1" x14ac:dyDescent="0.35">
      <c r="B22" s="69" t="s">
        <v>133</v>
      </c>
      <c r="C22" s="85">
        <v>150000</v>
      </c>
    </row>
    <row r="23" spans="2:4" ht="14.25" customHeight="1" x14ac:dyDescent="0.35">
      <c r="B23" s="69" t="s">
        <v>134</v>
      </c>
      <c r="C23" s="85">
        <v>450000</v>
      </c>
    </row>
    <row r="24" spans="2:4" ht="14.25" customHeight="1" x14ac:dyDescent="0.35">
      <c r="B24" s="69" t="s">
        <v>135</v>
      </c>
      <c r="C24" s="85">
        <v>4800</v>
      </c>
    </row>
    <row r="25" spans="2:4" ht="14.25" customHeight="1" x14ac:dyDescent="0.35">
      <c r="B25" s="85" t="s">
        <v>136</v>
      </c>
      <c r="C25" s="85">
        <v>30000</v>
      </c>
    </row>
    <row r="26" spans="2:4" ht="14.25" customHeight="1" x14ac:dyDescent="0.35"/>
    <row r="27" spans="2:4" ht="14.25" customHeight="1" x14ac:dyDescent="0.35"/>
    <row r="28" spans="2:4" ht="14.25" customHeight="1" x14ac:dyDescent="0.35"/>
    <row r="29" spans="2:4" ht="14.25" customHeight="1" x14ac:dyDescent="0.35"/>
    <row r="30" spans="2:4" ht="14.25" customHeight="1" x14ac:dyDescent="0.35"/>
    <row r="31" spans="2:4" ht="14.25" customHeight="1" x14ac:dyDescent="0.35"/>
    <row r="32" spans="2:4"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Summary-3yr</vt:lpstr>
      <vt:lpstr>Quotation </vt:lpstr>
      <vt:lpstr>Commercials</vt:lpstr>
      <vt:lpstr>BOQ</vt:lpstr>
      <vt:lpstr>Sheet2</vt:lpstr>
      <vt:lpstr>Manpower Cost New</vt: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Manoj Hanagandi Axestrack</cp:lastModifiedBy>
  <dcterms:created xsi:type="dcterms:W3CDTF">2015-06-05T18:17:20Z</dcterms:created>
  <dcterms:modified xsi:type="dcterms:W3CDTF">2025-10-27T07:33:16Z</dcterms:modified>
</cp:coreProperties>
</file>